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xl/ink/ink2.xml" ContentType="application/inkml+xml"/>
  <Override PartName="/xl/ink/ink3.xml" ContentType="application/inkml+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07352316-F472-4A5B-9001-5170F9A633E6}" xr6:coauthVersionLast="47" xr6:coauthVersionMax="47" xr10:uidLastSave="{00000000-0000-0000-0000-000000000000}"/>
  <bookViews>
    <workbookView xWindow="-108" yWindow="-108" windowWidth="23256" windowHeight="12456" activeTab="4" xr2:uid="{05E2B7A1-DA7D-489F-8648-1395A72D587E}"/>
  </bookViews>
  <sheets>
    <sheet name="Logo and icons" sheetId="4" r:id="rId1"/>
    <sheet name="Messy data" sheetId="3" r:id="rId2"/>
    <sheet name="DataSet" sheetId="1" r:id="rId3"/>
    <sheet name="KPI" sheetId="2" r:id="rId4"/>
    <sheet name="Dashboard" sheetId="6" r:id="rId5"/>
  </sheets>
  <definedNames>
    <definedName name="_xlchart.v1.0" hidden="1">KPI!$O$29:$O$39</definedName>
    <definedName name="_xlchart.v1.1" hidden="1">KPI!$P$28</definedName>
    <definedName name="_xlchart.v1.14" hidden="1">KPI!$O$29:$O$39</definedName>
    <definedName name="_xlchart.v1.15" hidden="1">KPI!$P$28</definedName>
    <definedName name="_xlchart.v1.16" hidden="1">KPI!$P$29:$P$39</definedName>
    <definedName name="_xlchart.v1.17" hidden="1">KPI!$Q$28</definedName>
    <definedName name="_xlchart.v1.18" hidden="1">KPI!$Q$29:$Q$39</definedName>
    <definedName name="_xlchart.v1.2" hidden="1">KPI!$P$29:$P$39</definedName>
    <definedName name="_xlchart.v1.3" hidden="1">KPI!$Q$28</definedName>
    <definedName name="_xlchart.v1.4" hidden="1">KPI!$Q$29:$Q$39</definedName>
    <definedName name="_xlchart.v5.10" hidden="1">KPI!$V$13</definedName>
    <definedName name="_xlchart.v5.11" hidden="1">KPI!$V$14:$V$33</definedName>
    <definedName name="_xlchart.v5.12" hidden="1">KPI!$W$13</definedName>
    <definedName name="_xlchart.v5.13" hidden="1">KPI!$W$14:$W$33</definedName>
    <definedName name="_xlchart.v5.19" hidden="1">KPI!$V$13</definedName>
    <definedName name="_xlchart.v5.20" hidden="1">KPI!$V$14:$V$33</definedName>
    <definedName name="_xlchart.v5.21" hidden="1">KPI!$W$13</definedName>
    <definedName name="_xlchart.v5.22" hidden="1">KPI!$W$14:$W$33</definedName>
    <definedName name="_xlchart.v5.5" hidden="1">KPI!$V$13</definedName>
    <definedName name="_xlchart.v5.6" hidden="1">KPI!$V$14:$V$33</definedName>
    <definedName name="_xlchart.v5.7" hidden="1">KPI!$W$12</definedName>
    <definedName name="_xlchart.v5.8" hidden="1">KPI!$W$13</definedName>
    <definedName name="_xlchart.v5.9" hidden="1">KPI!$W$14:$W$33</definedName>
    <definedName name="Slicer_Category">#N/A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2" i="2" l="1"/>
  <c r="Q34" i="2"/>
  <c r="Q35" i="2"/>
  <c r="Q36" i="2"/>
  <c r="Q37" i="2"/>
  <c r="Q38" i="2"/>
  <c r="Q39" i="2"/>
  <c r="Q30" i="2"/>
  <c r="Q31" i="2"/>
  <c r="Q33" i="2"/>
  <c r="Q29" i="2"/>
  <c r="P32" i="2"/>
  <c r="P33" i="2"/>
  <c r="P34" i="2"/>
  <c r="P36" i="2"/>
  <c r="P37" i="2"/>
  <c r="P38" i="2"/>
  <c r="P39" i="2"/>
  <c r="P30" i="2"/>
  <c r="P31" i="2"/>
  <c r="P35" i="2"/>
  <c r="P29" i="2"/>
  <c r="W18" i="2"/>
  <c r="W20" i="2"/>
  <c r="W22" i="2"/>
  <c r="W23" i="2"/>
  <c r="W24" i="2"/>
  <c r="W25" i="2"/>
  <c r="W26" i="2"/>
  <c r="W28" i="2"/>
  <c r="W30" i="2"/>
  <c r="W31" i="2"/>
  <c r="W16" i="2"/>
  <c r="W17" i="2"/>
  <c r="W19" i="2"/>
  <c r="W21" i="2"/>
  <c r="W27" i="2"/>
  <c r="W29" i="2"/>
  <c r="W15" i="2"/>
  <c r="W32" i="2"/>
  <c r="W33" i="2"/>
  <c r="W14" i="2"/>
  <c r="L993" i="1"/>
  <c r="M993" i="1" s="1"/>
  <c r="N993" i="1" s="1"/>
  <c r="K993" i="1"/>
  <c r="N992" i="1"/>
  <c r="L992" i="1"/>
  <c r="M992" i="1" s="1"/>
  <c r="K992" i="1"/>
  <c r="L991" i="1"/>
  <c r="K991" i="1"/>
  <c r="L990" i="1"/>
  <c r="K990" i="1"/>
  <c r="L989" i="1"/>
  <c r="K989" i="1"/>
  <c r="L988" i="1"/>
  <c r="K988" i="1"/>
  <c r="L987" i="1"/>
  <c r="M987" i="1" s="1"/>
  <c r="N987" i="1" s="1"/>
  <c r="K987" i="1"/>
  <c r="L986" i="1"/>
  <c r="M986" i="1" s="1"/>
  <c r="N986" i="1" s="1"/>
  <c r="K986" i="1"/>
  <c r="L985" i="1"/>
  <c r="K985" i="1"/>
  <c r="L984" i="1"/>
  <c r="M984" i="1" s="1"/>
  <c r="N984" i="1" s="1"/>
  <c r="K984" i="1"/>
  <c r="L983" i="1"/>
  <c r="K983" i="1"/>
  <c r="M983" i="1" s="1"/>
  <c r="N983" i="1" s="1"/>
  <c r="L982" i="1"/>
  <c r="M982" i="1" s="1"/>
  <c r="N982" i="1" s="1"/>
  <c r="K982" i="1"/>
  <c r="L981" i="1"/>
  <c r="K981" i="1"/>
  <c r="L980" i="1"/>
  <c r="M980" i="1" s="1"/>
  <c r="N980" i="1" s="1"/>
  <c r="K980" i="1"/>
  <c r="L979" i="1"/>
  <c r="M979" i="1" s="1"/>
  <c r="N979" i="1" s="1"/>
  <c r="K979" i="1"/>
  <c r="L978" i="1"/>
  <c r="K978" i="1"/>
  <c r="L977" i="1"/>
  <c r="K977" i="1"/>
  <c r="L976" i="1"/>
  <c r="K976" i="1"/>
  <c r="N975" i="1"/>
  <c r="M975" i="1"/>
  <c r="L975" i="1"/>
  <c r="K975" i="1"/>
  <c r="L974" i="1"/>
  <c r="M974" i="1" s="1"/>
  <c r="N974" i="1" s="1"/>
  <c r="K974" i="1"/>
  <c r="L973" i="1"/>
  <c r="K973" i="1"/>
  <c r="L972" i="1"/>
  <c r="K972" i="1"/>
  <c r="L971" i="1"/>
  <c r="K971" i="1"/>
  <c r="L970" i="1"/>
  <c r="K970" i="1"/>
  <c r="L969" i="1"/>
  <c r="K969" i="1"/>
  <c r="L968" i="1"/>
  <c r="K968" i="1"/>
  <c r="L967" i="1"/>
  <c r="K967" i="1"/>
  <c r="L966" i="1"/>
  <c r="M966" i="1" s="1"/>
  <c r="N966" i="1" s="1"/>
  <c r="K966" i="1"/>
  <c r="L965" i="1"/>
  <c r="K965" i="1"/>
  <c r="L964" i="1"/>
  <c r="K964" i="1"/>
  <c r="M964" i="1" s="1"/>
  <c r="N964" i="1" s="1"/>
  <c r="M963" i="1"/>
  <c r="N963" i="1" s="1"/>
  <c r="L963" i="1"/>
  <c r="K963" i="1"/>
  <c r="L962" i="1"/>
  <c r="M962" i="1" s="1"/>
  <c r="N962" i="1" s="1"/>
  <c r="K962" i="1"/>
  <c r="L961" i="1"/>
  <c r="M961" i="1" s="1"/>
  <c r="N961" i="1" s="1"/>
  <c r="K961" i="1"/>
  <c r="L960" i="1"/>
  <c r="K960" i="1"/>
  <c r="M960" i="1" s="1"/>
  <c r="N960" i="1" s="1"/>
  <c r="L959" i="1"/>
  <c r="M959" i="1" s="1"/>
  <c r="N959" i="1" s="1"/>
  <c r="K959" i="1"/>
  <c r="M958" i="1"/>
  <c r="N958" i="1" s="1"/>
  <c r="L958" i="1"/>
  <c r="K958" i="1"/>
  <c r="L957" i="1"/>
  <c r="K957" i="1"/>
  <c r="L956" i="1"/>
  <c r="K956" i="1"/>
  <c r="L955" i="1"/>
  <c r="M955" i="1" s="1"/>
  <c r="N955" i="1" s="1"/>
  <c r="K955" i="1"/>
  <c r="L954" i="1"/>
  <c r="M954" i="1" s="1"/>
  <c r="N954" i="1" s="1"/>
  <c r="K954" i="1"/>
  <c r="L953" i="1"/>
  <c r="K953" i="1"/>
  <c r="N952" i="1"/>
  <c r="L952" i="1"/>
  <c r="M952" i="1" s="1"/>
  <c r="K952" i="1"/>
  <c r="L951" i="1"/>
  <c r="M951" i="1" s="1"/>
  <c r="N951" i="1" s="1"/>
  <c r="K951" i="1"/>
  <c r="L950" i="1"/>
  <c r="K950" i="1"/>
  <c r="L949" i="1"/>
  <c r="K949" i="1"/>
  <c r="L948" i="1"/>
  <c r="M948" i="1" s="1"/>
  <c r="N948" i="1" s="1"/>
  <c r="K948" i="1"/>
  <c r="L947" i="1"/>
  <c r="K947" i="1"/>
  <c r="L946" i="1"/>
  <c r="K946" i="1"/>
  <c r="M946" i="1" s="1"/>
  <c r="N946" i="1" s="1"/>
  <c r="L945" i="1"/>
  <c r="K945" i="1"/>
  <c r="L944" i="1"/>
  <c r="K944" i="1"/>
  <c r="M944" i="1" s="1"/>
  <c r="N944" i="1" s="1"/>
  <c r="N943" i="1"/>
  <c r="M943" i="1"/>
  <c r="L943" i="1"/>
  <c r="K943" i="1"/>
  <c r="M942" i="1"/>
  <c r="N942" i="1" s="1"/>
  <c r="L942" i="1"/>
  <c r="K942" i="1"/>
  <c r="L941" i="1"/>
  <c r="K941" i="1"/>
  <c r="L940" i="1"/>
  <c r="M940" i="1" s="1"/>
  <c r="N940" i="1" s="1"/>
  <c r="K940" i="1"/>
  <c r="L939" i="1"/>
  <c r="K939" i="1"/>
  <c r="M939" i="1" s="1"/>
  <c r="N939" i="1" s="1"/>
  <c r="L938" i="1"/>
  <c r="M938" i="1" s="1"/>
  <c r="N938" i="1" s="1"/>
  <c r="K938" i="1"/>
  <c r="L937" i="1"/>
  <c r="M937" i="1" s="1"/>
  <c r="N937" i="1" s="1"/>
  <c r="K937" i="1"/>
  <c r="L936" i="1"/>
  <c r="M936" i="1" s="1"/>
  <c r="N936" i="1" s="1"/>
  <c r="K936" i="1"/>
  <c r="L935" i="1"/>
  <c r="M935" i="1" s="1"/>
  <c r="N935" i="1" s="1"/>
  <c r="K935" i="1"/>
  <c r="N934" i="1"/>
  <c r="L934" i="1"/>
  <c r="M934" i="1" s="1"/>
  <c r="K934" i="1"/>
  <c r="L933" i="1"/>
  <c r="K933" i="1"/>
  <c r="L932" i="1"/>
  <c r="M932" i="1" s="1"/>
  <c r="N932" i="1" s="1"/>
  <c r="K932" i="1"/>
  <c r="L931" i="1"/>
  <c r="K931" i="1"/>
  <c r="M930" i="1"/>
  <c r="N930" i="1" s="1"/>
  <c r="L930" i="1"/>
  <c r="K930" i="1"/>
  <c r="L929" i="1"/>
  <c r="M929" i="1" s="1"/>
  <c r="N929" i="1" s="1"/>
  <c r="K929" i="1"/>
  <c r="L928" i="1"/>
  <c r="M928" i="1" s="1"/>
  <c r="N928" i="1" s="1"/>
  <c r="K928" i="1"/>
  <c r="L927" i="1"/>
  <c r="M927" i="1" s="1"/>
  <c r="N927" i="1" s="1"/>
  <c r="K927" i="1"/>
  <c r="L926" i="1"/>
  <c r="M926" i="1" s="1"/>
  <c r="N926" i="1" s="1"/>
  <c r="K926" i="1"/>
  <c r="L925" i="1"/>
  <c r="K925" i="1"/>
  <c r="L924" i="1"/>
  <c r="K924" i="1"/>
  <c r="M923" i="1"/>
  <c r="N923" i="1" s="1"/>
  <c r="L923" i="1"/>
  <c r="K923" i="1"/>
  <c r="M922" i="1"/>
  <c r="N922" i="1" s="1"/>
  <c r="L922" i="1"/>
  <c r="K922" i="1"/>
  <c r="L921" i="1"/>
  <c r="K921" i="1"/>
  <c r="L920" i="1"/>
  <c r="M920" i="1" s="1"/>
  <c r="N920" i="1" s="1"/>
  <c r="K920" i="1"/>
  <c r="L919" i="1"/>
  <c r="K919" i="1"/>
  <c r="M918" i="1"/>
  <c r="N918" i="1" s="1"/>
  <c r="L918" i="1"/>
  <c r="K918" i="1"/>
  <c r="L917" i="1"/>
  <c r="K917" i="1"/>
  <c r="L916" i="1"/>
  <c r="K916" i="1"/>
  <c r="N915" i="1"/>
  <c r="L915" i="1"/>
  <c r="M915" i="1" s="1"/>
  <c r="K915" i="1"/>
  <c r="L914" i="1"/>
  <c r="K914" i="1"/>
  <c r="L913" i="1"/>
  <c r="M913" i="1" s="1"/>
  <c r="N913" i="1" s="1"/>
  <c r="K913" i="1"/>
  <c r="N912" i="1"/>
  <c r="L912" i="1"/>
  <c r="M912" i="1" s="1"/>
  <c r="K912" i="1"/>
  <c r="L911" i="1"/>
  <c r="M911" i="1" s="1"/>
  <c r="N911" i="1" s="1"/>
  <c r="K911" i="1"/>
  <c r="L910" i="1"/>
  <c r="K910" i="1"/>
  <c r="L909" i="1"/>
  <c r="K909" i="1"/>
  <c r="L908" i="1"/>
  <c r="M908" i="1" s="1"/>
  <c r="N908" i="1" s="1"/>
  <c r="K908" i="1"/>
  <c r="N907" i="1"/>
  <c r="M907" i="1"/>
  <c r="L907" i="1"/>
  <c r="K907" i="1"/>
  <c r="L906" i="1"/>
  <c r="K906" i="1"/>
  <c r="L905" i="1"/>
  <c r="M905" i="1" s="1"/>
  <c r="N905" i="1" s="1"/>
  <c r="K905" i="1"/>
  <c r="M904" i="1"/>
  <c r="N904" i="1" s="1"/>
  <c r="L904" i="1"/>
  <c r="K904" i="1"/>
  <c r="M903" i="1"/>
  <c r="N903" i="1" s="1"/>
  <c r="L903" i="1"/>
  <c r="K903" i="1"/>
  <c r="N902" i="1"/>
  <c r="M902" i="1"/>
  <c r="L902" i="1"/>
  <c r="K902" i="1"/>
  <c r="L901" i="1"/>
  <c r="M901" i="1" s="1"/>
  <c r="N901" i="1" s="1"/>
  <c r="K901" i="1"/>
  <c r="M900" i="1"/>
  <c r="N900" i="1" s="1"/>
  <c r="L900" i="1"/>
  <c r="K900" i="1"/>
  <c r="L899" i="1"/>
  <c r="K899" i="1"/>
  <c r="M899" i="1" s="1"/>
  <c r="N899" i="1" s="1"/>
  <c r="L898" i="1"/>
  <c r="K898" i="1"/>
  <c r="M898" i="1" s="1"/>
  <c r="N898" i="1" s="1"/>
  <c r="L897" i="1"/>
  <c r="M897" i="1" s="1"/>
  <c r="N897" i="1" s="1"/>
  <c r="K897" i="1"/>
  <c r="M896" i="1"/>
  <c r="N896" i="1" s="1"/>
  <c r="L896" i="1"/>
  <c r="K896" i="1"/>
  <c r="L895" i="1"/>
  <c r="M895" i="1" s="1"/>
  <c r="N895" i="1" s="1"/>
  <c r="K895" i="1"/>
  <c r="M894" i="1"/>
  <c r="N894" i="1" s="1"/>
  <c r="L894" i="1"/>
  <c r="K894" i="1"/>
  <c r="L893" i="1"/>
  <c r="M893" i="1" s="1"/>
  <c r="N893" i="1" s="1"/>
  <c r="K893" i="1"/>
  <c r="L892" i="1"/>
  <c r="M892" i="1" s="1"/>
  <c r="N892" i="1" s="1"/>
  <c r="K892" i="1"/>
  <c r="L891" i="1"/>
  <c r="M891" i="1" s="1"/>
  <c r="N891" i="1" s="1"/>
  <c r="K891" i="1"/>
  <c r="N890" i="1"/>
  <c r="L890" i="1"/>
  <c r="M890" i="1" s="1"/>
  <c r="K890" i="1"/>
  <c r="L889" i="1"/>
  <c r="M889" i="1" s="1"/>
  <c r="N889" i="1" s="1"/>
  <c r="K889" i="1"/>
  <c r="M888" i="1"/>
  <c r="N888" i="1" s="1"/>
  <c r="L888" i="1"/>
  <c r="K888" i="1"/>
  <c r="L887" i="1"/>
  <c r="K887" i="1"/>
  <c r="L886" i="1"/>
  <c r="M886" i="1" s="1"/>
  <c r="N886" i="1" s="1"/>
  <c r="K886" i="1"/>
  <c r="L885" i="1"/>
  <c r="M885" i="1" s="1"/>
  <c r="N885" i="1" s="1"/>
  <c r="K885" i="1"/>
  <c r="L884" i="1"/>
  <c r="M884" i="1" s="1"/>
  <c r="N884" i="1" s="1"/>
  <c r="K884" i="1"/>
  <c r="L883" i="1"/>
  <c r="K883" i="1"/>
  <c r="L882" i="1"/>
  <c r="K882" i="1"/>
  <c r="L881" i="1"/>
  <c r="K881" i="1"/>
  <c r="L880" i="1"/>
  <c r="K880" i="1"/>
  <c r="M880" i="1" s="1"/>
  <c r="N880" i="1" s="1"/>
  <c r="M879" i="1"/>
  <c r="N879" i="1" s="1"/>
  <c r="L879" i="1"/>
  <c r="K879" i="1"/>
  <c r="L878" i="1"/>
  <c r="K878" i="1"/>
  <c r="L877" i="1"/>
  <c r="K877" i="1"/>
  <c r="L876" i="1"/>
  <c r="M876" i="1" s="1"/>
  <c r="N876" i="1" s="1"/>
  <c r="K876" i="1"/>
  <c r="L875" i="1"/>
  <c r="K875" i="1"/>
  <c r="M875" i="1" s="1"/>
  <c r="N875" i="1" s="1"/>
  <c r="L874" i="1"/>
  <c r="M874" i="1" s="1"/>
  <c r="N874" i="1" s="1"/>
  <c r="K874" i="1"/>
  <c r="L873" i="1"/>
  <c r="M873" i="1" s="1"/>
  <c r="N873" i="1" s="1"/>
  <c r="K873" i="1"/>
  <c r="M872" i="1"/>
  <c r="N872" i="1" s="1"/>
  <c r="L872" i="1"/>
  <c r="K872" i="1"/>
  <c r="N871" i="1"/>
  <c r="M871" i="1"/>
  <c r="L871" i="1"/>
  <c r="K871" i="1"/>
  <c r="L870" i="1"/>
  <c r="M870" i="1" s="1"/>
  <c r="N870" i="1" s="1"/>
  <c r="K870" i="1"/>
  <c r="L869" i="1"/>
  <c r="K869" i="1"/>
  <c r="N868" i="1"/>
  <c r="M868" i="1"/>
  <c r="L868" i="1"/>
  <c r="K868" i="1"/>
  <c r="L867" i="1"/>
  <c r="K867" i="1"/>
  <c r="L866" i="1"/>
  <c r="M866" i="1" s="1"/>
  <c r="N866" i="1" s="1"/>
  <c r="K866" i="1"/>
  <c r="L865" i="1"/>
  <c r="M865" i="1" s="1"/>
  <c r="N865" i="1" s="1"/>
  <c r="K865" i="1"/>
  <c r="L864" i="1"/>
  <c r="K864" i="1"/>
  <c r="L863" i="1"/>
  <c r="M863" i="1" s="1"/>
  <c r="N863" i="1" s="1"/>
  <c r="K863" i="1"/>
  <c r="L862" i="1"/>
  <c r="M862" i="1" s="1"/>
  <c r="N862" i="1" s="1"/>
  <c r="K862" i="1"/>
  <c r="L861" i="1"/>
  <c r="M861" i="1" s="1"/>
  <c r="N861" i="1" s="1"/>
  <c r="K861" i="1"/>
  <c r="L860" i="1"/>
  <c r="K860" i="1"/>
  <c r="L859" i="1"/>
  <c r="M859" i="1" s="1"/>
  <c r="N859" i="1" s="1"/>
  <c r="K859" i="1"/>
  <c r="L858" i="1"/>
  <c r="M858" i="1" s="1"/>
  <c r="N858" i="1" s="1"/>
  <c r="K858" i="1"/>
  <c r="L857" i="1"/>
  <c r="K857" i="1"/>
  <c r="M856" i="1"/>
  <c r="N856" i="1" s="1"/>
  <c r="L856" i="1"/>
  <c r="K856" i="1"/>
  <c r="L855" i="1"/>
  <c r="M855" i="1" s="1"/>
  <c r="N855" i="1" s="1"/>
  <c r="K855" i="1"/>
  <c r="L854" i="1"/>
  <c r="M854" i="1" s="1"/>
  <c r="N854" i="1" s="1"/>
  <c r="K854" i="1"/>
  <c r="L853" i="1"/>
  <c r="K853" i="1"/>
  <c r="L852" i="1"/>
  <c r="K852" i="1"/>
  <c r="M852" i="1" s="1"/>
  <c r="N852" i="1" s="1"/>
  <c r="L851" i="1"/>
  <c r="M851" i="1" s="1"/>
  <c r="N851" i="1" s="1"/>
  <c r="K851" i="1"/>
  <c r="L850" i="1"/>
  <c r="M850" i="1" s="1"/>
  <c r="N850" i="1" s="1"/>
  <c r="K850" i="1"/>
  <c r="L849" i="1"/>
  <c r="K849" i="1"/>
  <c r="L848" i="1"/>
  <c r="K848" i="1"/>
  <c r="L847" i="1"/>
  <c r="M847" i="1" s="1"/>
  <c r="N847" i="1" s="1"/>
  <c r="K847" i="1"/>
  <c r="L846" i="1"/>
  <c r="K846" i="1"/>
  <c r="L845" i="1"/>
  <c r="K845" i="1"/>
  <c r="L844" i="1"/>
  <c r="M844" i="1" s="1"/>
  <c r="N844" i="1" s="1"/>
  <c r="K844" i="1"/>
  <c r="L843" i="1"/>
  <c r="M843" i="1" s="1"/>
  <c r="N843" i="1" s="1"/>
  <c r="K843" i="1"/>
  <c r="L842" i="1"/>
  <c r="K842" i="1"/>
  <c r="L841" i="1"/>
  <c r="K841" i="1"/>
  <c r="L840" i="1"/>
  <c r="M840" i="1" s="1"/>
  <c r="N840" i="1" s="1"/>
  <c r="K840" i="1"/>
  <c r="L839" i="1"/>
  <c r="M839" i="1" s="1"/>
  <c r="N839" i="1" s="1"/>
  <c r="K839" i="1"/>
  <c r="M838" i="1"/>
  <c r="N838" i="1" s="1"/>
  <c r="L838" i="1"/>
  <c r="K838" i="1"/>
  <c r="L837" i="1"/>
  <c r="K837" i="1"/>
  <c r="L836" i="1"/>
  <c r="M836" i="1" s="1"/>
  <c r="N836" i="1" s="1"/>
  <c r="K836" i="1"/>
  <c r="N835" i="1"/>
  <c r="L835" i="1"/>
  <c r="M835" i="1" s="1"/>
  <c r="K835" i="1"/>
  <c r="L834" i="1"/>
  <c r="M834" i="1" s="1"/>
  <c r="N834" i="1" s="1"/>
  <c r="K834" i="1"/>
  <c r="L833" i="1"/>
  <c r="M833" i="1" s="1"/>
  <c r="N833" i="1" s="1"/>
  <c r="K833" i="1"/>
  <c r="L832" i="1"/>
  <c r="K832" i="1"/>
  <c r="L831" i="1"/>
  <c r="M831" i="1" s="1"/>
  <c r="N831" i="1" s="1"/>
  <c r="K831" i="1"/>
  <c r="L830" i="1"/>
  <c r="M830" i="1" s="1"/>
  <c r="N830" i="1" s="1"/>
  <c r="K830" i="1"/>
  <c r="L829" i="1"/>
  <c r="K829" i="1"/>
  <c r="L828" i="1"/>
  <c r="M828" i="1" s="1"/>
  <c r="N828" i="1" s="1"/>
  <c r="K828" i="1"/>
  <c r="L827" i="1"/>
  <c r="M827" i="1" s="1"/>
  <c r="N827" i="1" s="1"/>
  <c r="K827" i="1"/>
  <c r="L826" i="1"/>
  <c r="M826" i="1" s="1"/>
  <c r="N826" i="1" s="1"/>
  <c r="K826" i="1"/>
  <c r="L825" i="1"/>
  <c r="M825" i="1" s="1"/>
  <c r="N825" i="1" s="1"/>
  <c r="K825" i="1"/>
  <c r="M824" i="1"/>
  <c r="N824" i="1" s="1"/>
  <c r="L824" i="1"/>
  <c r="K824" i="1"/>
  <c r="L823" i="1"/>
  <c r="K823" i="1"/>
  <c r="L822" i="1"/>
  <c r="M822" i="1" s="1"/>
  <c r="N822" i="1" s="1"/>
  <c r="K822" i="1"/>
  <c r="L821" i="1"/>
  <c r="K821" i="1"/>
  <c r="L820" i="1"/>
  <c r="M820" i="1" s="1"/>
  <c r="N820" i="1" s="1"/>
  <c r="K820" i="1"/>
  <c r="L819" i="1"/>
  <c r="K819" i="1"/>
  <c r="M818" i="1"/>
  <c r="N818" i="1" s="1"/>
  <c r="L818" i="1"/>
  <c r="K818" i="1"/>
  <c r="L817" i="1"/>
  <c r="M817" i="1" s="1"/>
  <c r="N817" i="1" s="1"/>
  <c r="K817" i="1"/>
  <c r="L816" i="1"/>
  <c r="K816" i="1"/>
  <c r="M816" i="1" s="1"/>
  <c r="N816" i="1" s="1"/>
  <c r="L815" i="1"/>
  <c r="M815" i="1" s="1"/>
  <c r="N815" i="1" s="1"/>
  <c r="K815" i="1"/>
  <c r="L814" i="1"/>
  <c r="K814" i="1"/>
  <c r="M814" i="1" s="1"/>
  <c r="N814" i="1" s="1"/>
  <c r="L813" i="1"/>
  <c r="M813" i="1" s="1"/>
  <c r="N813" i="1" s="1"/>
  <c r="K813" i="1"/>
  <c r="M812" i="1"/>
  <c r="N812" i="1" s="1"/>
  <c r="L812" i="1"/>
  <c r="K812" i="1"/>
  <c r="L811" i="1"/>
  <c r="M811" i="1" s="1"/>
  <c r="N811" i="1" s="1"/>
  <c r="K811" i="1"/>
  <c r="L810" i="1"/>
  <c r="M810" i="1" s="1"/>
  <c r="N810" i="1" s="1"/>
  <c r="K810" i="1"/>
  <c r="L809" i="1"/>
  <c r="M809" i="1" s="1"/>
  <c r="N809" i="1" s="1"/>
  <c r="K809" i="1"/>
  <c r="M808" i="1"/>
  <c r="N808" i="1" s="1"/>
  <c r="L808" i="1"/>
  <c r="K808" i="1"/>
  <c r="L807" i="1"/>
  <c r="M807" i="1" s="1"/>
  <c r="N807" i="1" s="1"/>
  <c r="K807" i="1"/>
  <c r="L806" i="1"/>
  <c r="M806" i="1" s="1"/>
  <c r="N806" i="1" s="1"/>
  <c r="K806" i="1"/>
  <c r="L805" i="1"/>
  <c r="M805" i="1" s="1"/>
  <c r="N805" i="1" s="1"/>
  <c r="K805" i="1"/>
  <c r="L804" i="1"/>
  <c r="K804" i="1"/>
  <c r="L803" i="1"/>
  <c r="K803" i="1"/>
  <c r="L802" i="1"/>
  <c r="K802" i="1"/>
  <c r="L801" i="1"/>
  <c r="M801" i="1" s="1"/>
  <c r="N801" i="1" s="1"/>
  <c r="K801" i="1"/>
  <c r="L800" i="1"/>
  <c r="M800" i="1" s="1"/>
  <c r="N800" i="1" s="1"/>
  <c r="K800" i="1"/>
  <c r="L799" i="1"/>
  <c r="M799" i="1" s="1"/>
  <c r="N799" i="1" s="1"/>
  <c r="K799" i="1"/>
  <c r="L798" i="1"/>
  <c r="M798" i="1" s="1"/>
  <c r="N798" i="1" s="1"/>
  <c r="K798" i="1"/>
  <c r="L797" i="1"/>
  <c r="M797" i="1" s="1"/>
  <c r="N797" i="1" s="1"/>
  <c r="K797" i="1"/>
  <c r="L796" i="1"/>
  <c r="K796" i="1"/>
  <c r="M795" i="1"/>
  <c r="N795" i="1" s="1"/>
  <c r="L795" i="1"/>
  <c r="K795" i="1"/>
  <c r="M794" i="1"/>
  <c r="N794" i="1" s="1"/>
  <c r="L794" i="1"/>
  <c r="K794" i="1"/>
  <c r="L793" i="1"/>
  <c r="K793" i="1"/>
  <c r="M792" i="1"/>
  <c r="N792" i="1" s="1"/>
  <c r="L792" i="1"/>
  <c r="K792" i="1"/>
  <c r="L791" i="1"/>
  <c r="K791" i="1"/>
  <c r="M791" i="1" s="1"/>
  <c r="N791" i="1" s="1"/>
  <c r="M790" i="1"/>
  <c r="N790" i="1" s="1"/>
  <c r="L790" i="1"/>
  <c r="K790" i="1"/>
  <c r="L789" i="1"/>
  <c r="M789" i="1" s="1"/>
  <c r="N789" i="1" s="1"/>
  <c r="K789" i="1"/>
  <c r="L788" i="1"/>
  <c r="K788" i="1"/>
  <c r="L787" i="1"/>
  <c r="M787" i="1" s="1"/>
  <c r="N787" i="1" s="1"/>
  <c r="K787" i="1"/>
  <c r="L786" i="1"/>
  <c r="M786" i="1" s="1"/>
  <c r="N786" i="1" s="1"/>
  <c r="K786" i="1"/>
  <c r="L785" i="1"/>
  <c r="K785" i="1"/>
  <c r="M784" i="1"/>
  <c r="N784" i="1" s="1"/>
  <c r="L784" i="1"/>
  <c r="K784" i="1"/>
  <c r="N783" i="1"/>
  <c r="L783" i="1"/>
  <c r="M783" i="1" s="1"/>
  <c r="K783" i="1"/>
  <c r="L782" i="1"/>
  <c r="M782" i="1" s="1"/>
  <c r="N782" i="1" s="1"/>
  <c r="K782" i="1"/>
  <c r="L781" i="1"/>
  <c r="M781" i="1" s="1"/>
  <c r="N781" i="1" s="1"/>
  <c r="K781" i="1"/>
  <c r="L780" i="1"/>
  <c r="M780" i="1" s="1"/>
  <c r="N780" i="1" s="1"/>
  <c r="K780" i="1"/>
  <c r="M779" i="1"/>
  <c r="N779" i="1" s="1"/>
  <c r="L779" i="1"/>
  <c r="K779" i="1"/>
  <c r="L778" i="1"/>
  <c r="K778" i="1"/>
  <c r="L777" i="1"/>
  <c r="K777" i="1"/>
  <c r="L776" i="1"/>
  <c r="K776" i="1"/>
  <c r="M776" i="1" s="1"/>
  <c r="N776" i="1" s="1"/>
  <c r="M775" i="1"/>
  <c r="N775" i="1" s="1"/>
  <c r="L775" i="1"/>
  <c r="K775" i="1"/>
  <c r="L774" i="1"/>
  <c r="M774" i="1" s="1"/>
  <c r="N774" i="1" s="1"/>
  <c r="K774" i="1"/>
  <c r="L773" i="1"/>
  <c r="K773" i="1"/>
  <c r="L772" i="1"/>
  <c r="K772" i="1"/>
  <c r="M772" i="1" s="1"/>
  <c r="N772" i="1" s="1"/>
  <c r="L771" i="1"/>
  <c r="M771" i="1" s="1"/>
  <c r="N771" i="1" s="1"/>
  <c r="K771" i="1"/>
  <c r="L770" i="1"/>
  <c r="M770" i="1" s="1"/>
  <c r="N770" i="1" s="1"/>
  <c r="K770" i="1"/>
  <c r="L769" i="1"/>
  <c r="M769" i="1" s="1"/>
  <c r="N769" i="1" s="1"/>
  <c r="K769" i="1"/>
  <c r="L768" i="1"/>
  <c r="M768" i="1" s="1"/>
  <c r="N768" i="1" s="1"/>
  <c r="K768" i="1"/>
  <c r="L767" i="1"/>
  <c r="K767" i="1"/>
  <c r="M767" i="1" s="1"/>
  <c r="N767" i="1" s="1"/>
  <c r="L766" i="1"/>
  <c r="K766" i="1"/>
  <c r="L765" i="1"/>
  <c r="K765" i="1"/>
  <c r="L764" i="1"/>
  <c r="K764" i="1"/>
  <c r="L763" i="1"/>
  <c r="M763" i="1" s="1"/>
  <c r="N763" i="1" s="1"/>
  <c r="K763" i="1"/>
  <c r="L762" i="1"/>
  <c r="M762" i="1" s="1"/>
  <c r="N762" i="1" s="1"/>
  <c r="K762" i="1"/>
  <c r="L761" i="1"/>
  <c r="K761" i="1"/>
  <c r="L760" i="1"/>
  <c r="M760" i="1" s="1"/>
  <c r="N760" i="1" s="1"/>
  <c r="K760" i="1"/>
  <c r="L759" i="1"/>
  <c r="M759" i="1" s="1"/>
  <c r="N759" i="1" s="1"/>
  <c r="K759" i="1"/>
  <c r="L758" i="1"/>
  <c r="M758" i="1" s="1"/>
  <c r="N758" i="1" s="1"/>
  <c r="K758" i="1"/>
  <c r="L757" i="1"/>
  <c r="K757" i="1"/>
  <c r="L756" i="1"/>
  <c r="K756" i="1"/>
  <c r="L755" i="1"/>
  <c r="K755" i="1"/>
  <c r="M754" i="1"/>
  <c r="N754" i="1" s="1"/>
  <c r="L754" i="1"/>
  <c r="K754" i="1"/>
  <c r="L753" i="1"/>
  <c r="K753" i="1"/>
  <c r="L752" i="1"/>
  <c r="M752" i="1" s="1"/>
  <c r="N752" i="1" s="1"/>
  <c r="K752" i="1"/>
  <c r="L751" i="1"/>
  <c r="M751" i="1" s="1"/>
  <c r="N751" i="1" s="1"/>
  <c r="K751" i="1"/>
  <c r="L750" i="1"/>
  <c r="K750" i="1"/>
  <c r="M750" i="1" s="1"/>
  <c r="N750" i="1" s="1"/>
  <c r="L749" i="1"/>
  <c r="K749" i="1"/>
  <c r="L748" i="1"/>
  <c r="K748" i="1"/>
  <c r="M748" i="1" s="1"/>
  <c r="N748" i="1" s="1"/>
  <c r="L747" i="1"/>
  <c r="M747" i="1" s="1"/>
  <c r="N747" i="1" s="1"/>
  <c r="K747" i="1"/>
  <c r="L746" i="1"/>
  <c r="K746" i="1"/>
  <c r="L745" i="1"/>
  <c r="K745" i="1"/>
  <c r="L744" i="1"/>
  <c r="M744" i="1" s="1"/>
  <c r="N744" i="1" s="1"/>
  <c r="K744" i="1"/>
  <c r="L743" i="1"/>
  <c r="K743" i="1"/>
  <c r="L742" i="1"/>
  <c r="M742" i="1" s="1"/>
  <c r="N742" i="1" s="1"/>
  <c r="K742" i="1"/>
  <c r="L741" i="1"/>
  <c r="M741" i="1" s="1"/>
  <c r="N741" i="1" s="1"/>
  <c r="K741" i="1"/>
  <c r="L740" i="1"/>
  <c r="K740" i="1"/>
  <c r="L739" i="1"/>
  <c r="M739" i="1" s="1"/>
  <c r="N739" i="1" s="1"/>
  <c r="K739" i="1"/>
  <c r="L738" i="1"/>
  <c r="K738" i="1"/>
  <c r="L737" i="1"/>
  <c r="M737" i="1" s="1"/>
  <c r="N737" i="1" s="1"/>
  <c r="K737" i="1"/>
  <c r="L736" i="1"/>
  <c r="K736" i="1"/>
  <c r="L735" i="1"/>
  <c r="M735" i="1" s="1"/>
  <c r="N735" i="1" s="1"/>
  <c r="K735" i="1"/>
  <c r="N734" i="1"/>
  <c r="L734" i="1"/>
  <c r="M734" i="1" s="1"/>
  <c r="K734" i="1"/>
  <c r="L733" i="1"/>
  <c r="K733" i="1"/>
  <c r="L732" i="1"/>
  <c r="K732" i="1"/>
  <c r="L731" i="1"/>
  <c r="M731" i="1" s="1"/>
  <c r="N731" i="1" s="1"/>
  <c r="K731" i="1"/>
  <c r="L730" i="1"/>
  <c r="K730" i="1"/>
  <c r="M730" i="1" s="1"/>
  <c r="N730" i="1" s="1"/>
  <c r="L729" i="1"/>
  <c r="K729" i="1"/>
  <c r="L728" i="1"/>
  <c r="M728" i="1" s="1"/>
  <c r="N728" i="1" s="1"/>
  <c r="K728" i="1"/>
  <c r="L727" i="1"/>
  <c r="K727" i="1"/>
  <c r="M727" i="1" s="1"/>
  <c r="N727" i="1" s="1"/>
  <c r="L726" i="1"/>
  <c r="M726" i="1" s="1"/>
  <c r="N726" i="1" s="1"/>
  <c r="K726" i="1"/>
  <c r="L725" i="1"/>
  <c r="K725" i="1"/>
  <c r="L724" i="1"/>
  <c r="M724" i="1" s="1"/>
  <c r="N724" i="1" s="1"/>
  <c r="K724" i="1"/>
  <c r="L723" i="1"/>
  <c r="K723" i="1"/>
  <c r="L722" i="1"/>
  <c r="M722" i="1" s="1"/>
  <c r="N722" i="1" s="1"/>
  <c r="K722" i="1"/>
  <c r="L721" i="1"/>
  <c r="K721" i="1"/>
  <c r="N720" i="1"/>
  <c r="L720" i="1"/>
  <c r="M720" i="1" s="1"/>
  <c r="K720" i="1"/>
  <c r="L719" i="1"/>
  <c r="M719" i="1" s="1"/>
  <c r="N719" i="1" s="1"/>
  <c r="K719" i="1"/>
  <c r="L718" i="1"/>
  <c r="M718" i="1" s="1"/>
  <c r="N718" i="1" s="1"/>
  <c r="K718" i="1"/>
  <c r="L717" i="1"/>
  <c r="K717" i="1"/>
  <c r="L716" i="1"/>
  <c r="M716" i="1" s="1"/>
  <c r="N716" i="1" s="1"/>
  <c r="K716" i="1"/>
  <c r="L715" i="1"/>
  <c r="K715" i="1"/>
  <c r="N714" i="1"/>
  <c r="L714" i="1"/>
  <c r="M714" i="1" s="1"/>
  <c r="K714" i="1"/>
  <c r="L713" i="1"/>
  <c r="K713" i="1"/>
  <c r="L712" i="1"/>
  <c r="M712" i="1" s="1"/>
  <c r="N712" i="1" s="1"/>
  <c r="K712" i="1"/>
  <c r="L711" i="1"/>
  <c r="M711" i="1" s="1"/>
  <c r="N711" i="1" s="1"/>
  <c r="K711" i="1"/>
  <c r="L710" i="1"/>
  <c r="K710" i="1"/>
  <c r="M710" i="1" s="1"/>
  <c r="N710" i="1" s="1"/>
  <c r="M709" i="1"/>
  <c r="N709" i="1" s="1"/>
  <c r="L709" i="1"/>
  <c r="K709" i="1"/>
  <c r="L708" i="1"/>
  <c r="M708" i="1" s="1"/>
  <c r="N708" i="1" s="1"/>
  <c r="K708" i="1"/>
  <c r="M707" i="1"/>
  <c r="N707" i="1" s="1"/>
  <c r="L707" i="1"/>
  <c r="K707" i="1"/>
  <c r="M706" i="1"/>
  <c r="N706" i="1" s="1"/>
  <c r="L706" i="1"/>
  <c r="K706" i="1"/>
  <c r="L705" i="1"/>
  <c r="K705" i="1"/>
  <c r="L704" i="1"/>
  <c r="K704" i="1"/>
  <c r="M703" i="1"/>
  <c r="N703" i="1" s="1"/>
  <c r="L703" i="1"/>
  <c r="K703" i="1"/>
  <c r="L702" i="1"/>
  <c r="M702" i="1" s="1"/>
  <c r="N702" i="1" s="1"/>
  <c r="K702" i="1"/>
  <c r="L701" i="1"/>
  <c r="K701" i="1"/>
  <c r="L700" i="1"/>
  <c r="M700" i="1" s="1"/>
  <c r="N700" i="1" s="1"/>
  <c r="K700" i="1"/>
  <c r="M699" i="1"/>
  <c r="N699" i="1" s="1"/>
  <c r="L699" i="1"/>
  <c r="K699" i="1"/>
  <c r="L698" i="1"/>
  <c r="M698" i="1" s="1"/>
  <c r="N698" i="1" s="1"/>
  <c r="K698" i="1"/>
  <c r="M697" i="1"/>
  <c r="N697" i="1" s="1"/>
  <c r="L697" i="1"/>
  <c r="K697" i="1"/>
  <c r="L696" i="1"/>
  <c r="M696" i="1" s="1"/>
  <c r="N696" i="1" s="1"/>
  <c r="K696" i="1"/>
  <c r="L695" i="1"/>
  <c r="K695" i="1"/>
  <c r="L694" i="1"/>
  <c r="K694" i="1"/>
  <c r="M694" i="1" s="1"/>
  <c r="N694" i="1" s="1"/>
  <c r="L693" i="1"/>
  <c r="M693" i="1" s="1"/>
  <c r="N693" i="1" s="1"/>
  <c r="K693" i="1"/>
  <c r="L692" i="1"/>
  <c r="M692" i="1" s="1"/>
  <c r="N692" i="1" s="1"/>
  <c r="K692" i="1"/>
  <c r="L691" i="1"/>
  <c r="M691" i="1" s="1"/>
  <c r="N691" i="1" s="1"/>
  <c r="K691" i="1"/>
  <c r="L690" i="1"/>
  <c r="M690" i="1" s="1"/>
  <c r="N690" i="1" s="1"/>
  <c r="K690" i="1"/>
  <c r="L689" i="1"/>
  <c r="K689" i="1"/>
  <c r="M689" i="1" s="1"/>
  <c r="N689" i="1" s="1"/>
  <c r="L688" i="1"/>
  <c r="M688" i="1" s="1"/>
  <c r="N688" i="1" s="1"/>
  <c r="K688" i="1"/>
  <c r="L687" i="1"/>
  <c r="M687" i="1" s="1"/>
  <c r="N687" i="1" s="1"/>
  <c r="K687" i="1"/>
  <c r="L686" i="1"/>
  <c r="K686" i="1"/>
  <c r="L685" i="1"/>
  <c r="K685" i="1"/>
  <c r="M685" i="1" s="1"/>
  <c r="N685" i="1" s="1"/>
  <c r="L684" i="1"/>
  <c r="K684" i="1"/>
  <c r="N683" i="1"/>
  <c r="M683" i="1"/>
  <c r="L683" i="1"/>
  <c r="K683" i="1"/>
  <c r="L682" i="1"/>
  <c r="K682" i="1"/>
  <c r="L681" i="1"/>
  <c r="K681" i="1"/>
  <c r="L680" i="1"/>
  <c r="K680" i="1"/>
  <c r="M680" i="1" s="1"/>
  <c r="N680" i="1" s="1"/>
  <c r="L679" i="1"/>
  <c r="K679" i="1"/>
  <c r="L678" i="1"/>
  <c r="M678" i="1" s="1"/>
  <c r="N678" i="1" s="1"/>
  <c r="K678" i="1"/>
  <c r="L677" i="1"/>
  <c r="M677" i="1" s="1"/>
  <c r="N677" i="1" s="1"/>
  <c r="K677" i="1"/>
  <c r="L676" i="1"/>
  <c r="M676" i="1" s="1"/>
  <c r="N676" i="1" s="1"/>
  <c r="K676" i="1"/>
  <c r="L675" i="1"/>
  <c r="K675" i="1"/>
  <c r="M675" i="1" s="1"/>
  <c r="N675" i="1" s="1"/>
  <c r="L674" i="1"/>
  <c r="K674" i="1"/>
  <c r="L673" i="1"/>
  <c r="K673" i="1"/>
  <c r="L672" i="1"/>
  <c r="K672" i="1"/>
  <c r="M672" i="1" s="1"/>
  <c r="N672" i="1" s="1"/>
  <c r="L671" i="1"/>
  <c r="K671" i="1"/>
  <c r="L670" i="1"/>
  <c r="M670" i="1" s="1"/>
  <c r="N670" i="1" s="1"/>
  <c r="K670" i="1"/>
  <c r="L669" i="1"/>
  <c r="K669" i="1"/>
  <c r="L668" i="1"/>
  <c r="M668" i="1" s="1"/>
  <c r="N668" i="1" s="1"/>
  <c r="K668" i="1"/>
  <c r="L667" i="1"/>
  <c r="M667" i="1" s="1"/>
  <c r="N667" i="1" s="1"/>
  <c r="K667" i="1"/>
  <c r="L666" i="1"/>
  <c r="M666" i="1" s="1"/>
  <c r="N666" i="1" s="1"/>
  <c r="K666" i="1"/>
  <c r="M665" i="1"/>
  <c r="N665" i="1" s="1"/>
  <c r="L665" i="1"/>
  <c r="K665" i="1"/>
  <c r="L664" i="1"/>
  <c r="M664" i="1" s="1"/>
  <c r="N664" i="1" s="1"/>
  <c r="K664" i="1"/>
  <c r="M663" i="1"/>
  <c r="N663" i="1" s="1"/>
  <c r="L663" i="1"/>
  <c r="K663" i="1"/>
  <c r="L662" i="1"/>
  <c r="K662" i="1"/>
  <c r="L661" i="1"/>
  <c r="K661" i="1"/>
  <c r="M660" i="1"/>
  <c r="N660" i="1" s="1"/>
  <c r="L660" i="1"/>
  <c r="K660" i="1"/>
  <c r="L659" i="1"/>
  <c r="M659" i="1" s="1"/>
  <c r="N659" i="1" s="1"/>
  <c r="K659" i="1"/>
  <c r="L658" i="1"/>
  <c r="K658" i="1"/>
  <c r="L657" i="1"/>
  <c r="M657" i="1" s="1"/>
  <c r="N657" i="1" s="1"/>
  <c r="K657" i="1"/>
  <c r="L656" i="1"/>
  <c r="M656" i="1" s="1"/>
  <c r="N656" i="1" s="1"/>
  <c r="K656" i="1"/>
  <c r="L655" i="1"/>
  <c r="M655" i="1" s="1"/>
  <c r="N655" i="1" s="1"/>
  <c r="K655" i="1"/>
  <c r="L654" i="1"/>
  <c r="M654" i="1" s="1"/>
  <c r="N654" i="1" s="1"/>
  <c r="K654" i="1"/>
  <c r="L653" i="1"/>
  <c r="K653" i="1"/>
  <c r="L652" i="1"/>
  <c r="M652" i="1" s="1"/>
  <c r="N652" i="1" s="1"/>
  <c r="K652" i="1"/>
  <c r="L651" i="1"/>
  <c r="M651" i="1" s="1"/>
  <c r="N651" i="1" s="1"/>
  <c r="K651" i="1"/>
  <c r="L650" i="1"/>
  <c r="K650" i="1"/>
  <c r="M650" i="1" s="1"/>
  <c r="N650" i="1" s="1"/>
  <c r="L649" i="1"/>
  <c r="M649" i="1" s="1"/>
  <c r="N649" i="1" s="1"/>
  <c r="K649" i="1"/>
  <c r="L648" i="1"/>
  <c r="K648" i="1"/>
  <c r="L647" i="1"/>
  <c r="M647" i="1" s="1"/>
  <c r="N647" i="1" s="1"/>
  <c r="K647" i="1"/>
  <c r="L646" i="1"/>
  <c r="M646" i="1" s="1"/>
  <c r="N646" i="1" s="1"/>
  <c r="K646" i="1"/>
  <c r="L645" i="1"/>
  <c r="K645" i="1"/>
  <c r="L644" i="1"/>
  <c r="K644" i="1"/>
  <c r="L643" i="1"/>
  <c r="K643" i="1"/>
  <c r="L642" i="1"/>
  <c r="M642" i="1" s="1"/>
  <c r="N642" i="1" s="1"/>
  <c r="K642" i="1"/>
  <c r="L641" i="1"/>
  <c r="K641" i="1"/>
  <c r="M641" i="1" s="1"/>
  <c r="N641" i="1" s="1"/>
  <c r="L640" i="1"/>
  <c r="M640" i="1" s="1"/>
  <c r="N640" i="1" s="1"/>
  <c r="K640" i="1"/>
  <c r="L639" i="1"/>
  <c r="M639" i="1" s="1"/>
  <c r="N639" i="1" s="1"/>
  <c r="K639" i="1"/>
  <c r="L638" i="1"/>
  <c r="M638" i="1" s="1"/>
  <c r="N638" i="1" s="1"/>
  <c r="K638" i="1"/>
  <c r="L637" i="1"/>
  <c r="M637" i="1" s="1"/>
  <c r="N637" i="1" s="1"/>
  <c r="K637" i="1"/>
  <c r="L636" i="1"/>
  <c r="M636" i="1" s="1"/>
  <c r="N636" i="1" s="1"/>
  <c r="K636" i="1"/>
  <c r="L635" i="1"/>
  <c r="K635" i="1"/>
  <c r="L634" i="1"/>
  <c r="M634" i="1" s="1"/>
  <c r="N634" i="1" s="1"/>
  <c r="K634" i="1"/>
  <c r="L633" i="1"/>
  <c r="K633" i="1"/>
  <c r="M633" i="1" s="1"/>
  <c r="N633" i="1" s="1"/>
  <c r="L632" i="1"/>
  <c r="K632" i="1"/>
  <c r="M631" i="1"/>
  <c r="N631" i="1" s="1"/>
  <c r="L631" i="1"/>
  <c r="K631" i="1"/>
  <c r="L630" i="1"/>
  <c r="K630" i="1"/>
  <c r="L629" i="1"/>
  <c r="M629" i="1" s="1"/>
  <c r="N629" i="1" s="1"/>
  <c r="K629" i="1"/>
  <c r="L628" i="1"/>
  <c r="M628" i="1" s="1"/>
  <c r="N628" i="1" s="1"/>
  <c r="K628" i="1"/>
  <c r="L627" i="1"/>
  <c r="M627" i="1" s="1"/>
  <c r="N627" i="1" s="1"/>
  <c r="K627" i="1"/>
  <c r="M626" i="1"/>
  <c r="N626" i="1" s="1"/>
  <c r="L626" i="1"/>
  <c r="K626" i="1"/>
  <c r="M625" i="1"/>
  <c r="N625" i="1" s="1"/>
  <c r="L625" i="1"/>
  <c r="K625" i="1"/>
  <c r="M624" i="1"/>
  <c r="N624" i="1" s="1"/>
  <c r="L624" i="1"/>
  <c r="K624" i="1"/>
  <c r="L623" i="1"/>
  <c r="K623" i="1"/>
  <c r="L622" i="1"/>
  <c r="M622" i="1" s="1"/>
  <c r="N622" i="1" s="1"/>
  <c r="K622" i="1"/>
  <c r="L621" i="1"/>
  <c r="K621" i="1"/>
  <c r="L620" i="1"/>
  <c r="K620" i="1"/>
  <c r="N619" i="1"/>
  <c r="M619" i="1"/>
  <c r="L619" i="1"/>
  <c r="K619" i="1"/>
  <c r="L618" i="1"/>
  <c r="K618" i="1"/>
  <c r="M618" i="1" s="1"/>
  <c r="N618" i="1" s="1"/>
  <c r="M617" i="1"/>
  <c r="N617" i="1" s="1"/>
  <c r="L617" i="1"/>
  <c r="K617" i="1"/>
  <c r="L616" i="1"/>
  <c r="K616" i="1"/>
  <c r="M616" i="1" s="1"/>
  <c r="N616" i="1" s="1"/>
  <c r="L615" i="1"/>
  <c r="M615" i="1" s="1"/>
  <c r="N615" i="1" s="1"/>
  <c r="K615" i="1"/>
  <c r="M614" i="1"/>
  <c r="N614" i="1" s="1"/>
  <c r="L614" i="1"/>
  <c r="K614" i="1"/>
  <c r="L613" i="1"/>
  <c r="M613" i="1" s="1"/>
  <c r="N613" i="1" s="1"/>
  <c r="K613" i="1"/>
  <c r="M612" i="1"/>
  <c r="N612" i="1" s="1"/>
  <c r="L612" i="1"/>
  <c r="K612" i="1"/>
  <c r="L611" i="1"/>
  <c r="M611" i="1" s="1"/>
  <c r="N611" i="1" s="1"/>
  <c r="K611" i="1"/>
  <c r="L610" i="1"/>
  <c r="M610" i="1" s="1"/>
  <c r="N610" i="1" s="1"/>
  <c r="K610" i="1"/>
  <c r="L609" i="1"/>
  <c r="M609" i="1" s="1"/>
  <c r="N609" i="1" s="1"/>
  <c r="K609" i="1"/>
  <c r="L608" i="1"/>
  <c r="K608" i="1"/>
  <c r="M607" i="1"/>
  <c r="N607" i="1" s="1"/>
  <c r="L607" i="1"/>
  <c r="K607" i="1"/>
  <c r="L606" i="1"/>
  <c r="M606" i="1" s="1"/>
  <c r="N606" i="1" s="1"/>
  <c r="K606" i="1"/>
  <c r="M605" i="1"/>
  <c r="N605" i="1" s="1"/>
  <c r="L605" i="1"/>
  <c r="K605" i="1"/>
  <c r="M604" i="1"/>
  <c r="N604" i="1" s="1"/>
  <c r="L604" i="1"/>
  <c r="K604" i="1"/>
  <c r="L603" i="1"/>
  <c r="M603" i="1" s="1"/>
  <c r="N603" i="1" s="1"/>
  <c r="K603" i="1"/>
  <c r="L602" i="1"/>
  <c r="K602" i="1"/>
  <c r="L601" i="1"/>
  <c r="M601" i="1" s="1"/>
  <c r="N601" i="1" s="1"/>
  <c r="K601" i="1"/>
  <c r="L600" i="1"/>
  <c r="M600" i="1" s="1"/>
  <c r="N600" i="1" s="1"/>
  <c r="K600" i="1"/>
  <c r="L599" i="1"/>
  <c r="K599" i="1"/>
  <c r="M599" i="1" s="1"/>
  <c r="N599" i="1" s="1"/>
  <c r="L598" i="1"/>
  <c r="K598" i="1"/>
  <c r="L597" i="1"/>
  <c r="M597" i="1" s="1"/>
  <c r="N597" i="1" s="1"/>
  <c r="K597" i="1"/>
  <c r="L596" i="1"/>
  <c r="K596" i="1"/>
  <c r="L595" i="1"/>
  <c r="M595" i="1" s="1"/>
  <c r="N595" i="1" s="1"/>
  <c r="K595" i="1"/>
  <c r="M594" i="1"/>
  <c r="N594" i="1" s="1"/>
  <c r="L594" i="1"/>
  <c r="K594" i="1"/>
  <c r="N593" i="1"/>
  <c r="M593" i="1"/>
  <c r="L593" i="1"/>
  <c r="K593" i="1"/>
  <c r="L592" i="1"/>
  <c r="M592" i="1" s="1"/>
  <c r="N592" i="1" s="1"/>
  <c r="K592" i="1"/>
  <c r="M591" i="1"/>
  <c r="N591" i="1" s="1"/>
  <c r="L591" i="1"/>
  <c r="K591" i="1"/>
  <c r="L590" i="1"/>
  <c r="K590" i="1"/>
  <c r="L589" i="1"/>
  <c r="M589" i="1" s="1"/>
  <c r="N589" i="1" s="1"/>
  <c r="K589" i="1"/>
  <c r="L588" i="1"/>
  <c r="K588" i="1"/>
  <c r="M587" i="1"/>
  <c r="N587" i="1" s="1"/>
  <c r="L587" i="1"/>
  <c r="K587" i="1"/>
  <c r="L586" i="1"/>
  <c r="K586" i="1"/>
  <c r="M586" i="1" s="1"/>
  <c r="N586" i="1" s="1"/>
  <c r="L585" i="1"/>
  <c r="M585" i="1" s="1"/>
  <c r="N585" i="1" s="1"/>
  <c r="K585" i="1"/>
  <c r="M584" i="1"/>
  <c r="N584" i="1" s="1"/>
  <c r="L584" i="1"/>
  <c r="K584" i="1"/>
  <c r="L583" i="1"/>
  <c r="M583" i="1" s="1"/>
  <c r="N583" i="1" s="1"/>
  <c r="K583" i="1"/>
  <c r="M582" i="1"/>
  <c r="N582" i="1" s="1"/>
  <c r="L582" i="1"/>
  <c r="K582" i="1"/>
  <c r="L581" i="1"/>
  <c r="M581" i="1" s="1"/>
  <c r="N581" i="1" s="1"/>
  <c r="K581" i="1"/>
  <c r="L580" i="1"/>
  <c r="M580" i="1" s="1"/>
  <c r="N580" i="1" s="1"/>
  <c r="K580" i="1"/>
  <c r="L579" i="1"/>
  <c r="K579" i="1"/>
  <c r="L578" i="1"/>
  <c r="M578" i="1" s="1"/>
  <c r="N578" i="1" s="1"/>
  <c r="K578" i="1"/>
  <c r="L577" i="1"/>
  <c r="K577" i="1"/>
  <c r="M576" i="1"/>
  <c r="N576" i="1" s="1"/>
  <c r="L576" i="1"/>
  <c r="K576" i="1"/>
  <c r="N575" i="1"/>
  <c r="M575" i="1"/>
  <c r="L575" i="1"/>
  <c r="K575" i="1"/>
  <c r="L574" i="1"/>
  <c r="K574" i="1"/>
  <c r="L573" i="1"/>
  <c r="K573" i="1"/>
  <c r="L572" i="1"/>
  <c r="M572" i="1" s="1"/>
  <c r="N572" i="1" s="1"/>
  <c r="K572" i="1"/>
  <c r="L571" i="1"/>
  <c r="M571" i="1" s="1"/>
  <c r="N571" i="1" s="1"/>
  <c r="K571" i="1"/>
  <c r="L570" i="1"/>
  <c r="K570" i="1"/>
  <c r="M569" i="1"/>
  <c r="N569" i="1" s="1"/>
  <c r="L569" i="1"/>
  <c r="K569" i="1"/>
  <c r="L568" i="1"/>
  <c r="M568" i="1" s="1"/>
  <c r="N568" i="1" s="1"/>
  <c r="K568" i="1"/>
  <c r="L567" i="1"/>
  <c r="M567" i="1" s="1"/>
  <c r="N567" i="1" s="1"/>
  <c r="K567" i="1"/>
  <c r="M566" i="1"/>
  <c r="N566" i="1" s="1"/>
  <c r="L566" i="1"/>
  <c r="K566" i="1"/>
  <c r="L565" i="1"/>
  <c r="M565" i="1" s="1"/>
  <c r="N565" i="1" s="1"/>
  <c r="K565" i="1"/>
  <c r="L564" i="1"/>
  <c r="K564" i="1"/>
  <c r="L563" i="1"/>
  <c r="M563" i="1" s="1"/>
  <c r="N563" i="1" s="1"/>
  <c r="K563" i="1"/>
  <c r="L562" i="1"/>
  <c r="K562" i="1"/>
  <c r="M561" i="1"/>
  <c r="N561" i="1" s="1"/>
  <c r="L561" i="1"/>
  <c r="K561" i="1"/>
  <c r="M560" i="1"/>
  <c r="N560" i="1" s="1"/>
  <c r="L560" i="1"/>
  <c r="K560" i="1"/>
  <c r="L559" i="1"/>
  <c r="M559" i="1" s="1"/>
  <c r="N559" i="1" s="1"/>
  <c r="K559" i="1"/>
  <c r="L558" i="1"/>
  <c r="M558" i="1" s="1"/>
  <c r="N558" i="1" s="1"/>
  <c r="K558" i="1"/>
  <c r="L557" i="1"/>
  <c r="K557" i="1"/>
  <c r="L556" i="1"/>
  <c r="K556" i="1"/>
  <c r="L555" i="1"/>
  <c r="K555" i="1"/>
  <c r="L554" i="1"/>
  <c r="K554" i="1"/>
  <c r="L553" i="1"/>
  <c r="M553" i="1" s="1"/>
  <c r="N553" i="1" s="1"/>
  <c r="K553" i="1"/>
  <c r="L552" i="1"/>
  <c r="K552" i="1"/>
  <c r="M552" i="1" s="1"/>
  <c r="N552" i="1" s="1"/>
  <c r="L551" i="1"/>
  <c r="K551" i="1"/>
  <c r="L550" i="1"/>
  <c r="M550" i="1" s="1"/>
  <c r="N550" i="1" s="1"/>
  <c r="K550" i="1"/>
  <c r="L549" i="1"/>
  <c r="K549" i="1"/>
  <c r="L548" i="1"/>
  <c r="M548" i="1" s="1"/>
  <c r="N548" i="1" s="1"/>
  <c r="K548" i="1"/>
  <c r="M547" i="1"/>
  <c r="N547" i="1" s="1"/>
  <c r="L547" i="1"/>
  <c r="K547" i="1"/>
  <c r="M546" i="1"/>
  <c r="N546" i="1" s="1"/>
  <c r="L546" i="1"/>
  <c r="K546" i="1"/>
  <c r="L545" i="1"/>
  <c r="K545" i="1"/>
  <c r="N544" i="1"/>
  <c r="L544" i="1"/>
  <c r="M544" i="1" s="1"/>
  <c r="K544" i="1"/>
  <c r="L543" i="1"/>
  <c r="K543" i="1"/>
  <c r="L542" i="1"/>
  <c r="K542" i="1"/>
  <c r="L541" i="1"/>
  <c r="M541" i="1" s="1"/>
  <c r="N541" i="1" s="1"/>
  <c r="K541" i="1"/>
  <c r="L540" i="1"/>
  <c r="K540" i="1"/>
  <c r="L539" i="1"/>
  <c r="K539" i="1"/>
  <c r="L538" i="1"/>
  <c r="M538" i="1" s="1"/>
  <c r="N538" i="1" s="1"/>
  <c r="K538" i="1"/>
  <c r="L537" i="1"/>
  <c r="K537" i="1"/>
  <c r="L536" i="1"/>
  <c r="M536" i="1" s="1"/>
  <c r="N536" i="1" s="1"/>
  <c r="K536" i="1"/>
  <c r="L535" i="1"/>
  <c r="K535" i="1"/>
  <c r="M535" i="1" s="1"/>
  <c r="N535" i="1" s="1"/>
  <c r="L534" i="1"/>
  <c r="M534" i="1" s="1"/>
  <c r="N534" i="1" s="1"/>
  <c r="K534" i="1"/>
  <c r="L533" i="1"/>
  <c r="K533" i="1"/>
  <c r="L532" i="1"/>
  <c r="M532" i="1" s="1"/>
  <c r="N532" i="1" s="1"/>
  <c r="K532" i="1"/>
  <c r="M531" i="1"/>
  <c r="N531" i="1" s="1"/>
  <c r="L531" i="1"/>
  <c r="K531" i="1"/>
  <c r="L530" i="1"/>
  <c r="K530" i="1"/>
  <c r="M530" i="1" s="1"/>
  <c r="N530" i="1" s="1"/>
  <c r="L529" i="1"/>
  <c r="M529" i="1" s="1"/>
  <c r="N529" i="1" s="1"/>
  <c r="K529" i="1"/>
  <c r="M528" i="1"/>
  <c r="N528" i="1" s="1"/>
  <c r="L528" i="1"/>
  <c r="K528" i="1"/>
  <c r="M527" i="1"/>
  <c r="N527" i="1" s="1"/>
  <c r="L527" i="1"/>
  <c r="K527" i="1"/>
  <c r="L526" i="1"/>
  <c r="K526" i="1"/>
  <c r="L525" i="1"/>
  <c r="M525" i="1" s="1"/>
  <c r="N525" i="1" s="1"/>
  <c r="K525" i="1"/>
  <c r="L524" i="1"/>
  <c r="M524" i="1" s="1"/>
  <c r="N524" i="1" s="1"/>
  <c r="K524" i="1"/>
  <c r="L523" i="1"/>
  <c r="K523" i="1"/>
  <c r="L522" i="1"/>
  <c r="K522" i="1"/>
  <c r="M522" i="1" s="1"/>
  <c r="N522" i="1" s="1"/>
  <c r="N521" i="1"/>
  <c r="L521" i="1"/>
  <c r="M521" i="1" s="1"/>
  <c r="K521" i="1"/>
  <c r="L520" i="1"/>
  <c r="K520" i="1"/>
  <c r="L519" i="1"/>
  <c r="M519" i="1" s="1"/>
  <c r="N519" i="1" s="1"/>
  <c r="K519" i="1"/>
  <c r="L518" i="1"/>
  <c r="M518" i="1" s="1"/>
  <c r="N518" i="1" s="1"/>
  <c r="K518" i="1"/>
  <c r="L517" i="1"/>
  <c r="M517" i="1" s="1"/>
  <c r="N517" i="1" s="1"/>
  <c r="K517" i="1"/>
  <c r="L516" i="1"/>
  <c r="K516" i="1"/>
  <c r="L515" i="1"/>
  <c r="K515" i="1"/>
  <c r="L514" i="1"/>
  <c r="M514" i="1" s="1"/>
  <c r="N514" i="1" s="1"/>
  <c r="K514" i="1"/>
  <c r="L513" i="1"/>
  <c r="K513" i="1"/>
  <c r="M512" i="1"/>
  <c r="N512" i="1" s="1"/>
  <c r="L512" i="1"/>
  <c r="K512" i="1"/>
  <c r="M511" i="1"/>
  <c r="N511" i="1" s="1"/>
  <c r="L511" i="1"/>
  <c r="K511" i="1"/>
  <c r="L510" i="1"/>
  <c r="K510" i="1"/>
  <c r="M510" i="1" s="1"/>
  <c r="N510" i="1" s="1"/>
  <c r="L509" i="1"/>
  <c r="M509" i="1" s="1"/>
  <c r="N509" i="1" s="1"/>
  <c r="K509" i="1"/>
  <c r="L508" i="1"/>
  <c r="M508" i="1" s="1"/>
  <c r="N508" i="1" s="1"/>
  <c r="K508" i="1"/>
  <c r="L507" i="1"/>
  <c r="K507" i="1"/>
  <c r="M506" i="1"/>
  <c r="N506" i="1" s="1"/>
  <c r="L506" i="1"/>
  <c r="K506" i="1"/>
  <c r="L505" i="1"/>
  <c r="K505" i="1"/>
  <c r="M505" i="1" s="1"/>
  <c r="N505" i="1" s="1"/>
  <c r="L504" i="1"/>
  <c r="K504" i="1"/>
  <c r="M503" i="1"/>
  <c r="N503" i="1" s="1"/>
  <c r="L503" i="1"/>
  <c r="K503" i="1"/>
  <c r="L502" i="1"/>
  <c r="M502" i="1" s="1"/>
  <c r="N502" i="1" s="1"/>
  <c r="K502" i="1"/>
  <c r="L501" i="1"/>
  <c r="M501" i="1" s="1"/>
  <c r="N501" i="1" s="1"/>
  <c r="K501" i="1"/>
  <c r="M500" i="1"/>
  <c r="N500" i="1" s="1"/>
  <c r="L500" i="1"/>
  <c r="K500" i="1"/>
  <c r="L499" i="1"/>
  <c r="M499" i="1" s="1"/>
  <c r="N499" i="1" s="1"/>
  <c r="K499" i="1"/>
  <c r="L498" i="1"/>
  <c r="K498" i="1"/>
  <c r="L497" i="1"/>
  <c r="M497" i="1" s="1"/>
  <c r="N497" i="1" s="1"/>
  <c r="K497" i="1"/>
  <c r="L496" i="1"/>
  <c r="M496" i="1" s="1"/>
  <c r="N496" i="1" s="1"/>
  <c r="K496" i="1"/>
  <c r="L495" i="1"/>
  <c r="K495" i="1"/>
  <c r="M494" i="1"/>
  <c r="N494" i="1" s="1"/>
  <c r="L494" i="1"/>
  <c r="K494" i="1"/>
  <c r="L493" i="1"/>
  <c r="M493" i="1" s="1"/>
  <c r="N493" i="1" s="1"/>
  <c r="K493" i="1"/>
  <c r="L492" i="1"/>
  <c r="M492" i="1" s="1"/>
  <c r="N492" i="1" s="1"/>
  <c r="K492" i="1"/>
  <c r="M491" i="1"/>
  <c r="N491" i="1" s="1"/>
  <c r="L491" i="1"/>
  <c r="K491" i="1"/>
  <c r="L490" i="1"/>
  <c r="K490" i="1"/>
  <c r="L489" i="1"/>
  <c r="K489" i="1"/>
  <c r="N488" i="1"/>
  <c r="M488" i="1"/>
  <c r="L488" i="1"/>
  <c r="K488" i="1"/>
  <c r="L487" i="1"/>
  <c r="M487" i="1" s="1"/>
  <c r="N487" i="1" s="1"/>
  <c r="K487" i="1"/>
  <c r="L486" i="1"/>
  <c r="M486" i="1" s="1"/>
  <c r="N486" i="1" s="1"/>
  <c r="K486" i="1"/>
  <c r="L485" i="1"/>
  <c r="K485" i="1"/>
  <c r="L484" i="1"/>
  <c r="M484" i="1" s="1"/>
  <c r="N484" i="1" s="1"/>
  <c r="K484" i="1"/>
  <c r="M483" i="1"/>
  <c r="N483" i="1" s="1"/>
  <c r="L483" i="1"/>
  <c r="K483" i="1"/>
  <c r="L482" i="1"/>
  <c r="M482" i="1" s="1"/>
  <c r="N482" i="1" s="1"/>
  <c r="K482" i="1"/>
  <c r="N481" i="1"/>
  <c r="M481" i="1"/>
  <c r="L481" i="1"/>
  <c r="K481" i="1"/>
  <c r="L480" i="1"/>
  <c r="K480" i="1"/>
  <c r="L479" i="1"/>
  <c r="M479" i="1" s="1"/>
  <c r="N479" i="1" s="1"/>
  <c r="K479" i="1"/>
  <c r="L478" i="1"/>
  <c r="M478" i="1" s="1"/>
  <c r="N478" i="1" s="1"/>
  <c r="K478" i="1"/>
  <c r="L477" i="1"/>
  <c r="M477" i="1" s="1"/>
  <c r="N477" i="1" s="1"/>
  <c r="K477" i="1"/>
  <c r="L476" i="1"/>
  <c r="K476" i="1"/>
  <c r="L475" i="1"/>
  <c r="K475" i="1"/>
  <c r="L474" i="1"/>
  <c r="K474" i="1"/>
  <c r="M473" i="1"/>
  <c r="N473" i="1" s="1"/>
  <c r="L473" i="1"/>
  <c r="K473" i="1"/>
  <c r="N472" i="1"/>
  <c r="M472" i="1"/>
  <c r="L472" i="1"/>
  <c r="K472" i="1"/>
  <c r="L471" i="1"/>
  <c r="K471" i="1"/>
  <c r="M471" i="1" s="1"/>
  <c r="N471" i="1" s="1"/>
  <c r="L470" i="1"/>
  <c r="M470" i="1" s="1"/>
  <c r="N470" i="1" s="1"/>
  <c r="K470" i="1"/>
  <c r="L469" i="1"/>
  <c r="K469" i="1"/>
  <c r="L468" i="1"/>
  <c r="M468" i="1" s="1"/>
  <c r="N468" i="1" s="1"/>
  <c r="K468" i="1"/>
  <c r="L467" i="1"/>
  <c r="M467" i="1" s="1"/>
  <c r="N467" i="1" s="1"/>
  <c r="K467" i="1"/>
  <c r="L466" i="1"/>
  <c r="M466" i="1" s="1"/>
  <c r="N466" i="1" s="1"/>
  <c r="K466" i="1"/>
  <c r="L465" i="1"/>
  <c r="M465" i="1" s="1"/>
  <c r="N465" i="1" s="1"/>
  <c r="K465" i="1"/>
  <c r="L464" i="1"/>
  <c r="K464" i="1"/>
  <c r="L463" i="1"/>
  <c r="M463" i="1" s="1"/>
  <c r="N463" i="1" s="1"/>
  <c r="K463" i="1"/>
  <c r="L462" i="1"/>
  <c r="K462" i="1"/>
  <c r="L461" i="1"/>
  <c r="K461" i="1"/>
  <c r="L460" i="1"/>
  <c r="M460" i="1" s="1"/>
  <c r="N460" i="1" s="1"/>
  <c r="K460" i="1"/>
  <c r="M459" i="1"/>
  <c r="N459" i="1" s="1"/>
  <c r="L459" i="1"/>
  <c r="K459" i="1"/>
  <c r="M458" i="1"/>
  <c r="N458" i="1" s="1"/>
  <c r="L458" i="1"/>
  <c r="K458" i="1"/>
  <c r="L457" i="1"/>
  <c r="M457" i="1" s="1"/>
  <c r="N457" i="1" s="1"/>
  <c r="K457" i="1"/>
  <c r="L456" i="1"/>
  <c r="K456" i="1"/>
  <c r="N455" i="1"/>
  <c r="M455" i="1"/>
  <c r="L455" i="1"/>
  <c r="K455" i="1"/>
  <c r="L454" i="1"/>
  <c r="M454" i="1" s="1"/>
  <c r="N454" i="1" s="1"/>
  <c r="K454" i="1"/>
  <c r="L453" i="1"/>
  <c r="M453" i="1" s="1"/>
  <c r="N453" i="1" s="1"/>
  <c r="K453" i="1"/>
  <c r="L452" i="1"/>
  <c r="K452" i="1"/>
  <c r="M452" i="1" s="1"/>
  <c r="N452" i="1" s="1"/>
  <c r="L451" i="1"/>
  <c r="K451" i="1"/>
  <c r="L450" i="1"/>
  <c r="K450" i="1"/>
  <c r="L449" i="1"/>
  <c r="M449" i="1" s="1"/>
  <c r="N449" i="1" s="1"/>
  <c r="K449" i="1"/>
  <c r="L448" i="1"/>
  <c r="K448" i="1"/>
  <c r="L447" i="1"/>
  <c r="M447" i="1" s="1"/>
  <c r="N447" i="1" s="1"/>
  <c r="K447" i="1"/>
  <c r="L446" i="1"/>
  <c r="M446" i="1" s="1"/>
  <c r="N446" i="1" s="1"/>
  <c r="K446" i="1"/>
  <c r="L445" i="1"/>
  <c r="M445" i="1" s="1"/>
  <c r="N445" i="1" s="1"/>
  <c r="K445" i="1"/>
  <c r="L444" i="1"/>
  <c r="M444" i="1" s="1"/>
  <c r="N444" i="1" s="1"/>
  <c r="K444" i="1"/>
  <c r="L443" i="1"/>
  <c r="M443" i="1" s="1"/>
  <c r="N443" i="1" s="1"/>
  <c r="K443" i="1"/>
  <c r="L442" i="1"/>
  <c r="M442" i="1" s="1"/>
  <c r="N442" i="1" s="1"/>
  <c r="K442" i="1"/>
  <c r="L441" i="1"/>
  <c r="K441" i="1"/>
  <c r="L440" i="1"/>
  <c r="M440" i="1" s="1"/>
  <c r="N440" i="1" s="1"/>
  <c r="K440" i="1"/>
  <c r="L439" i="1"/>
  <c r="K439" i="1"/>
  <c r="L438" i="1"/>
  <c r="M438" i="1" s="1"/>
  <c r="N438" i="1" s="1"/>
  <c r="K438" i="1"/>
  <c r="L437" i="1"/>
  <c r="K437" i="1"/>
  <c r="L436" i="1"/>
  <c r="M436" i="1" s="1"/>
  <c r="N436" i="1" s="1"/>
  <c r="K436" i="1"/>
  <c r="M435" i="1"/>
  <c r="N435" i="1" s="1"/>
  <c r="L435" i="1"/>
  <c r="K435" i="1"/>
  <c r="L434" i="1"/>
  <c r="K434" i="1"/>
  <c r="L433" i="1"/>
  <c r="M433" i="1" s="1"/>
  <c r="N433" i="1" s="1"/>
  <c r="K433" i="1"/>
  <c r="L432" i="1"/>
  <c r="K432" i="1"/>
  <c r="L431" i="1"/>
  <c r="M431" i="1" s="1"/>
  <c r="N431" i="1" s="1"/>
  <c r="K431" i="1"/>
  <c r="L430" i="1"/>
  <c r="M430" i="1" s="1"/>
  <c r="N430" i="1" s="1"/>
  <c r="K430" i="1"/>
  <c r="L429" i="1"/>
  <c r="M429" i="1" s="1"/>
  <c r="N429" i="1" s="1"/>
  <c r="K429" i="1"/>
  <c r="L428" i="1"/>
  <c r="M428" i="1" s="1"/>
  <c r="N428" i="1" s="1"/>
  <c r="K428" i="1"/>
  <c r="L427" i="1"/>
  <c r="K427" i="1"/>
  <c r="M427" i="1" s="1"/>
  <c r="N427" i="1" s="1"/>
  <c r="L426" i="1"/>
  <c r="M426" i="1" s="1"/>
  <c r="N426" i="1" s="1"/>
  <c r="K426" i="1"/>
  <c r="L425" i="1"/>
  <c r="M425" i="1" s="1"/>
  <c r="N425" i="1" s="1"/>
  <c r="K425" i="1"/>
  <c r="L424" i="1"/>
  <c r="M424" i="1" s="1"/>
  <c r="N424" i="1" s="1"/>
  <c r="K424" i="1"/>
  <c r="M423" i="1"/>
  <c r="N423" i="1" s="1"/>
  <c r="L423" i="1"/>
  <c r="K423" i="1"/>
  <c r="L422" i="1"/>
  <c r="K422" i="1"/>
  <c r="L421" i="1"/>
  <c r="K421" i="1"/>
  <c r="M420" i="1"/>
  <c r="N420" i="1" s="1"/>
  <c r="L420" i="1"/>
  <c r="K420" i="1"/>
  <c r="N419" i="1"/>
  <c r="M419" i="1"/>
  <c r="L419" i="1"/>
  <c r="K419" i="1"/>
  <c r="L418" i="1"/>
  <c r="K418" i="1"/>
  <c r="M418" i="1" s="1"/>
  <c r="N418" i="1" s="1"/>
  <c r="L417" i="1"/>
  <c r="M417" i="1" s="1"/>
  <c r="N417" i="1" s="1"/>
  <c r="K417" i="1"/>
  <c r="L416" i="1"/>
  <c r="M416" i="1" s="1"/>
  <c r="N416" i="1" s="1"/>
  <c r="K416" i="1"/>
  <c r="L415" i="1"/>
  <c r="M415" i="1" s="1"/>
  <c r="N415" i="1" s="1"/>
  <c r="K415" i="1"/>
  <c r="M414" i="1"/>
  <c r="N414" i="1" s="1"/>
  <c r="L414" i="1"/>
  <c r="K414" i="1"/>
  <c r="L413" i="1"/>
  <c r="K413" i="1"/>
  <c r="L412" i="1"/>
  <c r="K412" i="1"/>
  <c r="L411" i="1"/>
  <c r="M411" i="1" s="1"/>
  <c r="N411" i="1" s="1"/>
  <c r="K411" i="1"/>
  <c r="L410" i="1"/>
  <c r="M410" i="1" s="1"/>
  <c r="N410" i="1" s="1"/>
  <c r="K410" i="1"/>
  <c r="L409" i="1"/>
  <c r="K409" i="1"/>
  <c r="L408" i="1"/>
  <c r="M408" i="1" s="1"/>
  <c r="N408" i="1" s="1"/>
  <c r="K408" i="1"/>
  <c r="L407" i="1"/>
  <c r="M407" i="1" s="1"/>
  <c r="N407" i="1" s="1"/>
  <c r="K407" i="1"/>
  <c r="L406" i="1"/>
  <c r="K406" i="1"/>
  <c r="L405" i="1"/>
  <c r="K405" i="1"/>
  <c r="L404" i="1"/>
  <c r="M404" i="1" s="1"/>
  <c r="N404" i="1" s="1"/>
  <c r="K404" i="1"/>
  <c r="L403" i="1"/>
  <c r="K403" i="1"/>
  <c r="M403" i="1" s="1"/>
  <c r="N403" i="1" s="1"/>
  <c r="L402" i="1"/>
  <c r="M402" i="1" s="1"/>
  <c r="N402" i="1" s="1"/>
  <c r="K402" i="1"/>
  <c r="L401" i="1"/>
  <c r="K401" i="1"/>
  <c r="L400" i="1"/>
  <c r="M400" i="1" s="1"/>
  <c r="N400" i="1" s="1"/>
  <c r="K400" i="1"/>
  <c r="M399" i="1"/>
  <c r="N399" i="1" s="1"/>
  <c r="L399" i="1"/>
  <c r="K399" i="1"/>
  <c r="L398" i="1"/>
  <c r="M398" i="1" s="1"/>
  <c r="N398" i="1" s="1"/>
  <c r="K398" i="1"/>
  <c r="N397" i="1"/>
  <c r="L397" i="1"/>
  <c r="M397" i="1" s="1"/>
  <c r="K397" i="1"/>
  <c r="L396" i="1"/>
  <c r="K396" i="1"/>
  <c r="M396" i="1" s="1"/>
  <c r="N396" i="1" s="1"/>
  <c r="L395" i="1"/>
  <c r="M395" i="1" s="1"/>
  <c r="N395" i="1" s="1"/>
  <c r="K395" i="1"/>
  <c r="L394" i="1"/>
  <c r="K394" i="1"/>
  <c r="L393" i="1"/>
  <c r="K393" i="1"/>
  <c r="L392" i="1"/>
  <c r="M392" i="1" s="1"/>
  <c r="N392" i="1" s="1"/>
  <c r="K392" i="1"/>
  <c r="L391" i="1"/>
  <c r="M391" i="1" s="1"/>
  <c r="N391" i="1" s="1"/>
  <c r="K391" i="1"/>
  <c r="L390" i="1"/>
  <c r="K390" i="1"/>
  <c r="L389" i="1"/>
  <c r="K389" i="1"/>
  <c r="L388" i="1"/>
  <c r="M388" i="1" s="1"/>
  <c r="N388" i="1" s="1"/>
  <c r="K388" i="1"/>
  <c r="M387" i="1"/>
  <c r="N387" i="1" s="1"/>
  <c r="L387" i="1"/>
  <c r="K387" i="1"/>
  <c r="N386" i="1"/>
  <c r="M386" i="1"/>
  <c r="L386" i="1"/>
  <c r="K386" i="1"/>
  <c r="L385" i="1"/>
  <c r="K385" i="1"/>
  <c r="L384" i="1"/>
  <c r="M384" i="1" s="1"/>
  <c r="N384" i="1" s="1"/>
  <c r="K384" i="1"/>
  <c r="L383" i="1"/>
  <c r="K383" i="1"/>
  <c r="L382" i="1"/>
  <c r="M382" i="1" s="1"/>
  <c r="N382" i="1" s="1"/>
  <c r="K382" i="1"/>
  <c r="L381" i="1"/>
  <c r="K381" i="1"/>
  <c r="L380" i="1"/>
  <c r="M380" i="1" s="1"/>
  <c r="N380" i="1" s="1"/>
  <c r="K380" i="1"/>
  <c r="L379" i="1"/>
  <c r="M379" i="1" s="1"/>
  <c r="N379" i="1" s="1"/>
  <c r="K379" i="1"/>
  <c r="L378" i="1"/>
  <c r="K378" i="1"/>
  <c r="L377" i="1"/>
  <c r="M377" i="1" s="1"/>
  <c r="N377" i="1" s="1"/>
  <c r="K377" i="1"/>
  <c r="L376" i="1"/>
  <c r="M376" i="1" s="1"/>
  <c r="N376" i="1" s="1"/>
  <c r="K376" i="1"/>
  <c r="L375" i="1"/>
  <c r="M375" i="1" s="1"/>
  <c r="N375" i="1" s="1"/>
  <c r="K375" i="1"/>
  <c r="L374" i="1"/>
  <c r="M374" i="1" s="1"/>
  <c r="N374" i="1" s="1"/>
  <c r="K374" i="1"/>
  <c r="L373" i="1"/>
  <c r="K373" i="1"/>
  <c r="L372" i="1"/>
  <c r="M372" i="1" s="1"/>
  <c r="N372" i="1" s="1"/>
  <c r="K372" i="1"/>
  <c r="L371" i="1"/>
  <c r="K371" i="1"/>
  <c r="M371" i="1" s="1"/>
  <c r="N371" i="1" s="1"/>
  <c r="L370" i="1"/>
  <c r="K370" i="1"/>
  <c r="L369" i="1"/>
  <c r="M369" i="1" s="1"/>
  <c r="N369" i="1" s="1"/>
  <c r="K369" i="1"/>
  <c r="L368" i="1"/>
  <c r="K368" i="1"/>
  <c r="L367" i="1"/>
  <c r="K367" i="1"/>
  <c r="M367" i="1" s="1"/>
  <c r="N367" i="1" s="1"/>
  <c r="L366" i="1"/>
  <c r="K366" i="1"/>
  <c r="L365" i="1"/>
  <c r="K365" i="1"/>
  <c r="L364" i="1"/>
  <c r="M364" i="1" s="1"/>
  <c r="N364" i="1" s="1"/>
  <c r="K364" i="1"/>
  <c r="L363" i="1"/>
  <c r="M363" i="1" s="1"/>
  <c r="N363" i="1" s="1"/>
  <c r="K363" i="1"/>
  <c r="L362" i="1"/>
  <c r="M362" i="1" s="1"/>
  <c r="N362" i="1" s="1"/>
  <c r="K362" i="1"/>
  <c r="L361" i="1"/>
  <c r="K361" i="1"/>
  <c r="L360" i="1"/>
  <c r="K360" i="1"/>
  <c r="L359" i="1"/>
  <c r="K359" i="1"/>
  <c r="L358" i="1"/>
  <c r="M358" i="1" s="1"/>
  <c r="N358" i="1" s="1"/>
  <c r="K358" i="1"/>
  <c r="L357" i="1"/>
  <c r="M357" i="1" s="1"/>
  <c r="N357" i="1" s="1"/>
  <c r="K357" i="1"/>
  <c r="M356" i="1"/>
  <c r="N356" i="1" s="1"/>
  <c r="L356" i="1"/>
  <c r="K356" i="1"/>
  <c r="M355" i="1"/>
  <c r="N355" i="1" s="1"/>
  <c r="L355" i="1"/>
  <c r="K355" i="1"/>
  <c r="L354" i="1"/>
  <c r="K354" i="1"/>
  <c r="L353" i="1"/>
  <c r="K353" i="1"/>
  <c r="L352" i="1"/>
  <c r="M352" i="1" s="1"/>
  <c r="N352" i="1" s="1"/>
  <c r="K352" i="1"/>
  <c r="L351" i="1"/>
  <c r="M351" i="1" s="1"/>
  <c r="N351" i="1" s="1"/>
  <c r="K351" i="1"/>
  <c r="L350" i="1"/>
  <c r="K350" i="1"/>
  <c r="M350" i="1" s="1"/>
  <c r="N350" i="1" s="1"/>
  <c r="N349" i="1"/>
  <c r="L349" i="1"/>
  <c r="M349" i="1" s="1"/>
  <c r="K349" i="1"/>
  <c r="L348" i="1"/>
  <c r="K348" i="1"/>
  <c r="M348" i="1" s="1"/>
  <c r="N348" i="1" s="1"/>
  <c r="L347" i="1"/>
  <c r="M347" i="1" s="1"/>
  <c r="N347" i="1" s="1"/>
  <c r="K347" i="1"/>
  <c r="L346" i="1"/>
  <c r="K346" i="1"/>
  <c r="L345" i="1"/>
  <c r="M345" i="1" s="1"/>
  <c r="N345" i="1" s="1"/>
  <c r="K345" i="1"/>
  <c r="M344" i="1"/>
  <c r="N344" i="1" s="1"/>
  <c r="L344" i="1"/>
  <c r="K344" i="1"/>
  <c r="L343" i="1"/>
  <c r="K343" i="1"/>
  <c r="L342" i="1"/>
  <c r="M342" i="1" s="1"/>
  <c r="N342" i="1" s="1"/>
  <c r="K342" i="1"/>
  <c r="L341" i="1"/>
  <c r="M341" i="1" s="1"/>
  <c r="N341" i="1" s="1"/>
  <c r="K341" i="1"/>
  <c r="L340" i="1"/>
  <c r="M340" i="1" s="1"/>
  <c r="N340" i="1" s="1"/>
  <c r="K340" i="1"/>
  <c r="L339" i="1"/>
  <c r="K339" i="1"/>
  <c r="M339" i="1" s="1"/>
  <c r="N339" i="1" s="1"/>
  <c r="L338" i="1"/>
  <c r="K338" i="1"/>
  <c r="L337" i="1"/>
  <c r="K337" i="1"/>
  <c r="L336" i="1"/>
  <c r="M336" i="1" s="1"/>
  <c r="N336" i="1" s="1"/>
  <c r="K336" i="1"/>
  <c r="L335" i="1"/>
  <c r="M335" i="1" s="1"/>
  <c r="N335" i="1" s="1"/>
  <c r="K335" i="1"/>
  <c r="L334" i="1"/>
  <c r="K334" i="1"/>
  <c r="M334" i="1" s="1"/>
  <c r="N334" i="1" s="1"/>
  <c r="L333" i="1"/>
  <c r="K333" i="1"/>
  <c r="L332" i="1"/>
  <c r="K332" i="1"/>
  <c r="L331" i="1"/>
  <c r="M331" i="1" s="1"/>
  <c r="N331" i="1" s="1"/>
  <c r="K331" i="1"/>
  <c r="L330" i="1"/>
  <c r="K330" i="1"/>
  <c r="M330" i="1" s="1"/>
  <c r="N330" i="1" s="1"/>
  <c r="L329" i="1"/>
  <c r="K329" i="1"/>
  <c r="M328" i="1"/>
  <c r="N328" i="1" s="1"/>
  <c r="L328" i="1"/>
  <c r="K328" i="1"/>
  <c r="L327" i="1"/>
  <c r="K327" i="1"/>
  <c r="L326" i="1"/>
  <c r="K326" i="1"/>
  <c r="L325" i="1"/>
  <c r="K325" i="1"/>
  <c r="L324" i="1"/>
  <c r="K324" i="1"/>
  <c r="M324" i="1" s="1"/>
  <c r="N324" i="1" s="1"/>
  <c r="L323" i="1"/>
  <c r="M323" i="1" s="1"/>
  <c r="N323" i="1" s="1"/>
  <c r="K323" i="1"/>
  <c r="N322" i="1"/>
  <c r="L322" i="1"/>
  <c r="K322" i="1"/>
  <c r="M322" i="1" s="1"/>
  <c r="N321" i="1"/>
  <c r="L321" i="1"/>
  <c r="M321" i="1" s="1"/>
  <c r="K321" i="1"/>
  <c r="L320" i="1"/>
  <c r="M320" i="1" s="1"/>
  <c r="N320" i="1" s="1"/>
  <c r="K320" i="1"/>
  <c r="L319" i="1"/>
  <c r="M319" i="1" s="1"/>
  <c r="N319" i="1" s="1"/>
  <c r="K319" i="1"/>
  <c r="L318" i="1"/>
  <c r="M318" i="1" s="1"/>
  <c r="N318" i="1" s="1"/>
  <c r="K318" i="1"/>
  <c r="L317" i="1"/>
  <c r="M317" i="1" s="1"/>
  <c r="N317" i="1" s="1"/>
  <c r="K317" i="1"/>
  <c r="L316" i="1"/>
  <c r="K316" i="1"/>
  <c r="M316" i="1" s="1"/>
  <c r="N316" i="1" s="1"/>
  <c r="L315" i="1"/>
  <c r="M315" i="1" s="1"/>
  <c r="N315" i="1" s="1"/>
  <c r="K315" i="1"/>
  <c r="L314" i="1"/>
  <c r="K314" i="1"/>
  <c r="L313" i="1"/>
  <c r="K313" i="1"/>
  <c r="M312" i="1"/>
  <c r="N312" i="1" s="1"/>
  <c r="L312" i="1"/>
  <c r="K312" i="1"/>
  <c r="L311" i="1"/>
  <c r="K311" i="1"/>
  <c r="M311" i="1" s="1"/>
  <c r="N311" i="1" s="1"/>
  <c r="L310" i="1"/>
  <c r="M310" i="1" s="1"/>
  <c r="N310" i="1" s="1"/>
  <c r="K310" i="1"/>
  <c r="L309" i="1"/>
  <c r="K309" i="1"/>
  <c r="L308" i="1"/>
  <c r="M308" i="1" s="1"/>
  <c r="N308" i="1" s="1"/>
  <c r="K308" i="1"/>
  <c r="M307" i="1"/>
  <c r="N307" i="1" s="1"/>
  <c r="L307" i="1"/>
  <c r="K307" i="1"/>
  <c r="L306" i="1"/>
  <c r="K306" i="1"/>
  <c r="M306" i="1" s="1"/>
  <c r="N306" i="1" s="1"/>
  <c r="L305" i="1"/>
  <c r="M305" i="1" s="1"/>
  <c r="N305" i="1" s="1"/>
  <c r="K305" i="1"/>
  <c r="L304" i="1"/>
  <c r="K304" i="1"/>
  <c r="L303" i="1"/>
  <c r="M303" i="1" s="1"/>
  <c r="N303" i="1" s="1"/>
  <c r="K303" i="1"/>
  <c r="L302" i="1"/>
  <c r="M302" i="1" s="1"/>
  <c r="N302" i="1" s="1"/>
  <c r="K302" i="1"/>
  <c r="L301" i="1"/>
  <c r="K301" i="1"/>
  <c r="L300" i="1"/>
  <c r="K300" i="1"/>
  <c r="M300" i="1" s="1"/>
  <c r="N300" i="1" s="1"/>
  <c r="L299" i="1"/>
  <c r="M299" i="1" s="1"/>
  <c r="N299" i="1" s="1"/>
  <c r="K299" i="1"/>
  <c r="L298" i="1"/>
  <c r="K298" i="1"/>
  <c r="M298" i="1" s="1"/>
  <c r="N298" i="1" s="1"/>
  <c r="L297" i="1"/>
  <c r="K297" i="1"/>
  <c r="L296" i="1"/>
  <c r="K296" i="1"/>
  <c r="M295" i="1"/>
  <c r="N295" i="1" s="1"/>
  <c r="L295" i="1"/>
  <c r="K295" i="1"/>
  <c r="L294" i="1"/>
  <c r="K294" i="1"/>
  <c r="M294" i="1" s="1"/>
  <c r="N294" i="1" s="1"/>
  <c r="L293" i="1"/>
  <c r="K293" i="1"/>
  <c r="L292" i="1"/>
  <c r="K292" i="1"/>
  <c r="M292" i="1" s="1"/>
  <c r="N292" i="1" s="1"/>
  <c r="L291" i="1"/>
  <c r="K291" i="1"/>
  <c r="L290" i="1"/>
  <c r="M290" i="1" s="1"/>
  <c r="N290" i="1" s="1"/>
  <c r="K290" i="1"/>
  <c r="L289" i="1"/>
  <c r="K289" i="1"/>
  <c r="L288" i="1"/>
  <c r="M288" i="1" s="1"/>
  <c r="N288" i="1" s="1"/>
  <c r="K288" i="1"/>
  <c r="L287" i="1"/>
  <c r="M287" i="1" s="1"/>
  <c r="N287" i="1" s="1"/>
  <c r="K287" i="1"/>
  <c r="L286" i="1"/>
  <c r="K286" i="1"/>
  <c r="N285" i="1"/>
  <c r="L285" i="1"/>
  <c r="M285" i="1" s="1"/>
  <c r="K285" i="1"/>
  <c r="L284" i="1"/>
  <c r="M284" i="1" s="1"/>
  <c r="N284" i="1" s="1"/>
  <c r="K284" i="1"/>
  <c r="L283" i="1"/>
  <c r="M283" i="1" s="1"/>
  <c r="N283" i="1" s="1"/>
  <c r="K283" i="1"/>
  <c r="L282" i="1"/>
  <c r="M282" i="1" s="1"/>
  <c r="N282" i="1" s="1"/>
  <c r="K282" i="1"/>
  <c r="L281" i="1"/>
  <c r="M281" i="1" s="1"/>
  <c r="N281" i="1" s="1"/>
  <c r="K281" i="1"/>
  <c r="L280" i="1"/>
  <c r="M280" i="1" s="1"/>
  <c r="N280" i="1" s="1"/>
  <c r="K280" i="1"/>
  <c r="L279" i="1"/>
  <c r="K279" i="1"/>
  <c r="M278" i="1"/>
  <c r="N278" i="1" s="1"/>
  <c r="L278" i="1"/>
  <c r="K278" i="1"/>
  <c r="L277" i="1"/>
  <c r="K277" i="1"/>
  <c r="N276" i="1"/>
  <c r="M276" i="1"/>
  <c r="L276" i="1"/>
  <c r="K276" i="1"/>
  <c r="L275" i="1"/>
  <c r="K275" i="1"/>
  <c r="M275" i="1" s="1"/>
  <c r="N275" i="1" s="1"/>
  <c r="L274" i="1"/>
  <c r="M274" i="1" s="1"/>
  <c r="N274" i="1" s="1"/>
  <c r="K274" i="1"/>
  <c r="N273" i="1"/>
  <c r="L273" i="1"/>
  <c r="M273" i="1" s="1"/>
  <c r="K273" i="1"/>
  <c r="L272" i="1"/>
  <c r="M272" i="1" s="1"/>
  <c r="N272" i="1" s="1"/>
  <c r="K272" i="1"/>
  <c r="L271" i="1"/>
  <c r="M271" i="1" s="1"/>
  <c r="N271" i="1" s="1"/>
  <c r="K271" i="1"/>
  <c r="L270" i="1"/>
  <c r="M270" i="1" s="1"/>
  <c r="N270" i="1" s="1"/>
  <c r="K270" i="1"/>
  <c r="L269" i="1"/>
  <c r="K269" i="1"/>
  <c r="L268" i="1"/>
  <c r="M268" i="1" s="1"/>
  <c r="N268" i="1" s="1"/>
  <c r="K268" i="1"/>
  <c r="N267" i="1"/>
  <c r="L267" i="1"/>
  <c r="M267" i="1" s="1"/>
  <c r="K267" i="1"/>
  <c r="L266" i="1"/>
  <c r="K266" i="1"/>
  <c r="M266" i="1" s="1"/>
  <c r="N266" i="1" s="1"/>
  <c r="L265" i="1"/>
  <c r="K265" i="1"/>
  <c r="L264" i="1"/>
  <c r="M264" i="1" s="1"/>
  <c r="N264" i="1" s="1"/>
  <c r="K264" i="1"/>
  <c r="L263" i="1"/>
  <c r="M263" i="1" s="1"/>
  <c r="N263" i="1" s="1"/>
  <c r="K263" i="1"/>
  <c r="L262" i="1"/>
  <c r="K262" i="1"/>
  <c r="L261" i="1"/>
  <c r="K261" i="1"/>
  <c r="L260" i="1"/>
  <c r="K260" i="1"/>
  <c r="L259" i="1"/>
  <c r="K259" i="1"/>
  <c r="N258" i="1"/>
  <c r="L258" i="1"/>
  <c r="K258" i="1"/>
  <c r="M258" i="1" s="1"/>
  <c r="L257" i="1"/>
  <c r="M257" i="1" s="1"/>
  <c r="N257" i="1" s="1"/>
  <c r="K257" i="1"/>
  <c r="M256" i="1"/>
  <c r="N256" i="1" s="1"/>
  <c r="L256" i="1"/>
  <c r="K256" i="1"/>
  <c r="L255" i="1"/>
  <c r="K255" i="1"/>
  <c r="M254" i="1"/>
  <c r="N254" i="1" s="1"/>
  <c r="L254" i="1"/>
  <c r="K254" i="1"/>
  <c r="L253" i="1"/>
  <c r="K253" i="1"/>
  <c r="L252" i="1"/>
  <c r="K252" i="1"/>
  <c r="L251" i="1"/>
  <c r="M251" i="1" s="1"/>
  <c r="N251" i="1" s="1"/>
  <c r="K251" i="1"/>
  <c r="L250" i="1"/>
  <c r="M250" i="1" s="1"/>
  <c r="N250" i="1" s="1"/>
  <c r="K250" i="1"/>
  <c r="L249" i="1"/>
  <c r="M249" i="1" s="1"/>
  <c r="N249" i="1" s="1"/>
  <c r="K249" i="1"/>
  <c r="M248" i="1"/>
  <c r="N248" i="1" s="1"/>
  <c r="L248" i="1"/>
  <c r="K248" i="1"/>
  <c r="L247" i="1"/>
  <c r="M247" i="1" s="1"/>
  <c r="N247" i="1" s="1"/>
  <c r="K247" i="1"/>
  <c r="M246" i="1"/>
  <c r="N246" i="1" s="1"/>
  <c r="L246" i="1"/>
  <c r="K246" i="1"/>
  <c r="L245" i="1"/>
  <c r="K245" i="1"/>
  <c r="L244" i="1"/>
  <c r="M244" i="1" s="1"/>
  <c r="N244" i="1" s="1"/>
  <c r="K244" i="1"/>
  <c r="L243" i="1"/>
  <c r="M243" i="1" s="1"/>
  <c r="N243" i="1" s="1"/>
  <c r="K243" i="1"/>
  <c r="L242" i="1"/>
  <c r="K242" i="1"/>
  <c r="L241" i="1"/>
  <c r="M241" i="1" s="1"/>
  <c r="N241" i="1" s="1"/>
  <c r="K241" i="1"/>
  <c r="L240" i="1"/>
  <c r="K240" i="1"/>
  <c r="M240" i="1" s="1"/>
  <c r="N240" i="1" s="1"/>
  <c r="L239" i="1"/>
  <c r="M239" i="1" s="1"/>
  <c r="N239" i="1" s="1"/>
  <c r="K239" i="1"/>
  <c r="L238" i="1"/>
  <c r="M238" i="1" s="1"/>
  <c r="N238" i="1" s="1"/>
  <c r="K238" i="1"/>
  <c r="L237" i="1"/>
  <c r="K237" i="1"/>
  <c r="L236" i="1"/>
  <c r="K236" i="1"/>
  <c r="L235" i="1"/>
  <c r="M235" i="1" s="1"/>
  <c r="N235" i="1" s="1"/>
  <c r="K235" i="1"/>
  <c r="L234" i="1"/>
  <c r="K234" i="1"/>
  <c r="M234" i="1" s="1"/>
  <c r="N234" i="1" s="1"/>
  <c r="L233" i="1"/>
  <c r="M233" i="1" s="1"/>
  <c r="N233" i="1" s="1"/>
  <c r="K233" i="1"/>
  <c r="L232" i="1"/>
  <c r="M232" i="1" s="1"/>
  <c r="N232" i="1" s="1"/>
  <c r="K232" i="1"/>
  <c r="M231" i="1"/>
  <c r="N231" i="1" s="1"/>
  <c r="L231" i="1"/>
  <c r="K231" i="1"/>
  <c r="L230" i="1"/>
  <c r="K230" i="1"/>
  <c r="N229" i="1"/>
  <c r="L229" i="1"/>
  <c r="M229" i="1" s="1"/>
  <c r="K229" i="1"/>
  <c r="L228" i="1"/>
  <c r="K228" i="1"/>
  <c r="M228" i="1" s="1"/>
  <c r="N228" i="1" s="1"/>
  <c r="L227" i="1"/>
  <c r="K227" i="1"/>
  <c r="M227" i="1" s="1"/>
  <c r="N227" i="1" s="1"/>
  <c r="L226" i="1"/>
  <c r="M226" i="1" s="1"/>
  <c r="N226" i="1" s="1"/>
  <c r="K226" i="1"/>
  <c r="L225" i="1"/>
  <c r="K225" i="1"/>
  <c r="L224" i="1"/>
  <c r="M224" i="1" s="1"/>
  <c r="N224" i="1" s="1"/>
  <c r="K224" i="1"/>
  <c r="L223" i="1"/>
  <c r="K223" i="1"/>
  <c r="M222" i="1"/>
  <c r="N222" i="1" s="1"/>
  <c r="L222" i="1"/>
  <c r="K222" i="1"/>
  <c r="L221" i="1"/>
  <c r="K221" i="1"/>
  <c r="L220" i="1"/>
  <c r="M220" i="1" s="1"/>
  <c r="N220" i="1" s="1"/>
  <c r="K220" i="1"/>
  <c r="L219" i="1"/>
  <c r="M219" i="1" s="1"/>
  <c r="N219" i="1" s="1"/>
  <c r="K219" i="1"/>
  <c r="L218" i="1"/>
  <c r="K218" i="1"/>
  <c r="L217" i="1"/>
  <c r="K217" i="1"/>
  <c r="L216" i="1"/>
  <c r="K216" i="1"/>
  <c r="L215" i="1"/>
  <c r="M215" i="1" s="1"/>
  <c r="N215" i="1" s="1"/>
  <c r="K215" i="1"/>
  <c r="L214" i="1"/>
  <c r="M214" i="1" s="1"/>
  <c r="N214" i="1" s="1"/>
  <c r="K214" i="1"/>
  <c r="N213" i="1"/>
  <c r="L213" i="1"/>
  <c r="M213" i="1" s="1"/>
  <c r="K213" i="1"/>
  <c r="L212" i="1"/>
  <c r="K212" i="1"/>
  <c r="M212" i="1" s="1"/>
  <c r="N212" i="1" s="1"/>
  <c r="L211" i="1"/>
  <c r="M211" i="1" s="1"/>
  <c r="N211" i="1" s="1"/>
  <c r="K211" i="1"/>
  <c r="L210" i="1"/>
  <c r="K210" i="1"/>
  <c r="L209" i="1"/>
  <c r="K209" i="1"/>
  <c r="N208" i="1"/>
  <c r="L208" i="1"/>
  <c r="K208" i="1"/>
  <c r="M208" i="1" s="1"/>
  <c r="L207" i="1"/>
  <c r="K207" i="1"/>
  <c r="L206" i="1"/>
  <c r="M206" i="1" s="1"/>
  <c r="N206" i="1" s="1"/>
  <c r="K206" i="1"/>
  <c r="N205" i="1"/>
  <c r="L205" i="1"/>
  <c r="M205" i="1" s="1"/>
  <c r="K205" i="1"/>
  <c r="M204" i="1"/>
  <c r="N204" i="1" s="1"/>
  <c r="L204" i="1"/>
  <c r="K204" i="1"/>
  <c r="L203" i="1"/>
  <c r="M203" i="1" s="1"/>
  <c r="N203" i="1" s="1"/>
  <c r="K203" i="1"/>
  <c r="L202" i="1"/>
  <c r="K202" i="1"/>
  <c r="L201" i="1"/>
  <c r="K201" i="1"/>
  <c r="L200" i="1"/>
  <c r="M200" i="1" s="1"/>
  <c r="N200" i="1" s="1"/>
  <c r="K200" i="1"/>
  <c r="L199" i="1"/>
  <c r="K199" i="1"/>
  <c r="M199" i="1" s="1"/>
  <c r="N199" i="1" s="1"/>
  <c r="M198" i="1"/>
  <c r="N198" i="1" s="1"/>
  <c r="L198" i="1"/>
  <c r="K198" i="1"/>
  <c r="L197" i="1"/>
  <c r="K197" i="1"/>
  <c r="L196" i="1"/>
  <c r="M196" i="1" s="1"/>
  <c r="N196" i="1" s="1"/>
  <c r="K196" i="1"/>
  <c r="L195" i="1"/>
  <c r="M195" i="1" s="1"/>
  <c r="N195" i="1" s="1"/>
  <c r="K195" i="1"/>
  <c r="M194" i="1"/>
  <c r="N194" i="1" s="1"/>
  <c r="L194" i="1"/>
  <c r="K194" i="1"/>
  <c r="L193" i="1"/>
  <c r="M193" i="1" s="1"/>
  <c r="N193" i="1" s="1"/>
  <c r="K193" i="1"/>
  <c r="L192" i="1"/>
  <c r="K192" i="1"/>
  <c r="L191" i="1"/>
  <c r="K191" i="1"/>
  <c r="M191" i="1" s="1"/>
  <c r="N191" i="1" s="1"/>
  <c r="L190" i="1"/>
  <c r="K190" i="1"/>
  <c r="L189" i="1"/>
  <c r="K189" i="1"/>
  <c r="N188" i="1"/>
  <c r="M188" i="1"/>
  <c r="L188" i="1"/>
  <c r="K188" i="1"/>
  <c r="M187" i="1"/>
  <c r="N187" i="1" s="1"/>
  <c r="L187" i="1"/>
  <c r="K187" i="1"/>
  <c r="L186" i="1"/>
  <c r="K186" i="1"/>
  <c r="L185" i="1"/>
  <c r="K185" i="1"/>
  <c r="L184" i="1"/>
  <c r="M184" i="1" s="1"/>
  <c r="N184" i="1" s="1"/>
  <c r="K184" i="1"/>
  <c r="N183" i="1"/>
  <c r="M183" i="1"/>
  <c r="L183" i="1"/>
  <c r="K183" i="1"/>
  <c r="L182" i="1"/>
  <c r="K182" i="1"/>
  <c r="M182" i="1" s="1"/>
  <c r="N182" i="1" s="1"/>
  <c r="L181" i="1"/>
  <c r="K181" i="1"/>
  <c r="L180" i="1"/>
  <c r="M180" i="1" s="1"/>
  <c r="N180" i="1" s="1"/>
  <c r="K180" i="1"/>
  <c r="L179" i="1"/>
  <c r="M179" i="1" s="1"/>
  <c r="N179" i="1" s="1"/>
  <c r="K179" i="1"/>
  <c r="L178" i="1"/>
  <c r="M178" i="1" s="1"/>
  <c r="N178" i="1" s="1"/>
  <c r="K178" i="1"/>
  <c r="L177" i="1"/>
  <c r="K177" i="1"/>
  <c r="L176" i="1"/>
  <c r="M176" i="1" s="1"/>
  <c r="N176" i="1" s="1"/>
  <c r="K176" i="1"/>
  <c r="L175" i="1"/>
  <c r="M175" i="1" s="1"/>
  <c r="N175" i="1" s="1"/>
  <c r="K175" i="1"/>
  <c r="L174" i="1"/>
  <c r="K174" i="1"/>
  <c r="M174" i="1" s="1"/>
  <c r="N174" i="1" s="1"/>
  <c r="L173" i="1"/>
  <c r="K173" i="1"/>
  <c r="L172" i="1"/>
  <c r="K172" i="1"/>
  <c r="L171" i="1"/>
  <c r="M171" i="1" s="1"/>
  <c r="N171" i="1" s="1"/>
  <c r="K171" i="1"/>
  <c r="M170" i="1"/>
  <c r="N170" i="1" s="1"/>
  <c r="L170" i="1"/>
  <c r="K170" i="1"/>
  <c r="L169" i="1"/>
  <c r="K169" i="1"/>
  <c r="M168" i="1"/>
  <c r="N168" i="1" s="1"/>
  <c r="L168" i="1"/>
  <c r="K168" i="1"/>
  <c r="L167" i="1"/>
  <c r="M167" i="1" s="1"/>
  <c r="N167" i="1" s="1"/>
  <c r="K167" i="1"/>
  <c r="L166" i="1"/>
  <c r="M166" i="1" s="1"/>
  <c r="N166" i="1" s="1"/>
  <c r="K166" i="1"/>
  <c r="L165" i="1"/>
  <c r="M165" i="1" s="1"/>
  <c r="N165" i="1" s="1"/>
  <c r="K165" i="1"/>
  <c r="L164" i="1"/>
  <c r="M164" i="1" s="1"/>
  <c r="N164" i="1" s="1"/>
  <c r="K164" i="1"/>
  <c r="L163" i="1"/>
  <c r="K163" i="1"/>
  <c r="M163" i="1" s="1"/>
  <c r="N163" i="1" s="1"/>
  <c r="L162" i="1"/>
  <c r="M162" i="1" s="1"/>
  <c r="N162" i="1" s="1"/>
  <c r="K162" i="1"/>
  <c r="L161" i="1"/>
  <c r="K161" i="1"/>
  <c r="L160" i="1"/>
  <c r="K160" i="1"/>
  <c r="L159" i="1"/>
  <c r="M159" i="1" s="1"/>
  <c r="N159" i="1" s="1"/>
  <c r="K159" i="1"/>
  <c r="N158" i="1"/>
  <c r="L158" i="1"/>
  <c r="K158" i="1"/>
  <c r="M158" i="1" s="1"/>
  <c r="N157" i="1"/>
  <c r="L157" i="1"/>
  <c r="M157" i="1" s="1"/>
  <c r="K157" i="1"/>
  <c r="L156" i="1"/>
  <c r="K156" i="1"/>
  <c r="L155" i="1"/>
  <c r="M155" i="1" s="1"/>
  <c r="N155" i="1" s="1"/>
  <c r="K155" i="1"/>
  <c r="L154" i="1"/>
  <c r="M154" i="1" s="1"/>
  <c r="N154" i="1" s="1"/>
  <c r="K154" i="1"/>
  <c r="N153" i="1"/>
  <c r="L153" i="1"/>
  <c r="M153" i="1" s="1"/>
  <c r="K153" i="1"/>
  <c r="L152" i="1"/>
  <c r="K152" i="1"/>
  <c r="M152" i="1" s="1"/>
  <c r="N152" i="1" s="1"/>
  <c r="L151" i="1"/>
  <c r="M151" i="1" s="1"/>
  <c r="N151" i="1" s="1"/>
  <c r="K151" i="1"/>
  <c r="L150" i="1"/>
  <c r="K150" i="1"/>
  <c r="L149" i="1"/>
  <c r="K149" i="1"/>
  <c r="L148" i="1"/>
  <c r="M148" i="1" s="1"/>
  <c r="N148" i="1" s="1"/>
  <c r="K148" i="1"/>
  <c r="L147" i="1"/>
  <c r="K147" i="1"/>
  <c r="L146" i="1"/>
  <c r="M146" i="1" s="1"/>
  <c r="N146" i="1" s="1"/>
  <c r="K146" i="1"/>
  <c r="L145" i="1"/>
  <c r="K145" i="1"/>
  <c r="L144" i="1"/>
  <c r="K144" i="1"/>
  <c r="M144" i="1" s="1"/>
  <c r="N144" i="1" s="1"/>
  <c r="L143" i="1"/>
  <c r="M143" i="1" s="1"/>
  <c r="N143" i="1" s="1"/>
  <c r="K143" i="1"/>
  <c r="L142" i="1"/>
  <c r="K142" i="1"/>
  <c r="L141" i="1"/>
  <c r="M141" i="1" s="1"/>
  <c r="N141" i="1" s="1"/>
  <c r="K141" i="1"/>
  <c r="M140" i="1"/>
  <c r="N140" i="1" s="1"/>
  <c r="L140" i="1"/>
  <c r="K140" i="1"/>
  <c r="L139" i="1"/>
  <c r="K139" i="1"/>
  <c r="M138" i="1"/>
  <c r="N138" i="1" s="1"/>
  <c r="L138" i="1"/>
  <c r="K138" i="1"/>
  <c r="L137" i="1"/>
  <c r="K137" i="1"/>
  <c r="L136" i="1"/>
  <c r="M136" i="1" s="1"/>
  <c r="N136" i="1" s="1"/>
  <c r="K136" i="1"/>
  <c r="L135" i="1"/>
  <c r="K135" i="1"/>
  <c r="M135" i="1" s="1"/>
  <c r="N135" i="1" s="1"/>
  <c r="L134" i="1"/>
  <c r="M134" i="1" s="1"/>
  <c r="N134" i="1" s="1"/>
  <c r="K134" i="1"/>
  <c r="N133" i="1"/>
  <c r="L133" i="1"/>
  <c r="M133" i="1" s="1"/>
  <c r="K133" i="1"/>
  <c r="L132" i="1"/>
  <c r="M132" i="1" s="1"/>
  <c r="N132" i="1" s="1"/>
  <c r="K132" i="1"/>
  <c r="L131" i="1"/>
  <c r="M131" i="1" s="1"/>
  <c r="N131" i="1" s="1"/>
  <c r="K131" i="1"/>
  <c r="M130" i="1"/>
  <c r="N130" i="1" s="1"/>
  <c r="L130" i="1"/>
  <c r="K130" i="1"/>
  <c r="L129" i="1"/>
  <c r="K129" i="1"/>
  <c r="M128" i="1"/>
  <c r="N128" i="1" s="1"/>
  <c r="L128" i="1"/>
  <c r="K128" i="1"/>
  <c r="L127" i="1"/>
  <c r="K127" i="1"/>
  <c r="M127" i="1" s="1"/>
  <c r="N127" i="1" s="1"/>
  <c r="L126" i="1"/>
  <c r="K126" i="1"/>
  <c r="L125" i="1"/>
  <c r="K125" i="1"/>
  <c r="L124" i="1"/>
  <c r="M124" i="1" s="1"/>
  <c r="N124" i="1" s="1"/>
  <c r="K124" i="1"/>
  <c r="M123" i="1"/>
  <c r="N123" i="1" s="1"/>
  <c r="L123" i="1"/>
  <c r="K123" i="1"/>
  <c r="L122" i="1"/>
  <c r="K122" i="1"/>
  <c r="L121" i="1"/>
  <c r="K121" i="1"/>
  <c r="L120" i="1"/>
  <c r="M120" i="1" s="1"/>
  <c r="N120" i="1" s="1"/>
  <c r="K120" i="1"/>
  <c r="L119" i="1"/>
  <c r="M119" i="1" s="1"/>
  <c r="N119" i="1" s="1"/>
  <c r="K119" i="1"/>
  <c r="L118" i="1"/>
  <c r="K118" i="1"/>
  <c r="M118" i="1" s="1"/>
  <c r="N118" i="1" s="1"/>
  <c r="L117" i="1"/>
  <c r="K117" i="1"/>
  <c r="L116" i="1"/>
  <c r="M116" i="1" s="1"/>
  <c r="N116" i="1" s="1"/>
  <c r="K116" i="1"/>
  <c r="L115" i="1"/>
  <c r="M115" i="1" s="1"/>
  <c r="N115" i="1" s="1"/>
  <c r="K115" i="1"/>
  <c r="L114" i="1"/>
  <c r="M114" i="1" s="1"/>
  <c r="N114" i="1" s="1"/>
  <c r="K114" i="1"/>
  <c r="L113" i="1"/>
  <c r="K113" i="1"/>
  <c r="L112" i="1"/>
  <c r="K112" i="1"/>
  <c r="L111" i="1"/>
  <c r="M111" i="1" s="1"/>
  <c r="N111" i="1" s="1"/>
  <c r="K111" i="1"/>
  <c r="L110" i="1"/>
  <c r="K110" i="1"/>
  <c r="M110" i="1" s="1"/>
  <c r="N110" i="1" s="1"/>
  <c r="L109" i="1"/>
  <c r="K109" i="1"/>
  <c r="L108" i="1"/>
  <c r="M108" i="1" s="1"/>
  <c r="N108" i="1" s="1"/>
  <c r="K108" i="1"/>
  <c r="L107" i="1"/>
  <c r="K107" i="1"/>
  <c r="M106" i="1"/>
  <c r="N106" i="1" s="1"/>
  <c r="L106" i="1"/>
  <c r="K106" i="1"/>
  <c r="L105" i="1"/>
  <c r="K105" i="1"/>
  <c r="L104" i="1"/>
  <c r="M104" i="1" s="1"/>
  <c r="N104" i="1" s="1"/>
  <c r="K104" i="1"/>
  <c r="L103" i="1"/>
  <c r="K103" i="1"/>
  <c r="M103" i="1" s="1"/>
  <c r="N103" i="1" s="1"/>
  <c r="L102" i="1"/>
  <c r="M102" i="1" s="1"/>
  <c r="N102" i="1" s="1"/>
  <c r="K102" i="1"/>
  <c r="L101" i="1"/>
  <c r="M101" i="1" s="1"/>
  <c r="N101" i="1" s="1"/>
  <c r="K101" i="1"/>
  <c r="M100" i="1"/>
  <c r="N100" i="1" s="1"/>
  <c r="L100" i="1"/>
  <c r="K100" i="1"/>
  <c r="L99" i="1"/>
  <c r="M99" i="1" s="1"/>
  <c r="N99" i="1" s="1"/>
  <c r="K99" i="1"/>
  <c r="L98" i="1"/>
  <c r="M98" i="1" s="1"/>
  <c r="N98" i="1" s="1"/>
  <c r="K98" i="1"/>
  <c r="L97" i="1"/>
  <c r="K97" i="1"/>
  <c r="L96" i="1"/>
  <c r="K96" i="1"/>
  <c r="L95" i="1"/>
  <c r="K95" i="1"/>
  <c r="M94" i="1"/>
  <c r="N94" i="1" s="1"/>
  <c r="L94" i="1"/>
  <c r="K94" i="1"/>
  <c r="N93" i="1"/>
  <c r="L93" i="1"/>
  <c r="M93" i="1" s="1"/>
  <c r="K93" i="1"/>
  <c r="L92" i="1"/>
  <c r="K92" i="1"/>
  <c r="L91" i="1"/>
  <c r="M91" i="1" s="1"/>
  <c r="N91" i="1" s="1"/>
  <c r="K91" i="1"/>
  <c r="L90" i="1"/>
  <c r="M90" i="1" s="1"/>
  <c r="N90" i="1" s="1"/>
  <c r="K90" i="1"/>
  <c r="L89" i="1"/>
  <c r="M89" i="1" s="1"/>
  <c r="N89" i="1" s="1"/>
  <c r="K89" i="1"/>
  <c r="L88" i="1"/>
  <c r="K88" i="1"/>
  <c r="M88" i="1" s="1"/>
  <c r="N88" i="1" s="1"/>
  <c r="L87" i="1"/>
  <c r="K87" i="1"/>
  <c r="M87" i="1" s="1"/>
  <c r="N87" i="1" s="1"/>
  <c r="L86" i="1"/>
  <c r="M86" i="1" s="1"/>
  <c r="N86" i="1" s="1"/>
  <c r="K86" i="1"/>
  <c r="L85" i="1"/>
  <c r="K85" i="1"/>
  <c r="L84" i="1"/>
  <c r="M84" i="1" s="1"/>
  <c r="N84" i="1" s="1"/>
  <c r="K84" i="1"/>
  <c r="L83" i="1"/>
  <c r="K83" i="1"/>
  <c r="M83" i="1" s="1"/>
  <c r="N83" i="1" s="1"/>
  <c r="L82" i="1"/>
  <c r="K82" i="1"/>
  <c r="M82" i="1" s="1"/>
  <c r="N82" i="1" s="1"/>
  <c r="L81" i="1"/>
  <c r="K81" i="1"/>
  <c r="L80" i="1"/>
  <c r="K80" i="1"/>
  <c r="M80" i="1" s="1"/>
  <c r="N80" i="1" s="1"/>
  <c r="L79" i="1"/>
  <c r="M79" i="1" s="1"/>
  <c r="N79" i="1" s="1"/>
  <c r="K79" i="1"/>
  <c r="L78" i="1"/>
  <c r="K78" i="1"/>
  <c r="L77" i="1"/>
  <c r="M77" i="1" s="1"/>
  <c r="N77" i="1" s="1"/>
  <c r="K77" i="1"/>
  <c r="M76" i="1"/>
  <c r="N76" i="1" s="1"/>
  <c r="L76" i="1"/>
  <c r="K76" i="1"/>
  <c r="L75" i="1"/>
  <c r="K75" i="1"/>
  <c r="L74" i="1"/>
  <c r="M74" i="1" s="1"/>
  <c r="N74" i="1" s="1"/>
  <c r="K74" i="1"/>
  <c r="L73" i="1"/>
  <c r="K73" i="1"/>
  <c r="L72" i="1"/>
  <c r="M72" i="1" s="1"/>
  <c r="N72" i="1" s="1"/>
  <c r="K72" i="1"/>
  <c r="L71" i="1"/>
  <c r="K71" i="1"/>
  <c r="M71" i="1" s="1"/>
  <c r="N71" i="1" s="1"/>
  <c r="L70" i="1"/>
  <c r="M70" i="1" s="1"/>
  <c r="N70" i="1" s="1"/>
  <c r="K70" i="1"/>
  <c r="L69" i="1"/>
  <c r="M69" i="1" s="1"/>
  <c r="N69" i="1" s="1"/>
  <c r="K69" i="1"/>
  <c r="L68" i="1"/>
  <c r="M68" i="1" s="1"/>
  <c r="N68" i="1" s="1"/>
  <c r="K68" i="1"/>
  <c r="L67" i="1"/>
  <c r="M67" i="1" s="1"/>
  <c r="N67" i="1" s="1"/>
  <c r="K67" i="1"/>
  <c r="M66" i="1"/>
  <c r="N66" i="1" s="1"/>
  <c r="L66" i="1"/>
  <c r="K66" i="1"/>
  <c r="L65" i="1"/>
  <c r="K65" i="1"/>
  <c r="M64" i="1"/>
  <c r="N64" i="1" s="1"/>
  <c r="L64" i="1"/>
  <c r="K64" i="1"/>
  <c r="L63" i="1"/>
  <c r="K63" i="1"/>
  <c r="M63" i="1" s="1"/>
  <c r="N63" i="1" s="1"/>
  <c r="L62" i="1"/>
  <c r="M62" i="1" s="1"/>
  <c r="N62" i="1" s="1"/>
  <c r="K62" i="1"/>
  <c r="L61" i="1"/>
  <c r="M61" i="1" s="1"/>
  <c r="N61" i="1" s="1"/>
  <c r="K61" i="1"/>
  <c r="L60" i="1"/>
  <c r="M60" i="1" s="1"/>
  <c r="N60" i="1" s="1"/>
  <c r="K60" i="1"/>
  <c r="N59" i="1"/>
  <c r="M59" i="1"/>
  <c r="L59" i="1"/>
  <c r="K59" i="1"/>
  <c r="L58" i="1"/>
  <c r="K58" i="1"/>
  <c r="L57" i="1"/>
  <c r="K57" i="1"/>
  <c r="N56" i="1"/>
  <c r="M56" i="1"/>
  <c r="L56" i="1"/>
  <c r="K56" i="1"/>
  <c r="L55" i="1"/>
  <c r="M55" i="1" s="1"/>
  <c r="N55" i="1" s="1"/>
  <c r="K55" i="1"/>
  <c r="L54" i="1"/>
  <c r="K54" i="1"/>
  <c r="M54" i="1" s="1"/>
  <c r="N54" i="1" s="1"/>
  <c r="L53" i="1"/>
  <c r="K53" i="1"/>
  <c r="L52" i="1"/>
  <c r="M52" i="1" s="1"/>
  <c r="N52" i="1" s="1"/>
  <c r="K52" i="1"/>
  <c r="M51" i="1"/>
  <c r="N51" i="1" s="1"/>
  <c r="L51" i="1"/>
  <c r="K51" i="1"/>
  <c r="L50" i="1"/>
  <c r="M50" i="1" s="1"/>
  <c r="N50" i="1" s="1"/>
  <c r="K50" i="1"/>
  <c r="N49" i="1"/>
  <c r="L49" i="1"/>
  <c r="M49" i="1" s="1"/>
  <c r="K49" i="1"/>
  <c r="L48" i="1"/>
  <c r="K48" i="1"/>
  <c r="L47" i="1"/>
  <c r="M47" i="1" s="1"/>
  <c r="N47" i="1" s="1"/>
  <c r="K47" i="1"/>
  <c r="N46" i="1"/>
  <c r="L46" i="1"/>
  <c r="K46" i="1"/>
  <c r="M46" i="1" s="1"/>
  <c r="L45" i="1"/>
  <c r="K45" i="1"/>
  <c r="L44" i="1"/>
  <c r="K44" i="1"/>
  <c r="M44" i="1" s="1"/>
  <c r="N44" i="1" s="1"/>
  <c r="L43" i="1"/>
  <c r="K43" i="1"/>
  <c r="M42" i="1"/>
  <c r="N42" i="1" s="1"/>
  <c r="L42" i="1"/>
  <c r="K42" i="1"/>
  <c r="L41" i="1"/>
  <c r="K41" i="1"/>
  <c r="L40" i="1"/>
  <c r="M40" i="1" s="1"/>
  <c r="N40" i="1" s="1"/>
  <c r="K40" i="1"/>
  <c r="L39" i="1"/>
  <c r="K39" i="1"/>
  <c r="L38" i="1"/>
  <c r="M38" i="1" s="1"/>
  <c r="N38" i="1" s="1"/>
  <c r="K38" i="1"/>
  <c r="L37" i="1"/>
  <c r="M37" i="1" s="1"/>
  <c r="N37" i="1" s="1"/>
  <c r="K37" i="1"/>
  <c r="L36" i="1"/>
  <c r="M36" i="1" s="1"/>
  <c r="N36" i="1" s="1"/>
  <c r="K36" i="1"/>
  <c r="L35" i="1"/>
  <c r="K35" i="1"/>
  <c r="M35" i="1" s="1"/>
  <c r="N35" i="1" s="1"/>
  <c r="L34" i="1"/>
  <c r="M34" i="1" s="1"/>
  <c r="N34" i="1" s="1"/>
  <c r="K34" i="1"/>
  <c r="L33" i="1"/>
  <c r="K33" i="1"/>
  <c r="L32" i="1"/>
  <c r="M32" i="1" s="1"/>
  <c r="N32" i="1" s="1"/>
  <c r="K32" i="1"/>
  <c r="L31" i="1"/>
  <c r="M31" i="1" s="1"/>
  <c r="N31" i="1" s="1"/>
  <c r="K31" i="1"/>
  <c r="L30" i="1"/>
  <c r="M30" i="1" s="1"/>
  <c r="N30" i="1" s="1"/>
  <c r="K30" i="1"/>
  <c r="N29" i="1"/>
  <c r="L29" i="1"/>
  <c r="M29" i="1" s="1"/>
  <c r="K29" i="1"/>
  <c r="L28" i="1"/>
  <c r="K28" i="1"/>
  <c r="L27" i="1"/>
  <c r="M27" i="1" s="1"/>
  <c r="N27" i="1" s="1"/>
  <c r="K27" i="1"/>
  <c r="N26" i="1"/>
  <c r="M26" i="1"/>
  <c r="L26" i="1"/>
  <c r="K26" i="1"/>
  <c r="L25" i="1"/>
  <c r="M25" i="1" s="1"/>
  <c r="N25" i="1" s="1"/>
  <c r="K25" i="1"/>
  <c r="L24" i="1"/>
  <c r="K24" i="1"/>
  <c r="M24" i="1" s="1"/>
  <c r="N24" i="1" s="1"/>
  <c r="L23" i="1"/>
  <c r="K23" i="1"/>
  <c r="L22" i="1"/>
  <c r="M22" i="1" s="1"/>
  <c r="N22" i="1" s="1"/>
  <c r="K22" i="1"/>
  <c r="L21" i="1"/>
  <c r="K21" i="1"/>
  <c r="L20" i="1"/>
  <c r="M20" i="1" s="1"/>
  <c r="N20" i="1" s="1"/>
  <c r="K20" i="1"/>
  <c r="L19" i="1"/>
  <c r="M19" i="1" s="1"/>
  <c r="N19" i="1" s="1"/>
  <c r="K19" i="1"/>
  <c r="L18" i="1"/>
  <c r="K18" i="1"/>
  <c r="L17" i="1"/>
  <c r="K17" i="1"/>
  <c r="L16" i="1"/>
  <c r="K16" i="1"/>
  <c r="M16" i="1" s="1"/>
  <c r="N16" i="1" s="1"/>
  <c r="L15" i="1"/>
  <c r="M15" i="1" s="1"/>
  <c r="N15" i="1" s="1"/>
  <c r="K15" i="1"/>
  <c r="L14" i="1"/>
  <c r="M14" i="1" s="1"/>
  <c r="N14" i="1" s="1"/>
  <c r="K14" i="1"/>
  <c r="L13" i="1"/>
  <c r="K13" i="1"/>
  <c r="M12" i="1"/>
  <c r="N12" i="1" s="1"/>
  <c r="L12" i="1"/>
  <c r="K12" i="1"/>
  <c r="L11" i="1"/>
  <c r="K11" i="1"/>
  <c r="M10" i="1"/>
  <c r="N10" i="1" s="1"/>
  <c r="L10" i="1"/>
  <c r="K10" i="1"/>
  <c r="L9" i="1"/>
  <c r="K9" i="1"/>
  <c r="L8" i="1"/>
  <c r="M8" i="1" s="1"/>
  <c r="N8" i="1" s="1"/>
  <c r="K8" i="1"/>
  <c r="M7" i="1"/>
  <c r="N7" i="1" s="1"/>
  <c r="L7" i="1"/>
  <c r="K7" i="1"/>
  <c r="L6" i="1"/>
  <c r="M6" i="1" s="1"/>
  <c r="N6" i="1" s="1"/>
  <c r="K6" i="1"/>
  <c r="N5" i="1"/>
  <c r="L5" i="1"/>
  <c r="M5" i="1" s="1"/>
  <c r="K5" i="1"/>
  <c r="L4" i="1"/>
  <c r="M4" i="1" s="1"/>
  <c r="N4" i="1" s="1"/>
  <c r="K4" i="1"/>
  <c r="L3" i="1"/>
  <c r="M3" i="1" s="1"/>
  <c r="N3" i="1" s="1"/>
  <c r="K3" i="1"/>
  <c r="L2" i="1"/>
  <c r="K2" i="1"/>
  <c r="M2" i="1" s="1"/>
  <c r="N2" i="1" s="1"/>
  <c r="I8" i="2"/>
  <c r="F8" i="2"/>
  <c r="B9" i="2"/>
  <c r="M802" i="1" l="1"/>
  <c r="N802" i="1" s="1"/>
  <c r="M147" i="1"/>
  <c r="N147" i="1" s="1"/>
  <c r="M189" i="1"/>
  <c r="N189" i="1" s="1"/>
  <c r="M469" i="1"/>
  <c r="N469" i="1" s="1"/>
  <c r="M989" i="1"/>
  <c r="N989" i="1" s="1"/>
  <c r="M202" i="1"/>
  <c r="N202" i="1" s="1"/>
  <c r="M623" i="1"/>
  <c r="N623" i="1" s="1"/>
  <c r="M679" i="1"/>
  <c r="N679" i="1" s="1"/>
  <c r="M860" i="1"/>
  <c r="N860" i="1" s="1"/>
  <c r="M23" i="1"/>
  <c r="N23" i="1" s="1"/>
  <c r="M53" i="1"/>
  <c r="N53" i="1" s="1"/>
  <c r="M190" i="1"/>
  <c r="N190" i="1" s="1"/>
  <c r="M286" i="1"/>
  <c r="N286" i="1" s="1"/>
  <c r="M513" i="1"/>
  <c r="N513" i="1" s="1"/>
  <c r="M990" i="1"/>
  <c r="N990" i="1" s="1"/>
  <c r="M78" i="1"/>
  <c r="N78" i="1" s="1"/>
  <c r="M149" i="1"/>
  <c r="N149" i="1" s="1"/>
  <c r="M185" i="1"/>
  <c r="N185" i="1" s="1"/>
  <c r="M279" i="1"/>
  <c r="N279" i="1" s="1"/>
  <c r="M495" i="1"/>
  <c r="N495" i="1" s="1"/>
  <c r="M85" i="1"/>
  <c r="N85" i="1" s="1"/>
  <c r="M378" i="1"/>
  <c r="N378" i="1" s="1"/>
  <c r="M970" i="1"/>
  <c r="N970" i="1" s="1"/>
  <c r="M43" i="1"/>
  <c r="N43" i="1" s="1"/>
  <c r="M230" i="1"/>
  <c r="N230" i="1" s="1"/>
  <c r="M557" i="1"/>
  <c r="N557" i="1" s="1"/>
  <c r="M661" i="1"/>
  <c r="N661" i="1" s="1"/>
  <c r="M269" i="1"/>
  <c r="N269" i="1" s="1"/>
  <c r="M346" i="1"/>
  <c r="N346" i="1" s="1"/>
  <c r="M451" i="1"/>
  <c r="N451" i="1" s="1"/>
  <c r="M490" i="1"/>
  <c r="N490" i="1" s="1"/>
  <c r="M543" i="1"/>
  <c r="N543" i="1" s="1"/>
  <c r="M736" i="1"/>
  <c r="N736" i="1" s="1"/>
  <c r="M910" i="1"/>
  <c r="N910" i="1" s="1"/>
  <c r="M121" i="1"/>
  <c r="N121" i="1" s="1"/>
  <c r="M383" i="1"/>
  <c r="N383" i="1" s="1"/>
  <c r="M48" i="1"/>
  <c r="N48" i="1" s="1"/>
  <c r="M313" i="1"/>
  <c r="N313" i="1" s="1"/>
  <c r="M370" i="1"/>
  <c r="N370" i="1" s="1"/>
  <c r="M673" i="1"/>
  <c r="N673" i="1" s="1"/>
  <c r="M832" i="1"/>
  <c r="N832" i="1" s="1"/>
  <c r="M236" i="1"/>
  <c r="N236" i="1" s="1"/>
  <c r="M142" i="1"/>
  <c r="N142" i="1" s="1"/>
  <c r="M314" i="1"/>
  <c r="N314" i="1" s="1"/>
  <c r="M18" i="1"/>
  <c r="N18" i="1" s="1"/>
  <c r="M150" i="1"/>
  <c r="N150" i="1" s="1"/>
  <c r="M137" i="1"/>
  <c r="N137" i="1" s="1"/>
  <c r="M252" i="1"/>
  <c r="N252" i="1" s="1"/>
  <c r="M480" i="1"/>
  <c r="N480" i="1" s="1"/>
  <c r="M577" i="1"/>
  <c r="N577" i="1" s="1"/>
  <c r="M723" i="1"/>
  <c r="N723" i="1" s="1"/>
  <c r="M57" i="1"/>
  <c r="N57" i="1" s="1"/>
  <c r="M126" i="1"/>
  <c r="N126" i="1" s="1"/>
  <c r="M259" i="1"/>
  <c r="N259" i="1" s="1"/>
  <c r="M304" i="1"/>
  <c r="N304" i="1" s="1"/>
  <c r="M432" i="1"/>
  <c r="N432" i="1" s="1"/>
  <c r="M916" i="1"/>
  <c r="N916" i="1" s="1"/>
  <c r="M95" i="1"/>
  <c r="N95" i="1" s="1"/>
  <c r="M297" i="1"/>
  <c r="N297" i="1" s="1"/>
  <c r="M201" i="1"/>
  <c r="N201" i="1" s="1"/>
  <c r="M291" i="1"/>
  <c r="N291" i="1" s="1"/>
  <c r="M474" i="1"/>
  <c r="N474" i="1" s="1"/>
  <c r="M58" i="1"/>
  <c r="N58" i="1" s="1"/>
  <c r="M643" i="1"/>
  <c r="N643" i="1" s="1"/>
  <c r="M705" i="1"/>
  <c r="N705" i="1" s="1"/>
  <c r="M242" i="1"/>
  <c r="N242" i="1" s="1"/>
  <c r="M507" i="1"/>
  <c r="N507" i="1" s="1"/>
  <c r="M846" i="1"/>
  <c r="N846" i="1" s="1"/>
  <c r="M17" i="1"/>
  <c r="N17" i="1" s="1"/>
  <c r="M456" i="1"/>
  <c r="N456" i="1" s="1"/>
  <c r="M562" i="1"/>
  <c r="N562" i="1" s="1"/>
  <c r="M976" i="1"/>
  <c r="N976" i="1" s="1"/>
  <c r="M216" i="1"/>
  <c r="N216" i="1" s="1"/>
  <c r="M450" i="1"/>
  <c r="N450" i="1" s="1"/>
  <c r="M464" i="1"/>
  <c r="N464" i="1" s="1"/>
  <c r="M489" i="1"/>
  <c r="N489" i="1" s="1"/>
  <c r="M848" i="1"/>
  <c r="N848" i="1" s="1"/>
  <c r="M125" i="1"/>
  <c r="N125" i="1" s="1"/>
  <c r="M218" i="1"/>
  <c r="N218" i="1" s="1"/>
  <c r="M393" i="1"/>
  <c r="N393" i="1" s="1"/>
  <c r="M715" i="1"/>
  <c r="N715" i="1" s="1"/>
  <c r="M841" i="1"/>
  <c r="N841" i="1" s="1"/>
  <c r="M971" i="1"/>
  <c r="N971" i="1" s="1"/>
  <c r="M13" i="1"/>
  <c r="N13" i="1" s="1"/>
  <c r="M28" i="1"/>
  <c r="N28" i="1" s="1"/>
  <c r="M160" i="1"/>
  <c r="N160" i="1" s="1"/>
  <c r="M181" i="1"/>
  <c r="N181" i="1" s="1"/>
  <c r="M186" i="1"/>
  <c r="N186" i="1" s="1"/>
  <c r="M237" i="1"/>
  <c r="N237" i="1" s="1"/>
  <c r="M354" i="1"/>
  <c r="N354" i="1" s="1"/>
  <c r="M366" i="1"/>
  <c r="N366" i="1" s="1"/>
  <c r="M662" i="1"/>
  <c r="N662" i="1" s="1"/>
  <c r="M674" i="1"/>
  <c r="N674" i="1" s="1"/>
  <c r="M869" i="1"/>
  <c r="N869" i="1" s="1"/>
  <c r="M972" i="1"/>
  <c r="N972" i="1" s="1"/>
  <c r="M75" i="1"/>
  <c r="N75" i="1" s="1"/>
  <c r="M112" i="1"/>
  <c r="N112" i="1" s="1"/>
  <c r="M139" i="1"/>
  <c r="N139" i="1" s="1"/>
  <c r="M145" i="1"/>
  <c r="N145" i="1" s="1"/>
  <c r="M192" i="1"/>
  <c r="N192" i="1" s="1"/>
  <c r="M225" i="1"/>
  <c r="N225" i="1" s="1"/>
  <c r="M326" i="1"/>
  <c r="N326" i="1" s="1"/>
  <c r="M332" i="1"/>
  <c r="N332" i="1" s="1"/>
  <c r="M360" i="1"/>
  <c r="N360" i="1" s="1"/>
  <c r="M405" i="1"/>
  <c r="N405" i="1" s="1"/>
  <c r="M434" i="1"/>
  <c r="N434" i="1" s="1"/>
  <c r="M475" i="1"/>
  <c r="N475" i="1" s="1"/>
  <c r="M533" i="1"/>
  <c r="N533" i="1" s="1"/>
  <c r="M579" i="1"/>
  <c r="N579" i="1" s="1"/>
  <c r="M919" i="1"/>
  <c r="N919" i="1" s="1"/>
  <c r="M925" i="1"/>
  <c r="N925" i="1" s="1"/>
  <c r="M965" i="1"/>
  <c r="N965" i="1" s="1"/>
  <c r="M9" i="1"/>
  <c r="N9" i="1" s="1"/>
  <c r="M65" i="1"/>
  <c r="N65" i="1" s="1"/>
  <c r="M113" i="1"/>
  <c r="N113" i="1" s="1"/>
  <c r="M129" i="1"/>
  <c r="N129" i="1" s="1"/>
  <c r="M277" i="1"/>
  <c r="N277" i="1" s="1"/>
  <c r="M864" i="1"/>
  <c r="N864" i="1" s="1"/>
  <c r="M156" i="1"/>
  <c r="N156" i="1" s="1"/>
  <c r="M255" i="1"/>
  <c r="N255" i="1" s="1"/>
  <c r="M327" i="1"/>
  <c r="N327" i="1" s="1"/>
  <c r="M361" i="1"/>
  <c r="N361" i="1" s="1"/>
  <c r="M389" i="1"/>
  <c r="N389" i="1" s="1"/>
  <c r="M406" i="1"/>
  <c r="N406" i="1" s="1"/>
  <c r="M598" i="1"/>
  <c r="N598" i="1" s="1"/>
  <c r="M632" i="1"/>
  <c r="N632" i="1" s="1"/>
  <c r="M740" i="1"/>
  <c r="N740" i="1" s="1"/>
  <c r="M766" i="1"/>
  <c r="N766" i="1" s="1"/>
  <c r="M545" i="1"/>
  <c r="N545" i="1" s="1"/>
  <c r="M590" i="1"/>
  <c r="N590" i="1" s="1"/>
  <c r="M717" i="1"/>
  <c r="N717" i="1" s="1"/>
  <c r="M197" i="1"/>
  <c r="N197" i="1" s="1"/>
  <c r="M539" i="1"/>
  <c r="N539" i="1" s="1"/>
  <c r="M757" i="1"/>
  <c r="N757" i="1" s="1"/>
  <c r="M764" i="1"/>
  <c r="N764" i="1" s="1"/>
  <c r="M931" i="1"/>
  <c r="N931" i="1" s="1"/>
  <c r="M991" i="1"/>
  <c r="N991" i="1" s="1"/>
  <c r="M39" i="1"/>
  <c r="N39" i="1" s="1"/>
  <c r="M81" i="1"/>
  <c r="N81" i="1" s="1"/>
  <c r="M96" i="1"/>
  <c r="N96" i="1" s="1"/>
  <c r="M107" i="1"/>
  <c r="N107" i="1" s="1"/>
  <c r="M209" i="1"/>
  <c r="N209" i="1" s="1"/>
  <c r="M540" i="1"/>
  <c r="N540" i="1" s="1"/>
  <c r="M574" i="1"/>
  <c r="N574" i="1" s="1"/>
  <c r="M765" i="1"/>
  <c r="N765" i="1" s="1"/>
  <c r="M953" i="1"/>
  <c r="N953" i="1" s="1"/>
  <c r="M620" i="1"/>
  <c r="N620" i="1" s="1"/>
  <c r="M45" i="1"/>
  <c r="N45" i="1" s="1"/>
  <c r="M92" i="1"/>
  <c r="N92" i="1" s="1"/>
  <c r="M172" i="1"/>
  <c r="N172" i="1" s="1"/>
  <c r="M210" i="1"/>
  <c r="N210" i="1" s="1"/>
  <c r="M368" i="1"/>
  <c r="N368" i="1" s="1"/>
  <c r="M448" i="1"/>
  <c r="N448" i="1" s="1"/>
  <c r="M523" i="1"/>
  <c r="N523" i="1" s="1"/>
  <c r="M713" i="1"/>
  <c r="N713" i="1" s="1"/>
  <c r="M914" i="1"/>
  <c r="N914" i="1" s="1"/>
  <c r="M947" i="1"/>
  <c r="N947" i="1" s="1"/>
  <c r="M596" i="1"/>
  <c r="N596" i="1" s="1"/>
  <c r="M978" i="1"/>
  <c r="N978" i="1" s="1"/>
  <c r="M260" i="1"/>
  <c r="N260" i="1" s="1"/>
  <c r="M682" i="1"/>
  <c r="N682" i="1" s="1"/>
  <c r="M461" i="1"/>
  <c r="N461" i="1" s="1"/>
  <c r="M498" i="1"/>
  <c r="N498" i="1" s="1"/>
  <c r="M853" i="1"/>
  <c r="N853" i="1" s="1"/>
  <c r="M887" i="1"/>
  <c r="N887" i="1" s="1"/>
  <c r="M11" i="1"/>
  <c r="N11" i="1" s="1"/>
  <c r="M73" i="1"/>
  <c r="N73" i="1" s="1"/>
  <c r="M117" i="1"/>
  <c r="N117" i="1" s="1"/>
  <c r="M122" i="1"/>
  <c r="N122" i="1" s="1"/>
  <c r="M207" i="1"/>
  <c r="N207" i="1" s="1"/>
  <c r="M223" i="1"/>
  <c r="N223" i="1" s="1"/>
  <c r="M265" i="1"/>
  <c r="N265" i="1" s="1"/>
  <c r="M301" i="1"/>
  <c r="N301" i="1" s="1"/>
  <c r="M401" i="1"/>
  <c r="N401" i="1" s="1"/>
  <c r="M422" i="1"/>
  <c r="N422" i="1" s="1"/>
  <c r="M554" i="1"/>
  <c r="N554" i="1" s="1"/>
  <c r="M749" i="1"/>
  <c r="N749" i="1" s="1"/>
  <c r="M796" i="1"/>
  <c r="N796" i="1" s="1"/>
  <c r="M881" i="1"/>
  <c r="N881" i="1" s="1"/>
  <c r="M537" i="1"/>
  <c r="N537" i="1" s="1"/>
  <c r="M973" i="1"/>
  <c r="N973" i="1" s="1"/>
  <c r="M21" i="1"/>
  <c r="N21" i="1" s="1"/>
  <c r="M177" i="1"/>
  <c r="N177" i="1" s="1"/>
  <c r="M296" i="1"/>
  <c r="N296" i="1" s="1"/>
  <c r="M359" i="1"/>
  <c r="N359" i="1" s="1"/>
  <c r="M365" i="1"/>
  <c r="N365" i="1" s="1"/>
  <c r="M412" i="1"/>
  <c r="N412" i="1" s="1"/>
  <c r="M439" i="1"/>
  <c r="N439" i="1" s="1"/>
  <c r="M515" i="1"/>
  <c r="N515" i="1" s="1"/>
  <c r="M602" i="1"/>
  <c r="N602" i="1" s="1"/>
  <c r="M785" i="1"/>
  <c r="N785" i="1" s="1"/>
  <c r="M803" i="1"/>
  <c r="N803" i="1" s="1"/>
  <c r="M635" i="1"/>
  <c r="N635" i="1" s="1"/>
  <c r="M338" i="1"/>
  <c r="N338" i="1" s="1"/>
  <c r="M504" i="1"/>
  <c r="N504" i="1" s="1"/>
  <c r="M549" i="1"/>
  <c r="N549" i="1" s="1"/>
  <c r="M630" i="1"/>
  <c r="N630" i="1" s="1"/>
  <c r="M648" i="1"/>
  <c r="N648" i="1" s="1"/>
  <c r="M671" i="1"/>
  <c r="N671" i="1" s="1"/>
  <c r="M695" i="1"/>
  <c r="N695" i="1" s="1"/>
  <c r="M882" i="1"/>
  <c r="N882" i="1" s="1"/>
  <c r="M949" i="1"/>
  <c r="N949" i="1" s="1"/>
  <c r="M109" i="1"/>
  <c r="N109" i="1" s="1"/>
  <c r="M173" i="1"/>
  <c r="N173" i="1" s="1"/>
  <c r="M261" i="1"/>
  <c r="N261" i="1" s="1"/>
  <c r="M329" i="1"/>
  <c r="N329" i="1" s="1"/>
  <c r="M394" i="1"/>
  <c r="N394" i="1" s="1"/>
  <c r="M485" i="1"/>
  <c r="N485" i="1" s="1"/>
  <c r="M564" i="1"/>
  <c r="N564" i="1" s="1"/>
  <c r="M588" i="1"/>
  <c r="N588" i="1" s="1"/>
  <c r="M608" i="1"/>
  <c r="N608" i="1" s="1"/>
  <c r="M653" i="1"/>
  <c r="N653" i="1" s="1"/>
  <c r="M732" i="1"/>
  <c r="N732" i="1" s="1"/>
  <c r="M777" i="1"/>
  <c r="N777" i="1" s="1"/>
  <c r="M821" i="1"/>
  <c r="N821" i="1" s="1"/>
  <c r="M849" i="1"/>
  <c r="N849" i="1" s="1"/>
  <c r="M967" i="1"/>
  <c r="N967" i="1" s="1"/>
  <c r="M41" i="1"/>
  <c r="N41" i="1" s="1"/>
  <c r="M105" i="1"/>
  <c r="N105" i="1" s="1"/>
  <c r="M169" i="1"/>
  <c r="N169" i="1" s="1"/>
  <c r="M221" i="1"/>
  <c r="N221" i="1" s="1"/>
  <c r="M293" i="1"/>
  <c r="N293" i="1" s="1"/>
  <c r="M343" i="1"/>
  <c r="N343" i="1" s="1"/>
  <c r="M385" i="1"/>
  <c r="N385" i="1" s="1"/>
  <c r="M413" i="1"/>
  <c r="N413" i="1" s="1"/>
  <c r="M520" i="1"/>
  <c r="N520" i="1" s="1"/>
  <c r="M669" i="1"/>
  <c r="N669" i="1" s="1"/>
  <c r="M721" i="1"/>
  <c r="N721" i="1" s="1"/>
  <c r="M738" i="1"/>
  <c r="N738" i="1" s="1"/>
  <c r="M755" i="1"/>
  <c r="N755" i="1" s="1"/>
  <c r="M933" i="1"/>
  <c r="N933" i="1" s="1"/>
  <c r="M950" i="1"/>
  <c r="N950" i="1" s="1"/>
  <c r="M33" i="1"/>
  <c r="N33" i="1" s="1"/>
  <c r="M97" i="1"/>
  <c r="N97" i="1" s="1"/>
  <c r="M161" i="1"/>
  <c r="N161" i="1" s="1"/>
  <c r="M217" i="1"/>
  <c r="N217" i="1" s="1"/>
  <c r="M253" i="1"/>
  <c r="N253" i="1" s="1"/>
  <c r="M262" i="1"/>
  <c r="N262" i="1" s="1"/>
  <c r="M325" i="1"/>
  <c r="N325" i="1" s="1"/>
  <c r="M353" i="1"/>
  <c r="N353" i="1" s="1"/>
  <c r="M555" i="1"/>
  <c r="N555" i="1" s="1"/>
  <c r="M570" i="1"/>
  <c r="N570" i="1" s="1"/>
  <c r="M686" i="1"/>
  <c r="N686" i="1" s="1"/>
  <c r="M701" i="1"/>
  <c r="N701" i="1" s="1"/>
  <c r="M968" i="1"/>
  <c r="N968" i="1" s="1"/>
  <c r="M409" i="1"/>
  <c r="N409" i="1" s="1"/>
  <c r="M516" i="1"/>
  <c r="N516" i="1" s="1"/>
  <c r="M526" i="1"/>
  <c r="N526" i="1" s="1"/>
  <c r="M644" i="1"/>
  <c r="N644" i="1" s="1"/>
  <c r="M681" i="1"/>
  <c r="N681" i="1" s="1"/>
  <c r="M745" i="1"/>
  <c r="N745" i="1" s="1"/>
  <c r="M756" i="1"/>
  <c r="N756" i="1" s="1"/>
  <c r="M906" i="1"/>
  <c r="N906" i="1" s="1"/>
  <c r="M867" i="1"/>
  <c r="N867" i="1" s="1"/>
  <c r="M957" i="1"/>
  <c r="N957" i="1" s="1"/>
  <c r="M337" i="1"/>
  <c r="N337" i="1" s="1"/>
  <c r="M381" i="1"/>
  <c r="N381" i="1" s="1"/>
  <c r="M476" i="1"/>
  <c r="N476" i="1" s="1"/>
  <c r="M551" i="1"/>
  <c r="N551" i="1" s="1"/>
  <c r="M556" i="1"/>
  <c r="N556" i="1" s="1"/>
  <c r="M645" i="1"/>
  <c r="N645" i="1" s="1"/>
  <c r="M761" i="1"/>
  <c r="N761" i="1" s="1"/>
  <c r="M788" i="1"/>
  <c r="N788" i="1" s="1"/>
  <c r="M804" i="1"/>
  <c r="N804" i="1" s="1"/>
  <c r="M924" i="1"/>
  <c r="N924" i="1" s="1"/>
  <c r="M985" i="1"/>
  <c r="N985" i="1" s="1"/>
  <c r="M289" i="1"/>
  <c r="N289" i="1" s="1"/>
  <c r="M333" i="1"/>
  <c r="N333" i="1" s="1"/>
  <c r="M390" i="1"/>
  <c r="N390" i="1" s="1"/>
  <c r="M421" i="1"/>
  <c r="N421" i="1" s="1"/>
  <c r="M462" i="1"/>
  <c r="N462" i="1" s="1"/>
  <c r="M542" i="1"/>
  <c r="N542" i="1" s="1"/>
  <c r="M621" i="1"/>
  <c r="N621" i="1" s="1"/>
  <c r="M684" i="1"/>
  <c r="N684" i="1" s="1"/>
  <c r="M704" i="1"/>
  <c r="N704" i="1" s="1"/>
  <c r="M746" i="1"/>
  <c r="N746" i="1" s="1"/>
  <c r="M778" i="1"/>
  <c r="N778" i="1" s="1"/>
  <c r="M845" i="1"/>
  <c r="N845" i="1" s="1"/>
  <c r="M878" i="1"/>
  <c r="N878" i="1" s="1"/>
  <c r="M909" i="1"/>
  <c r="N909" i="1" s="1"/>
  <c r="M441" i="1"/>
  <c r="N441" i="1" s="1"/>
  <c r="M733" i="1"/>
  <c r="N733" i="1" s="1"/>
  <c r="M743" i="1"/>
  <c r="N743" i="1" s="1"/>
  <c r="M773" i="1"/>
  <c r="N773" i="1" s="1"/>
  <c r="M857" i="1"/>
  <c r="N857" i="1" s="1"/>
  <c r="M921" i="1"/>
  <c r="N921" i="1" s="1"/>
  <c r="M956" i="1"/>
  <c r="N956" i="1" s="1"/>
  <c r="M981" i="1"/>
  <c r="N981" i="1" s="1"/>
  <c r="M245" i="1"/>
  <c r="N245" i="1" s="1"/>
  <c r="M309" i="1"/>
  <c r="N309" i="1" s="1"/>
  <c r="M373" i="1"/>
  <c r="N373" i="1" s="1"/>
  <c r="M437" i="1"/>
  <c r="N437" i="1" s="1"/>
  <c r="M573" i="1"/>
  <c r="N573" i="1" s="1"/>
  <c r="M658" i="1"/>
  <c r="N658" i="1" s="1"/>
  <c r="M793" i="1"/>
  <c r="N793" i="1" s="1"/>
  <c r="M823" i="1"/>
  <c r="N823" i="1" s="1"/>
  <c r="M877" i="1"/>
  <c r="N877" i="1" s="1"/>
  <c r="M829" i="1"/>
  <c r="N829" i="1" s="1"/>
  <c r="M883" i="1"/>
  <c r="N883" i="1" s="1"/>
  <c r="M977" i="1"/>
  <c r="N977" i="1" s="1"/>
  <c r="M729" i="1"/>
  <c r="N729" i="1" s="1"/>
  <c r="M837" i="1"/>
  <c r="N837" i="1" s="1"/>
  <c r="M842" i="1"/>
  <c r="N842" i="1" s="1"/>
  <c r="M917" i="1"/>
  <c r="N917" i="1" s="1"/>
  <c r="M945" i="1"/>
  <c r="N945" i="1" s="1"/>
  <c r="M725" i="1"/>
  <c r="N725" i="1" s="1"/>
  <c r="M753" i="1"/>
  <c r="N753" i="1" s="1"/>
  <c r="M819" i="1"/>
  <c r="N819" i="1" s="1"/>
  <c r="M941" i="1"/>
  <c r="N941" i="1" s="1"/>
  <c r="M969" i="1"/>
  <c r="N969" i="1" s="1"/>
  <c r="M988" i="1"/>
  <c r="N988" i="1" s="1"/>
</calcChain>
</file>

<file path=xl/sharedStrings.xml><?xml version="1.0" encoding="utf-8"?>
<sst xmlns="http://schemas.openxmlformats.org/spreadsheetml/2006/main" count="13031" uniqueCount="780">
  <si>
    <t>Month</t>
  </si>
  <si>
    <t>Name</t>
  </si>
  <si>
    <t>Category</t>
  </si>
  <si>
    <t>Product Name</t>
  </si>
  <si>
    <t>State</t>
  </si>
  <si>
    <t>Gender</t>
  </si>
  <si>
    <t>Quantity</t>
  </si>
  <si>
    <t>Cost</t>
  </si>
  <si>
    <t>Price</t>
  </si>
  <si>
    <t>Purchase Cost</t>
  </si>
  <si>
    <t>Sale Price</t>
  </si>
  <si>
    <t>Profit</t>
  </si>
  <si>
    <t>Status</t>
  </si>
  <si>
    <t>june</t>
  </si>
  <si>
    <t>Horizon Wellness</t>
  </si>
  <si>
    <t>Decor</t>
  </si>
  <si>
    <t>Car accessories</t>
  </si>
  <si>
    <t>Assam</t>
  </si>
  <si>
    <t>Female</t>
  </si>
  <si>
    <t>True Value Electronics</t>
  </si>
  <si>
    <t>Punjab</t>
  </si>
  <si>
    <t>Harmony Homes Realty</t>
  </si>
  <si>
    <t>Chhattisgarh</t>
  </si>
  <si>
    <t>Stellar Advertising</t>
  </si>
  <si>
    <t>West Bengal</t>
  </si>
  <si>
    <t>Modern Trends Retail</t>
  </si>
  <si>
    <t>Madhya Pradesh</t>
  </si>
  <si>
    <t>Male</t>
  </si>
  <si>
    <t>Global Spectrum Consulting</t>
  </si>
  <si>
    <t>Jharkhand</t>
  </si>
  <si>
    <t>april</t>
  </si>
  <si>
    <t>Apex Solutions</t>
  </si>
  <si>
    <t xml:space="preserve">Fashion </t>
  </si>
  <si>
    <t>Women dress</t>
  </si>
  <si>
    <t>Gujarat</t>
  </si>
  <si>
    <t>Radiant Vision Studios</t>
  </si>
  <si>
    <t>Home décor</t>
  </si>
  <si>
    <t>Noble Travel Services</t>
  </si>
  <si>
    <t>Uttar Pradesh</t>
  </si>
  <si>
    <t>july</t>
  </si>
  <si>
    <t>Bright Future Academy</t>
  </si>
  <si>
    <t>Visionary Health Systems</t>
  </si>
  <si>
    <t>Apex Retailers</t>
  </si>
  <si>
    <t>Maharashtra</t>
  </si>
  <si>
    <t>Metro Tech Solutions</t>
  </si>
  <si>
    <t>Electronic</t>
  </si>
  <si>
    <t>Speaker</t>
  </si>
  <si>
    <t>Prestige Property Developers</t>
  </si>
  <si>
    <t>Chandigarh</t>
  </si>
  <si>
    <t>Classic Trends Fashion</t>
  </si>
  <si>
    <t>Harmony Ventures</t>
  </si>
  <si>
    <t>Andhra Pradesh</t>
  </si>
  <si>
    <t>Stellar Realty</t>
  </si>
  <si>
    <t>Bihar</t>
  </si>
  <si>
    <t>Future Path Technologies</t>
  </si>
  <si>
    <t>Elite Edge Services</t>
  </si>
  <si>
    <t>august</t>
  </si>
  <si>
    <t>Modern Harmony Products</t>
  </si>
  <si>
    <t>Horizon Builders &amp; Developers</t>
  </si>
  <si>
    <t>Rajasthan</t>
  </si>
  <si>
    <t>Legacy Apparel</t>
  </si>
  <si>
    <t>Elite Marketing Solutions</t>
  </si>
  <si>
    <t>TV</t>
  </si>
  <si>
    <t>Tamil Nadu</t>
  </si>
  <si>
    <t>Pinnacle Education Group</t>
  </si>
  <si>
    <t>Crystal Clear Solutions</t>
  </si>
  <si>
    <t>Noble Innovations</t>
  </si>
  <si>
    <t>Crystal Clear Realty</t>
  </si>
  <si>
    <t>september</t>
  </si>
  <si>
    <t>Apex Publishing House</t>
  </si>
  <si>
    <t>Delhi</t>
  </si>
  <si>
    <t>True Value Consulting</t>
  </si>
  <si>
    <t>Future Path Ventures</t>
  </si>
  <si>
    <t>Stellar Tech Services</t>
  </si>
  <si>
    <t>Legacy Travel Agency</t>
  </si>
  <si>
    <t>Karnataka</t>
  </si>
  <si>
    <t>Harmony Innovations</t>
  </si>
  <si>
    <t>Telangana</t>
  </si>
  <si>
    <t>Elite Media Group</t>
  </si>
  <si>
    <t>Radiant Construction</t>
  </si>
  <si>
    <t>Pinnacle Finance</t>
  </si>
  <si>
    <t>Horizon Tech Ventures</t>
  </si>
  <si>
    <t>Elite Edge Consulting</t>
  </si>
  <si>
    <t>Harmony Tech Ventures</t>
  </si>
  <si>
    <t>october</t>
  </si>
  <si>
    <t>Radiant Fitness Studio</t>
  </si>
  <si>
    <t>Zenith Finance Co.</t>
  </si>
  <si>
    <t>Apex Events Management</t>
  </si>
  <si>
    <t>Stellar Media Group</t>
  </si>
  <si>
    <t>Harmony Finance Co.</t>
  </si>
  <si>
    <t>Pure Vision Ventures</t>
  </si>
  <si>
    <t>Legacy Travel Services</t>
  </si>
  <si>
    <t>Elite Spectrum Media</t>
  </si>
  <si>
    <t>Pinnacle Design Studio</t>
  </si>
  <si>
    <t>january</t>
  </si>
  <si>
    <t>Legacy Travel Ventures</t>
  </si>
  <si>
    <t>may</t>
  </si>
  <si>
    <t>Absolute Solutions</t>
  </si>
  <si>
    <t>Saree</t>
  </si>
  <si>
    <t>Stellar Design Group</t>
  </si>
  <si>
    <t>Horizon Ventures Co.</t>
  </si>
  <si>
    <t>Zenith Wellness Services</t>
  </si>
  <si>
    <t>Legacy Travel Co.</t>
  </si>
  <si>
    <t>Pinnacle Innovations Group</t>
  </si>
  <si>
    <t>Stellar Health Services</t>
  </si>
  <si>
    <t>Radiance Design Co.</t>
  </si>
  <si>
    <t>Harmony Consulting Group</t>
  </si>
  <si>
    <t>Synergy Tech Solutions</t>
  </si>
  <si>
    <t>Apex Educational Group</t>
  </si>
  <si>
    <t>Modern Wellness Co.</t>
  </si>
  <si>
    <t>Pure Spectrum Innovations</t>
  </si>
  <si>
    <t>Pinnacle Travel Co.</t>
  </si>
  <si>
    <t>Kerala</t>
  </si>
  <si>
    <t>Radiant Enterprise Solutions</t>
  </si>
  <si>
    <t>Infinite Solutions</t>
  </si>
  <si>
    <t>Synergy Solutions Group</t>
  </si>
  <si>
    <t>Horizon Tech Solutions</t>
  </si>
  <si>
    <t>Laptop</t>
  </si>
  <si>
    <t>Apex Wellness Solutions</t>
  </si>
  <si>
    <t>Suit</t>
  </si>
  <si>
    <t>Radiance Tech Solutions</t>
  </si>
  <si>
    <t>Apex Enterprise Solutions</t>
  </si>
  <si>
    <t>Prestige Solutions</t>
  </si>
  <si>
    <t>Urban Wave Solutions</t>
  </si>
  <si>
    <t>Visionary Realty Solutions</t>
  </si>
  <si>
    <t>Pure Essence Solutions</t>
  </si>
  <si>
    <t>Crystal Health Solutions</t>
  </si>
  <si>
    <t>Stellar Travel Solutions</t>
  </si>
  <si>
    <t>Pure Harmony Solutions</t>
  </si>
  <si>
    <t>Modern Spectrum Solutions</t>
  </si>
  <si>
    <t>Bharat Innovations</t>
  </si>
  <si>
    <t>Green Leaf Enterprises</t>
  </si>
  <si>
    <t>Earbuds</t>
  </si>
  <si>
    <t>Urban Pulse Technologies</t>
  </si>
  <si>
    <t>Apex Creative Solutions</t>
  </si>
  <si>
    <t>Mystic India Exports</t>
  </si>
  <si>
    <t>Pure Essence Skincare</t>
  </si>
  <si>
    <t>Zenith Construction Co.</t>
  </si>
  <si>
    <t>Radiant Health Systems</t>
  </si>
  <si>
    <t>Radiance Solutions Group</t>
  </si>
  <si>
    <t>Divine Creations</t>
  </si>
  <si>
    <t>True Path Logistics</t>
  </si>
  <si>
    <t>Modern Edge Solutions</t>
  </si>
  <si>
    <t>Prestige Automobiles</t>
  </si>
  <si>
    <t>Horizon Health Solutions</t>
  </si>
  <si>
    <t>Natural Bliss Beverages</t>
  </si>
  <si>
    <t>Apex Marketing Solutions</t>
  </si>
  <si>
    <t>Modern Trends Fashion</t>
  </si>
  <si>
    <t>Heritage Crafts</t>
  </si>
  <si>
    <t>Future Insights Analytics</t>
  </si>
  <si>
    <t>Emerald Estate Developers</t>
  </si>
  <si>
    <t>Starlight Media Group</t>
  </si>
  <si>
    <t>Himachal Pradesh</t>
  </si>
  <si>
    <t>Supreme Electronics</t>
  </si>
  <si>
    <t>Uttarakhand</t>
  </si>
  <si>
    <t>Optimum Wellness</t>
  </si>
  <si>
    <t>Zenith Books Publishing</t>
  </si>
  <si>
    <t>Pinnacle Innovations</t>
  </si>
  <si>
    <t>Apex Travel Services</t>
  </si>
  <si>
    <t>Golden Era Realty</t>
  </si>
  <si>
    <t>november</t>
  </si>
  <si>
    <t>Radiance Solutions Co.</t>
  </si>
  <si>
    <t>Male dress</t>
  </si>
  <si>
    <t>Radiant Jewelry</t>
  </si>
  <si>
    <t>Infinity Ventures</t>
  </si>
  <si>
    <t>Horizon Creative Solutions</t>
  </si>
  <si>
    <t>Royal Taste Foods</t>
  </si>
  <si>
    <t>Harmony Homes</t>
  </si>
  <si>
    <t>Urban Edge Consulting</t>
  </si>
  <si>
    <t>Prime Tech Innovations</t>
  </si>
  <si>
    <t>Urban Spectrum Solutions</t>
  </si>
  <si>
    <t>Legacy Designs</t>
  </si>
  <si>
    <t>Virtue Enterprises</t>
  </si>
  <si>
    <t>Radiant Health Club</t>
  </si>
  <si>
    <t>Legacy Wellness Solutions</t>
  </si>
  <si>
    <t>Bright Horizon Ventures</t>
  </si>
  <si>
    <t>Horizon Media Solutions</t>
  </si>
  <si>
    <t>Modern Lifestyle Products</t>
  </si>
  <si>
    <t>Nexus Trading Co.</t>
  </si>
  <si>
    <t>Radiance Health and Wellness</t>
  </si>
  <si>
    <t>Legacy Auto Works</t>
  </si>
  <si>
    <t>Prime Essence Creations</t>
  </si>
  <si>
    <t>Quantum Ventures</t>
  </si>
  <si>
    <t>Urban Legends Apparel</t>
  </si>
  <si>
    <t>Pure Bliss Beverages</t>
  </si>
  <si>
    <t>Noble Heights Builders</t>
  </si>
  <si>
    <t>Urban Vision Solutions</t>
  </si>
  <si>
    <t>Radiant Foods</t>
  </si>
  <si>
    <t>Zenith Financial Services</t>
  </si>
  <si>
    <t>december</t>
  </si>
  <si>
    <t>Pinnacle Travel Solutions</t>
  </si>
  <si>
    <t>Apex Travel Ventures</t>
  </si>
  <si>
    <t>Future Vision Realty</t>
  </si>
  <si>
    <t>Urban Pulse Media</t>
  </si>
  <si>
    <t>True Essence Health</t>
  </si>
  <si>
    <t>Harmony Health Solutions</t>
  </si>
  <si>
    <t>Radiant Vision Realty</t>
  </si>
  <si>
    <t>Modern Vision Solutions</t>
  </si>
  <si>
    <t>Zenith Tech Ventures</t>
  </si>
  <si>
    <t>Pure Path Foods</t>
  </si>
  <si>
    <t>Bright Horizon Realty</t>
  </si>
  <si>
    <t>Radiant Educational Solutions</t>
  </si>
  <si>
    <t>Crystal Clear Consulting</t>
  </si>
  <si>
    <t>Zenith Innovations</t>
  </si>
  <si>
    <t>True Essence Innovations</t>
  </si>
  <si>
    <t>Zenith Creative Solutions</t>
  </si>
  <si>
    <t>Pinnacle Media Group</t>
  </si>
  <si>
    <t>Pure Vision Solutions</t>
  </si>
  <si>
    <t>Legacy Design Co.</t>
  </si>
  <si>
    <t>Apex Health Products</t>
  </si>
  <si>
    <t>Zenith Travel Ventures</t>
  </si>
  <si>
    <t>Pure Path Consulting</t>
  </si>
  <si>
    <t>Harmony Edge Solutions</t>
  </si>
  <si>
    <t>Harmony Educational Group</t>
  </si>
  <si>
    <t>Radiant Design Studio</t>
  </si>
  <si>
    <t>Zenith Health Innovations</t>
  </si>
  <si>
    <t>Apex Realty Ventures</t>
  </si>
  <si>
    <t>True Value Ventures</t>
  </si>
  <si>
    <t>Crystal Clear Designs</t>
  </si>
  <si>
    <t>Pinnacle Media Solutions</t>
  </si>
  <si>
    <t>Pinnacle Innovations Co.</t>
  </si>
  <si>
    <t>Radiant Tech Solutions</t>
  </si>
  <si>
    <t>Modern Pathways</t>
  </si>
  <si>
    <t>Elite Creative Solutions</t>
  </si>
  <si>
    <t>Stellar Finance Co.</t>
  </si>
  <si>
    <t>Radiant Spectrum Group</t>
  </si>
  <si>
    <t>Harmony Design Ventures</t>
  </si>
  <si>
    <t>Elite Edge Products</t>
  </si>
  <si>
    <t>Zenith Consulting Co.</t>
  </si>
  <si>
    <t>Apex Wellness Products</t>
  </si>
  <si>
    <t>Pinnacle Design Solutions</t>
  </si>
  <si>
    <t>Pure Harmony Innovations</t>
  </si>
  <si>
    <t>Legacy Media Group</t>
  </si>
  <si>
    <t>Horizon Tech Innovations</t>
  </si>
  <si>
    <t>Crystal Spectrum Consulting</t>
  </si>
  <si>
    <t>Stellar Creative Co.</t>
  </si>
  <si>
    <t>Radiance Media Ventures</t>
  </si>
  <si>
    <t>Zenith Edge Services</t>
  </si>
  <si>
    <t>february</t>
  </si>
  <si>
    <t>Stellar Consulting Services</t>
  </si>
  <si>
    <t>Radiant Ventures</t>
  </si>
  <si>
    <t>Harmony Tech Co.</t>
  </si>
  <si>
    <t>Zenith Path Solutions</t>
  </si>
  <si>
    <t>Zenith Creative Ventures</t>
  </si>
  <si>
    <t>Apex Health Services</t>
  </si>
  <si>
    <t>Pure Vision Media</t>
  </si>
  <si>
    <t>Legacy Media Solutions</t>
  </si>
  <si>
    <t>Legacy Innovations Group</t>
  </si>
  <si>
    <t>Pinnacle Consulting Co.</t>
  </si>
  <si>
    <t>Stellar Finance Group</t>
  </si>
  <si>
    <t>Harmony Ventures Group</t>
  </si>
  <si>
    <t>Radiant Solutions Co.</t>
  </si>
  <si>
    <t>Modern Travel Solutions</t>
  </si>
  <si>
    <t>Zenith Tech Solutions</t>
  </si>
  <si>
    <t>Golden Horizon Ventures</t>
  </si>
  <si>
    <t>Eternal Traditions</t>
  </si>
  <si>
    <t>Harmony Foods</t>
  </si>
  <si>
    <t>Sacred Roots Apparel</t>
  </si>
  <si>
    <t>Quantum Finance Services</t>
  </si>
  <si>
    <t>Brilliant Minds Academy</t>
  </si>
  <si>
    <t>Visionary Holdings</t>
  </si>
  <si>
    <t>Stellar Design Studio</t>
  </si>
  <si>
    <t>Classic Cuisines</t>
  </si>
  <si>
    <t>Bold Ventures</t>
  </si>
  <si>
    <t>Radiance Spa</t>
  </si>
  <si>
    <t>Verve Fitness Studio</t>
  </si>
  <si>
    <t>Sparkle Cleaners</t>
  </si>
  <si>
    <t>Global Reach Logistics</t>
  </si>
  <si>
    <t>Noble Path Finance</t>
  </si>
  <si>
    <t>Dynamic Events Management</t>
  </si>
  <si>
    <t>Crystal Waters Resort</t>
  </si>
  <si>
    <t>Excellence Tutors</t>
  </si>
  <si>
    <t>Horizon Builders</t>
  </si>
  <si>
    <t>Classic Heritage Crafts</t>
  </si>
  <si>
    <t>Prime Focus Media</t>
  </si>
  <si>
    <t>Noble Nutraceuticals</t>
  </si>
  <si>
    <t>Supreme Travel Agency</t>
  </si>
  <si>
    <t>Future Vision Tech</t>
  </si>
  <si>
    <t>Urban Groove Apparel</t>
  </si>
  <si>
    <t>Echo Real Estate</t>
  </si>
  <si>
    <t>Pinnacle Health Products</t>
  </si>
  <si>
    <t>Apex Auto Care</t>
  </si>
  <si>
    <t>Royal Glow Cosmetics</t>
  </si>
  <si>
    <t>Zenith Culinary Arts</t>
  </si>
  <si>
    <t>Visionary Tours</t>
  </si>
  <si>
    <t>Elite Essence Products</t>
  </si>
  <si>
    <t>Dynamic Creations</t>
  </si>
  <si>
    <t>Quantum Design Studio</t>
  </si>
  <si>
    <t>Apex Construction</t>
  </si>
  <si>
    <t>Legacy Innovations</t>
  </si>
  <si>
    <t>Pure Harmony Foods</t>
  </si>
  <si>
    <t>Zenith Security Systems</t>
  </si>
  <si>
    <t>Crystal Clear Beverages</t>
  </si>
  <si>
    <t>Metro Line Tech</t>
  </si>
  <si>
    <t>Urban Pulse Consulting</t>
  </si>
  <si>
    <t>Legacy Design Group</t>
  </si>
  <si>
    <t>Supreme Wellness</t>
  </si>
  <si>
    <t>Harmony Tech Innovations</t>
  </si>
  <si>
    <t>Stellar Education Services</t>
  </si>
  <si>
    <t>Visionary Health Products</t>
  </si>
  <si>
    <t>Crystal Innovations</t>
  </si>
  <si>
    <t>Future Trends Retail</t>
  </si>
  <si>
    <t>Radiant Horizon Ventures</t>
  </si>
  <si>
    <t>Urban Edge Realty</t>
  </si>
  <si>
    <t>Prime Focus Innovations</t>
  </si>
  <si>
    <t>Elite Spectrum Consulting</t>
  </si>
  <si>
    <t>Dynamic Design Studio</t>
  </si>
  <si>
    <t>Royal Crest Foods</t>
  </si>
  <si>
    <t>Zenith Travels</t>
  </si>
  <si>
    <t>Quantum Media Group</t>
  </si>
  <si>
    <t>Legacy Builders</t>
  </si>
  <si>
    <t>Apex Spa &amp; Wellness</t>
  </si>
  <si>
    <t>Radiant Travel Services</t>
  </si>
  <si>
    <t>Modern Trends Consulting</t>
  </si>
  <si>
    <t>Global Horizon Ventures</t>
  </si>
  <si>
    <t>Elite Enterprises</t>
  </si>
  <si>
    <t>Pinnacle Health Innovations</t>
  </si>
  <si>
    <t>Horizon Fashion</t>
  </si>
  <si>
    <t>Crystal Essence Beverages</t>
  </si>
  <si>
    <t>Dynamic Pathways</t>
  </si>
  <si>
    <t>Radiance Apparel</t>
  </si>
  <si>
    <t>Zenith Design Group</t>
  </si>
  <si>
    <t>Modern Horizons Consulting</t>
  </si>
  <si>
    <t>Apex Realty Services</t>
  </si>
  <si>
    <t>Zenith Educational Group</t>
  </si>
  <si>
    <t>True Path Ventures</t>
  </si>
  <si>
    <t>Radiance Media</t>
  </si>
  <si>
    <t>Legacy Health Systems</t>
  </si>
  <si>
    <t>Urban Focus Products</t>
  </si>
  <si>
    <t>Visionary Innovations</t>
  </si>
  <si>
    <t>Horizon Design Studio</t>
  </si>
  <si>
    <t>Legacy Tech Products</t>
  </si>
  <si>
    <t>Pinnacle Wellness Services</t>
  </si>
  <si>
    <t>Urban Insight Consulting</t>
  </si>
  <si>
    <t>Crystal Horizons</t>
  </si>
  <si>
    <t>Radiant Apparel</t>
  </si>
  <si>
    <t>True Value Products</t>
  </si>
  <si>
    <t>Zenith Health Products</t>
  </si>
  <si>
    <t>Stellar Wellness Products</t>
  </si>
  <si>
    <t>Radiant Consulting Group</t>
  </si>
  <si>
    <t>Harmony Ventures Co.</t>
  </si>
  <si>
    <t>Urban Path Technologies</t>
  </si>
  <si>
    <t>Modern Vision Ventures</t>
  </si>
  <si>
    <t>Elite Travel Services</t>
  </si>
  <si>
    <t>Crystal Innovations Group</t>
  </si>
  <si>
    <t>Pinnacle Fitness Studio</t>
  </si>
  <si>
    <t>Stellar Travel Agency</t>
  </si>
  <si>
    <t>True Path Consulting</t>
  </si>
  <si>
    <t>Legacy Finance Group</t>
  </si>
  <si>
    <t>Pinnacle Design Ventures</t>
  </si>
  <si>
    <t>Stellar Innovations Co.</t>
  </si>
  <si>
    <t>Harmony Marketing Co.</t>
  </si>
  <si>
    <t>Urban Tech Innovations</t>
  </si>
  <si>
    <t>Crystal Wellness Group</t>
  </si>
  <si>
    <t>Apex Media Co.</t>
  </si>
  <si>
    <t>Legacy Health Ventures</t>
  </si>
  <si>
    <t>Pinnacle Spectrum Co.</t>
  </si>
  <si>
    <t>Stellar Travel Products</t>
  </si>
  <si>
    <t>Radiance Finance Services</t>
  </si>
  <si>
    <t>Modern Travel Agency</t>
  </si>
  <si>
    <t>Crystal Path Consulting</t>
  </si>
  <si>
    <t>Zenith Educational Services</t>
  </si>
  <si>
    <t>Apex Innovations Co.</t>
  </si>
  <si>
    <t>Pure Harmony Health</t>
  </si>
  <si>
    <t>Apex Travel Innovations</t>
  </si>
  <si>
    <t>Modern Health Products</t>
  </si>
  <si>
    <t>Harmony Finance Group</t>
  </si>
  <si>
    <t>Pure Vision Consulting</t>
  </si>
  <si>
    <t>Legacy Spectrum Co.</t>
  </si>
  <si>
    <t>Stellar Media Services</t>
  </si>
  <si>
    <t>Radiant Innovations Group</t>
  </si>
  <si>
    <t>Horizon Path Ventures</t>
  </si>
  <si>
    <t>Zenith Tech Co.</t>
  </si>
  <si>
    <t>Apex Finance Ventures</t>
  </si>
  <si>
    <t>Zenith Wellness Co.</t>
  </si>
  <si>
    <t>Apex Design Services</t>
  </si>
  <si>
    <t>Pure Health Ventures</t>
  </si>
  <si>
    <t>Legacy Spectrum Group</t>
  </si>
  <si>
    <t>Pinnacle Media Ventures</t>
  </si>
  <si>
    <t>Stellar Innovations Group</t>
  </si>
  <si>
    <t>Radiant Educational Co.</t>
  </si>
  <si>
    <t>Harmony Edge Ventures</t>
  </si>
  <si>
    <t>Apex Finance Group</t>
  </si>
  <si>
    <t>Pure Harmony Media</t>
  </si>
  <si>
    <t>Legacy Health Co.</t>
  </si>
  <si>
    <t>ACCOUNTS EXPERT</t>
  </si>
  <si>
    <t>CHAIR</t>
  </si>
  <si>
    <t>Date</t>
  </si>
  <si>
    <t>Row Labels</t>
  </si>
  <si>
    <t>Grand Total</t>
  </si>
  <si>
    <t>Sum of Sale Price</t>
  </si>
  <si>
    <t>Sum of Purchase Cost</t>
  </si>
  <si>
    <t>Sum of Profit</t>
  </si>
  <si>
    <t>Jan</t>
  </si>
  <si>
    <t>Feb</t>
  </si>
  <si>
    <t>Apr</t>
  </si>
  <si>
    <t>May</t>
  </si>
  <si>
    <t>Jun</t>
  </si>
  <si>
    <t>Jul</t>
  </si>
  <si>
    <t>Aug</t>
  </si>
  <si>
    <t>Sep</t>
  </si>
  <si>
    <t>Oct</t>
  </si>
  <si>
    <t>Nov</t>
  </si>
  <si>
    <t>Dec</t>
  </si>
  <si>
    <t xml:space="preserve">  june   </t>
  </si>
  <si>
    <t xml:space="preserve">  Radiant Vision Studios   </t>
  </si>
  <si>
    <t xml:space="preserve">  Decor   </t>
  </si>
  <si>
    <t xml:space="preserve">  Home décor   </t>
  </si>
  <si>
    <t xml:space="preserve">  Gujarat   </t>
  </si>
  <si>
    <t xml:space="preserve">  Female   </t>
  </si>
  <si>
    <t xml:space="preserve">  profit   </t>
  </si>
  <si>
    <t xml:space="preserve">  november   </t>
  </si>
  <si>
    <t xml:space="preserve">  Harmony Design Ventures   </t>
  </si>
  <si>
    <t xml:space="preserve">  Electronic   </t>
  </si>
  <si>
    <t xml:space="preserve">  TV   </t>
  </si>
  <si>
    <t xml:space="preserve">  Andhra Pradesh   </t>
  </si>
  <si>
    <t xml:space="preserve">  december   </t>
  </si>
  <si>
    <t xml:space="preserve">  Pure Vision Solutions   </t>
  </si>
  <si>
    <t xml:space="preserve">  Fashion    </t>
  </si>
  <si>
    <t xml:space="preserve">  Suit   </t>
  </si>
  <si>
    <t xml:space="preserve">  Kerala   </t>
  </si>
  <si>
    <t xml:space="preserve">  loss   </t>
  </si>
  <si>
    <t xml:space="preserve">  october   </t>
  </si>
  <si>
    <t xml:space="preserve">  True Value Products   </t>
  </si>
  <si>
    <t xml:space="preserve">  West Bengal   </t>
  </si>
  <si>
    <t xml:space="preserve">  Pinnacle Design Studio   </t>
  </si>
  <si>
    <t xml:space="preserve">  Tamil Nadu   </t>
  </si>
  <si>
    <t xml:space="preserve">  Zenith Educational Services   </t>
  </si>
  <si>
    <t xml:space="preserve">  Male   </t>
  </si>
  <si>
    <t xml:space="preserve">  Apex Health Products   </t>
  </si>
  <si>
    <t xml:space="preserve">  Speaker   </t>
  </si>
  <si>
    <t xml:space="preserve">  september   </t>
  </si>
  <si>
    <t xml:space="preserve">  Horizon Tech Ventures   </t>
  </si>
  <si>
    <t xml:space="preserve">  Uttar Pradesh   </t>
  </si>
  <si>
    <t xml:space="preserve">  august   </t>
  </si>
  <si>
    <t xml:space="preserve">  Royal Crest Foods   </t>
  </si>
  <si>
    <t xml:space="preserve">  Telangana   </t>
  </si>
  <si>
    <t xml:space="preserve">  may   </t>
  </si>
  <si>
    <t xml:space="preserve">  Zenith Books Publishing   </t>
  </si>
  <si>
    <t xml:space="preserve">  Punjab   </t>
  </si>
  <si>
    <t xml:space="preserve">  Urban Path Technologies   </t>
  </si>
  <si>
    <t xml:space="preserve">  Women dress   </t>
  </si>
  <si>
    <t xml:space="preserve">  Uttarakhand   </t>
  </si>
  <si>
    <t xml:space="preserve">  Radiant Vision Realty   </t>
  </si>
  <si>
    <t xml:space="preserve">  Laptop   </t>
  </si>
  <si>
    <t xml:space="preserve">  Bihar   </t>
  </si>
  <si>
    <t xml:space="preserve">  Apex Enterprise Solutions   </t>
  </si>
  <si>
    <t xml:space="preserve">  Modern Vision Ventures   </t>
  </si>
  <si>
    <t xml:space="preserve">  Male dress   </t>
  </si>
  <si>
    <t xml:space="preserve">  april   </t>
  </si>
  <si>
    <t xml:space="preserve">  Harmony Foods   </t>
  </si>
  <si>
    <t xml:space="preserve">  Maharashtra   </t>
  </si>
  <si>
    <t xml:space="preserve">  Crystal Wellness Group   </t>
  </si>
  <si>
    <t xml:space="preserve">  Saree   </t>
  </si>
  <si>
    <t xml:space="preserve">  Rajasthan   </t>
  </si>
  <si>
    <t xml:space="preserve">  Stellar Travel Agency   </t>
  </si>
  <si>
    <t xml:space="preserve">  Apex Solutions   </t>
  </si>
  <si>
    <t xml:space="preserve">  Stellar Tech Services   </t>
  </si>
  <si>
    <t xml:space="preserve">  Zenith Security Systems   </t>
  </si>
  <si>
    <t xml:space="preserve">  february   </t>
  </si>
  <si>
    <t xml:space="preserve">  Modern Travel Solutions   </t>
  </si>
  <si>
    <t xml:space="preserve">  Bright Horizon Realty   </t>
  </si>
  <si>
    <t xml:space="preserve">  january   </t>
  </si>
  <si>
    <t xml:space="preserve">  Pinnacle Innovations Group   </t>
  </si>
  <si>
    <t xml:space="preserve">  Stellar Media Group   </t>
  </si>
  <si>
    <t xml:space="preserve">  Jharkhand   </t>
  </si>
  <si>
    <t xml:space="preserve">  Crystal Spectrum Consulting   </t>
  </si>
  <si>
    <t xml:space="preserve">  Radiant Health Systems   </t>
  </si>
  <si>
    <t xml:space="preserve">  Dynamic Design Studio   </t>
  </si>
  <si>
    <t xml:space="preserve">  Legacy Travel Ventures   </t>
  </si>
  <si>
    <t xml:space="preserve">  Car accessories   </t>
  </si>
  <si>
    <t xml:space="preserve">  Quantum Finance Services   </t>
  </si>
  <si>
    <t xml:space="preserve">  Chandigarh   </t>
  </si>
  <si>
    <t xml:space="preserve">  Modern Lifestyle Products   </t>
  </si>
  <si>
    <t xml:space="preserve">  Prime Tech Innovations   </t>
  </si>
  <si>
    <t xml:space="preserve">  Harmony Tech Ventures   </t>
  </si>
  <si>
    <t xml:space="preserve">  Pure Harmony Innovations   </t>
  </si>
  <si>
    <t xml:space="preserve">  Pinnacle Media Solutions   </t>
  </si>
  <si>
    <t xml:space="preserve">  Karnataka   </t>
  </si>
  <si>
    <t xml:space="preserve">  Harmony Homes   </t>
  </si>
  <si>
    <t xml:space="preserve">  Crystal Waters Resort   </t>
  </si>
  <si>
    <t xml:space="preserve">  Legacy Spectrum Group   </t>
  </si>
  <si>
    <t xml:space="preserve">  july   </t>
  </si>
  <si>
    <t xml:space="preserve">  Harmony Tech Innovations   </t>
  </si>
  <si>
    <t xml:space="preserve">  Harmony Consulting Group   </t>
  </si>
  <si>
    <t xml:space="preserve">  Urban Tech Innovations   </t>
  </si>
  <si>
    <t xml:space="preserve">  Harmony Tech Co.   </t>
  </si>
  <si>
    <t xml:space="preserve">  Urban Legends Apparel   </t>
  </si>
  <si>
    <t xml:space="preserve">  Radiance Solutions Group   </t>
  </si>
  <si>
    <t xml:space="preserve">  Zenith Design Group   </t>
  </si>
  <si>
    <t xml:space="preserve">  Elite Edge Products   </t>
  </si>
  <si>
    <t xml:space="preserve">  Pinnacle Design Solutions   </t>
  </si>
  <si>
    <t xml:space="preserve">  Virtue Enterprises   </t>
  </si>
  <si>
    <t xml:space="preserve">  Zenith Innovations   </t>
  </si>
  <si>
    <t xml:space="preserve">  Earbuds   </t>
  </si>
  <si>
    <t xml:space="preserve">  Harmony Edge Ventures   </t>
  </si>
  <si>
    <t xml:space="preserve">  Noble Innovations   </t>
  </si>
  <si>
    <t xml:space="preserve">  Pinnacle Finance   </t>
  </si>
  <si>
    <t xml:space="preserve">  Green Leaf Enterprises   </t>
  </si>
  <si>
    <t xml:space="preserve">  Urban Vision Solutions   </t>
  </si>
  <si>
    <t xml:space="preserve">  Golden Era Realty   </t>
  </si>
  <si>
    <t xml:space="preserve">  Classic Heritage Crafts   </t>
  </si>
  <si>
    <t xml:space="preserve">  Pure Vision Consulting   </t>
  </si>
  <si>
    <t xml:space="preserve">  Harmony Homes Realty   </t>
  </si>
  <si>
    <t xml:space="preserve">  Chhattisgarh   </t>
  </si>
  <si>
    <t xml:space="preserve">  Pure Bliss Beverages   </t>
  </si>
  <si>
    <t xml:space="preserve">  Visionary Holdings   </t>
  </si>
  <si>
    <t xml:space="preserve">  Quantum Media Group   </t>
  </si>
  <si>
    <t xml:space="preserve">  Crystal Clear Solutions   </t>
  </si>
  <si>
    <t xml:space="preserve">  Apex Travel Ventures   </t>
  </si>
  <si>
    <t xml:space="preserve">  Assam   </t>
  </si>
  <si>
    <t xml:space="preserve">  Urban Focus Products   </t>
  </si>
  <si>
    <t xml:space="preserve">  Stellar Travel Products   </t>
  </si>
  <si>
    <t xml:space="preserve">  Zenith Creative Ventures   </t>
  </si>
  <si>
    <t xml:space="preserve">  Horizon Tech Solutions   </t>
  </si>
  <si>
    <t xml:space="preserve">  Legacy Design Group   </t>
  </si>
  <si>
    <t xml:space="preserve">  Urban Pulse Consulting   </t>
  </si>
  <si>
    <t xml:space="preserve">  Zenith Tech Ventures   </t>
  </si>
  <si>
    <t xml:space="preserve">  Pure Harmony Health   </t>
  </si>
  <si>
    <t xml:space="preserve">  Zenith Travel Ventures   </t>
  </si>
  <si>
    <t xml:space="preserve">  Radiance Health and Wellness   </t>
  </si>
  <si>
    <t xml:space="preserve">  Legacy Travel Co.   </t>
  </si>
  <si>
    <t xml:space="preserve">  Radiant Innovations Group   </t>
  </si>
  <si>
    <t xml:space="preserve">  Elite Enterprises   </t>
  </si>
  <si>
    <t xml:space="preserve">  Radiance Finance Services   </t>
  </si>
  <si>
    <t xml:space="preserve">  Radiant Apparel   </t>
  </si>
  <si>
    <t xml:space="preserve">  Radiant Design Studio   </t>
  </si>
  <si>
    <t xml:space="preserve">  Modern Trends Fashion   </t>
  </si>
  <si>
    <t xml:space="preserve">  Pure Harmony Foods   </t>
  </si>
  <si>
    <t xml:space="preserve">  Noble Travel Services   </t>
  </si>
  <si>
    <t xml:space="preserve">  Absolute Solutions   </t>
  </si>
  <si>
    <t xml:space="preserve">  Pure Path Consulting   </t>
  </si>
  <si>
    <t xml:space="preserve">  Madhya Pradesh   </t>
  </si>
  <si>
    <t xml:space="preserve">  Horizon Builders &amp; Developers   </t>
  </si>
  <si>
    <t xml:space="preserve">  Apex Spa &amp; Wellness   </t>
  </si>
  <si>
    <t xml:space="preserve">  Pure Health Ventures   </t>
  </si>
  <si>
    <t xml:space="preserve">  Supreme Wellness   </t>
  </si>
  <si>
    <t xml:space="preserve">  Radiant Consulting Group   </t>
  </si>
  <si>
    <t xml:space="preserve">  Apex Media Co.   </t>
  </si>
  <si>
    <t xml:space="preserve">  Pinnacle Fitness Studio   </t>
  </si>
  <si>
    <t xml:space="preserve">  Global Reach Logistics   </t>
  </si>
  <si>
    <t xml:space="preserve">  Urban Edge Realty   </t>
  </si>
  <si>
    <t xml:space="preserve">  Delhi   </t>
  </si>
  <si>
    <t xml:space="preserve">  Prime Focus Media   </t>
  </si>
  <si>
    <t xml:space="preserve">  Pinnacle Travel Co.   </t>
  </si>
  <si>
    <t xml:space="preserve">  Modern Travel Agency   </t>
  </si>
  <si>
    <t xml:space="preserve">  Pure Harmony Solutions   </t>
  </si>
  <si>
    <t xml:space="preserve">  Elite Spectrum Media   </t>
  </si>
  <si>
    <t xml:space="preserve">  Crystal Clear Realty   </t>
  </si>
  <si>
    <t xml:space="preserve">  Pure Essence Solutions   </t>
  </si>
  <si>
    <t xml:space="preserve">  Radiant Jewelry   </t>
  </si>
  <si>
    <t xml:space="preserve">  Elite Spectrum Consulting   </t>
  </si>
  <si>
    <t xml:space="preserve">  Radiant Construction   </t>
  </si>
  <si>
    <t xml:space="preserve">  Zenith Travels   </t>
  </si>
  <si>
    <t xml:space="preserve">  Legacy Media Group   </t>
  </si>
  <si>
    <t xml:space="preserve">  Horizon Health Solutions   </t>
  </si>
  <si>
    <t xml:space="preserve">  Metro Tech Solutions   </t>
  </si>
  <si>
    <t xml:space="preserve">  Excellence Tutors   </t>
  </si>
  <si>
    <t xml:space="preserve">  Apex Retailers   </t>
  </si>
  <si>
    <t xml:space="preserve">  Prime Essence Creations   </t>
  </si>
  <si>
    <t xml:space="preserve">  Radiance Spa   </t>
  </si>
  <si>
    <t xml:space="preserve">  Urban Wave Solutions   </t>
  </si>
  <si>
    <t xml:space="preserve">  Apex Travel Services   </t>
  </si>
  <si>
    <t xml:space="preserve">  Harmony Ventures   </t>
  </si>
  <si>
    <t xml:space="preserve">  Crystal Horizons   </t>
  </si>
  <si>
    <t xml:space="preserve">  Radiant Foods   </t>
  </si>
  <si>
    <t xml:space="preserve">  Himachal Pradesh   </t>
  </si>
  <si>
    <t xml:space="preserve">  Zenith Path Solutions   </t>
  </si>
  <si>
    <t xml:space="preserve">  Radiance Tech Solutions   </t>
  </si>
  <si>
    <t xml:space="preserve">  Stellar Health Services   </t>
  </si>
  <si>
    <t xml:space="preserve">  Radiance Media   </t>
  </si>
  <si>
    <t xml:space="preserve">  Quantum Ventures   </t>
  </si>
  <si>
    <t xml:space="preserve">  Apex Construction   </t>
  </si>
  <si>
    <t xml:space="preserve">  Pure Harmony Media   </t>
  </si>
  <si>
    <t xml:space="preserve">  Eternal Traditions   </t>
  </si>
  <si>
    <t xml:space="preserve">  Apex Finance Group   </t>
  </si>
  <si>
    <t xml:space="preserve">  Zenith Creative Solutions   </t>
  </si>
  <si>
    <t xml:space="preserve">  Metro Line Tech   </t>
  </si>
  <si>
    <t xml:space="preserve">  Bold Ventures   </t>
  </si>
  <si>
    <t xml:space="preserve">  Crystal Innovations Group   </t>
  </si>
  <si>
    <t xml:space="preserve">  Pure Path Foods   </t>
  </si>
  <si>
    <t xml:space="preserve">  Harmony Marketing Co.   </t>
  </si>
  <si>
    <t xml:space="preserve">  Elite Edge Services   </t>
  </si>
  <si>
    <t xml:space="preserve">  Zenith Health Products   </t>
  </si>
  <si>
    <t xml:space="preserve">  Zenith Wellness Services   </t>
  </si>
  <si>
    <t xml:space="preserve">  True Value Consulting   </t>
  </si>
  <si>
    <t xml:space="preserve">  Noble Heights Builders   </t>
  </si>
  <si>
    <t xml:space="preserve">  Elite Edge Consulting   </t>
  </si>
  <si>
    <t xml:space="preserve">  Modern Edge Solutions   </t>
  </si>
  <si>
    <t xml:space="preserve">  Classic Cuisines   </t>
  </si>
  <si>
    <t xml:space="preserve">  Zenith Health Innovations   </t>
  </si>
  <si>
    <t xml:space="preserve">  Legacy Innovations   </t>
  </si>
  <si>
    <t xml:space="preserve">  Modern Horizons Consulting   </t>
  </si>
  <si>
    <t xml:space="preserve">  Modern Spectrum Solutions   </t>
  </si>
  <si>
    <t xml:space="preserve">  True Path Consulting   </t>
  </si>
  <si>
    <t xml:space="preserve">  Pure Vision Media   </t>
  </si>
  <si>
    <t xml:space="preserve">  Horizon Media Solutions   </t>
  </si>
  <si>
    <t xml:space="preserve">  Radiant Spectrum Group   </t>
  </si>
  <si>
    <t xml:space="preserve">  Stellar Design Studio   </t>
  </si>
  <si>
    <t xml:space="preserve">  Horizon Path Ventures   </t>
  </si>
  <si>
    <t xml:space="preserve">  Apex Finance Ventures   </t>
  </si>
  <si>
    <t xml:space="preserve">  Stellar Consulting Services   </t>
  </si>
  <si>
    <t xml:space="preserve">  Legacy Tech Products   </t>
  </si>
  <si>
    <t xml:space="preserve">  Future Vision Realty   </t>
  </si>
  <si>
    <t xml:space="preserve">  Urban Pulse Media   </t>
  </si>
  <si>
    <t xml:space="preserve">  Stellar Travel Solutions   </t>
  </si>
  <si>
    <t xml:space="preserve">  Radiant Enterprise Solutions   </t>
  </si>
  <si>
    <t xml:space="preserve">  Pinnacle Travel Solutions   </t>
  </si>
  <si>
    <t xml:space="preserve">  Pure Vision Ventures   </t>
  </si>
  <si>
    <t xml:space="preserve">  Prestige Solutions   </t>
  </si>
  <si>
    <t xml:space="preserve">  Bright Future Academy   </t>
  </si>
  <si>
    <t xml:space="preserve">  Pure Spectrum Innovations   </t>
  </si>
  <si>
    <t xml:space="preserve">  Stellar Media Services   </t>
  </si>
  <si>
    <t xml:space="preserve">  Zenith Tech Co.   </t>
  </si>
  <si>
    <t xml:space="preserve">  Urban Pulse Technologies   </t>
  </si>
  <si>
    <t xml:space="preserve">  Future Path Technologies   </t>
  </si>
  <si>
    <t xml:space="preserve">  Legacy Designs   </t>
  </si>
  <si>
    <t xml:space="preserve">  Zenith Edge Services   </t>
  </si>
  <si>
    <t xml:space="preserve">  Horizon Ventures Co.   </t>
  </si>
  <si>
    <t xml:space="preserve">  Stellar Realty   </t>
  </si>
  <si>
    <t xml:space="preserve">  Zenith Wellness Co.   </t>
  </si>
  <si>
    <t xml:space="preserve">  Horizon Wellness   </t>
  </si>
  <si>
    <t xml:space="preserve">  Apex Educational Group   </t>
  </si>
  <si>
    <t xml:space="preserve">  Golden Horizon Ventures   </t>
  </si>
  <si>
    <t xml:space="preserve">  Apex Publishing House   </t>
  </si>
  <si>
    <t xml:space="preserve">  Apex Travel Innovations   </t>
  </si>
  <si>
    <t xml:space="preserve">  Future Path Ventures   </t>
  </si>
  <si>
    <t xml:space="preserve">  Future Trends Retail   </t>
  </si>
  <si>
    <t xml:space="preserve">  Apex Wellness Solutions   </t>
  </si>
  <si>
    <t xml:space="preserve">  Zenith Construction Co.   </t>
  </si>
  <si>
    <t xml:space="preserve">  True Value Ventures   </t>
  </si>
  <si>
    <t xml:space="preserve">  Supreme Travel Agency   </t>
  </si>
  <si>
    <t xml:space="preserve">  Verve Fitness Studio   </t>
  </si>
  <si>
    <t xml:space="preserve">  Pure Essence Skincare   </t>
  </si>
  <si>
    <t xml:space="preserve">  True Value Electronics   </t>
  </si>
  <si>
    <t xml:space="preserve">  Harmony Ventures Co.   </t>
  </si>
  <si>
    <t xml:space="preserve">  Harmony Health Solutions   </t>
  </si>
  <si>
    <t xml:space="preserve">  Radiant Ventures   </t>
  </si>
  <si>
    <t xml:space="preserve">  Radiant Educational Solutions   </t>
  </si>
  <si>
    <t xml:space="preserve">  Pinnacle Design Ventures   </t>
  </si>
  <si>
    <t xml:space="preserve">  Classic Trends Fashion   </t>
  </si>
  <si>
    <t xml:space="preserve">  Pinnacle Media Group   </t>
  </si>
  <si>
    <t xml:space="preserve">  Crystal Essence Beverages   </t>
  </si>
  <si>
    <t xml:space="preserve">  Radiant Horizon Ventures   </t>
  </si>
  <si>
    <t xml:space="preserve">  Legacy Health Systems   </t>
  </si>
  <si>
    <t xml:space="preserve">  Radiant Health Club   </t>
  </si>
  <si>
    <t xml:space="preserve">  Horizon Design Studio   </t>
  </si>
  <si>
    <t xml:space="preserve">  Zenith Tech Solutions   </t>
  </si>
  <si>
    <t xml:space="preserve">  Horizon Builders   </t>
  </si>
  <si>
    <t xml:space="preserve">  Legacy Travel Services   </t>
  </si>
  <si>
    <t xml:space="preserve">  Apex Creative Solutions   </t>
  </si>
  <si>
    <t xml:space="preserve">  Apex Wellness Products   </t>
  </si>
  <si>
    <t xml:space="preserve">  Royal Glow Cosmetics   </t>
  </si>
  <si>
    <t xml:space="preserve">  Radiance Apparel   </t>
  </si>
  <si>
    <t xml:space="preserve">  Natural Bliss Beverages   </t>
  </si>
  <si>
    <t xml:space="preserve">  Heritage Crafts   </t>
  </si>
  <si>
    <t xml:space="preserve">  Crystal Clear Designs   </t>
  </si>
  <si>
    <t xml:space="preserve">  Visionary Tours   </t>
  </si>
  <si>
    <t xml:space="preserve">  Stellar Innovations Co.   </t>
  </si>
  <si>
    <t xml:space="preserve">  Radiant Educational Co.   </t>
  </si>
  <si>
    <t xml:space="preserve">  Urban Groove Apparel   </t>
  </si>
  <si>
    <t xml:space="preserve">  Crystal Path Consulting   </t>
  </si>
  <si>
    <t xml:space="preserve">  Legacy Wellness Solutions   </t>
  </si>
  <si>
    <t xml:space="preserve">  Legacy Design Co.   </t>
  </si>
  <si>
    <t xml:space="preserve">  Visionary Health Systems   </t>
  </si>
  <si>
    <t xml:space="preserve">  Urban Spectrum Solutions   </t>
  </si>
  <si>
    <t xml:space="preserve">  Radiance Design Co.   </t>
  </si>
  <si>
    <t xml:space="preserve">  Stellar Finance Co.   </t>
  </si>
  <si>
    <t xml:space="preserve">  Stellar Innovations Group   </t>
  </si>
  <si>
    <t xml:space="preserve">  Legacy Finance Group   </t>
  </si>
  <si>
    <t xml:space="preserve">  Modern Wellness Co.   </t>
  </si>
  <si>
    <t xml:space="preserve">  Pinnacle Health Products   </t>
  </si>
  <si>
    <t xml:space="preserve">  Noble Path Finance   </t>
  </si>
  <si>
    <t xml:space="preserve">  Modern Harmony Products   </t>
  </si>
  <si>
    <t xml:space="preserve">  Future Insights Analytics   </t>
  </si>
  <si>
    <t xml:space="preserve">  Bright Horizon Ventures   </t>
  </si>
  <si>
    <t xml:space="preserve">  Nexus Trading Co.   </t>
  </si>
  <si>
    <t xml:space="preserve">  Legacy Auto Works   </t>
  </si>
  <si>
    <t xml:space="preserve">  Modern Pathways   </t>
  </si>
  <si>
    <t xml:space="preserve">  Radiance Media Ventures   </t>
  </si>
  <si>
    <t xml:space="preserve">  Sparkle Cleaners   </t>
  </si>
  <si>
    <t xml:space="preserve">  Prime Focus Innovations   </t>
  </si>
  <si>
    <t xml:space="preserve">  Urban Insight Consulting   </t>
  </si>
  <si>
    <t xml:space="preserve">  Prestige Automobiles   </t>
  </si>
  <si>
    <t xml:space="preserve">  Modern Health Products   </t>
  </si>
  <si>
    <t xml:space="preserve">  Stellar Advertising   </t>
  </si>
  <si>
    <t xml:space="preserve">  Pinnacle Health Innovations   </t>
  </si>
  <si>
    <t xml:space="preserve">  Legacy Health Co.   </t>
  </si>
  <si>
    <t xml:space="preserve">  Horizon Fashion   </t>
  </si>
  <si>
    <t xml:space="preserve">  Pinnacle Innovations   </t>
  </si>
  <si>
    <t xml:space="preserve">  Prestige Property Developers   </t>
  </si>
  <si>
    <t xml:space="preserve">  Quantum Design Studio   </t>
  </si>
  <si>
    <t xml:space="preserve">  Legacy Innovations Group   </t>
  </si>
  <si>
    <t xml:space="preserve">  Bharat Innovations   </t>
  </si>
  <si>
    <t xml:space="preserve">  Modern Trends Retail   </t>
  </si>
  <si>
    <t xml:space="preserve">  Horizon Creative Solutions   </t>
  </si>
  <si>
    <t xml:space="preserve">  Legacy Travel Agency   </t>
  </si>
  <si>
    <t xml:space="preserve">  Urban Edge Consulting   </t>
  </si>
  <si>
    <t xml:space="preserve">  Harmony Educational Group   </t>
  </si>
  <si>
    <t xml:space="preserve">  Global Horizon Ventures   </t>
  </si>
  <si>
    <t xml:space="preserve">  Echo Real Estate   </t>
  </si>
  <si>
    <t xml:space="preserve">  Radiance Solutions Co.   </t>
  </si>
  <si>
    <t xml:space="preserve">  Crystal Clear Consulting   </t>
  </si>
  <si>
    <t xml:space="preserve">  Apex Design Services   </t>
  </si>
  <si>
    <t xml:space="preserve">  Harmony Innovations   </t>
  </si>
  <si>
    <t xml:space="preserve">  Divine Creations   </t>
  </si>
  <si>
    <t xml:space="preserve">  Crystal Clear Beverages   </t>
  </si>
  <si>
    <t xml:space="preserve">  Sacred Roots Apparel   </t>
  </si>
  <si>
    <t xml:space="preserve">  Radiant Fitness Studio   </t>
  </si>
  <si>
    <t xml:space="preserve">  Visionary Health Products   </t>
  </si>
  <si>
    <t xml:space="preserve">  Stellar Finance Group   </t>
  </si>
  <si>
    <t xml:space="preserve">  Elite Travel Services   </t>
  </si>
  <si>
    <t xml:space="preserve">  Global Spectrum Consulting   </t>
  </si>
  <si>
    <t xml:space="preserve">  Dynamic Events Management   </t>
  </si>
  <si>
    <t xml:space="preserve">  Apex Events Management   </t>
  </si>
  <si>
    <t xml:space="preserve">  Harmony Ventures Group   </t>
  </si>
  <si>
    <t xml:space="preserve">  Apex Marketing Solutions   </t>
  </si>
  <si>
    <t xml:space="preserve">  Starlight Media Group   </t>
  </si>
  <si>
    <t xml:space="preserve">  Pinnacle Consulting Co.   </t>
  </si>
  <si>
    <t xml:space="preserve">  Radiant Tech Solutions   </t>
  </si>
  <si>
    <t xml:space="preserve">  Dynamic Creations   </t>
  </si>
  <si>
    <t xml:space="preserve">  Stellar Creative Co.   </t>
  </si>
  <si>
    <t xml:space="preserve">  Apex Innovations Co.   </t>
  </si>
  <si>
    <t xml:space="preserve">  True Path Logistics   </t>
  </si>
  <si>
    <t xml:space="preserve">  Pinnacle Innovations Co.   </t>
  </si>
  <si>
    <t xml:space="preserve">  Zenith Educational Group   </t>
  </si>
  <si>
    <t xml:space="preserve">  Stellar Wellness Products   </t>
  </si>
  <si>
    <t xml:space="preserve">  Zenith Consulting Co.   </t>
  </si>
  <si>
    <t xml:space="preserve">  Zenith Culinary Arts   </t>
  </si>
  <si>
    <t xml:space="preserve">  Legacy Apparel   </t>
  </si>
  <si>
    <t xml:space="preserve">  Radiant Solutions Co.   </t>
  </si>
  <si>
    <t xml:space="preserve">  Infinite Solutions   </t>
  </si>
  <si>
    <t xml:space="preserve">  Pinnacle Spectrum Co.   </t>
  </si>
  <si>
    <t xml:space="preserve">  True Path Ventures   </t>
  </si>
  <si>
    <t xml:space="preserve">  Optimum Wellness   </t>
  </si>
  <si>
    <t xml:space="preserve">  Harmony Finance Co.   </t>
  </si>
  <si>
    <t xml:space="preserve">  Synergy Tech Solutions   </t>
  </si>
  <si>
    <t xml:space="preserve">  Zenith Financial Services   </t>
  </si>
  <si>
    <t xml:space="preserve">  Apex Auto Care   </t>
  </si>
  <si>
    <t xml:space="preserve">  Stellar Design Group   </t>
  </si>
  <si>
    <t xml:space="preserve">  Zenith Finance Co.   </t>
  </si>
  <si>
    <t xml:space="preserve">  Elite Essence Products   </t>
  </si>
  <si>
    <t xml:space="preserve">  Emerald Estate Developers   </t>
  </si>
  <si>
    <t xml:space="preserve">  Pinnacle Education Group   </t>
  </si>
  <si>
    <t xml:space="preserve">  Harmony Edge Solutions   </t>
  </si>
  <si>
    <t xml:space="preserve">  Royal Taste Foods   </t>
  </si>
  <si>
    <t xml:space="preserve">  Apex Realty Ventures   </t>
  </si>
  <si>
    <t xml:space="preserve">  Legacy Builders   </t>
  </si>
  <si>
    <t xml:space="preserve">  Visionary Realty Solutions   </t>
  </si>
  <si>
    <t xml:space="preserve">  Elite Marketing Solutions   </t>
  </si>
  <si>
    <t xml:space="preserve">  Pinnacle Media Ventures   </t>
  </si>
  <si>
    <t xml:space="preserve">  Legacy Spectrum Co.   </t>
  </si>
  <si>
    <t xml:space="preserve">  Apex Realty Services   </t>
  </si>
  <si>
    <t xml:space="preserve">  True Essence Health   </t>
  </si>
  <si>
    <t xml:space="preserve">  Elite Media Group   </t>
  </si>
  <si>
    <t xml:space="preserve">  Visionary Innovations   </t>
  </si>
  <si>
    <t xml:space="preserve">  Noble Nutraceuticals   </t>
  </si>
  <si>
    <t xml:space="preserve">  ACCOUNTS EXPERT   </t>
  </si>
  <si>
    <t xml:space="preserve">  CHAIR   </t>
  </si>
  <si>
    <t xml:space="preserve">  Legacy Health Ventures   </t>
  </si>
  <si>
    <t xml:space="preserve">  Supreme Electronics   </t>
  </si>
  <si>
    <t xml:space="preserve">  Crystal Innovations   </t>
  </si>
  <si>
    <t xml:space="preserve">  Stellar Education Services   </t>
  </si>
  <si>
    <t xml:space="preserve">  Harmony Finance Group   </t>
  </si>
  <si>
    <t xml:space="preserve">  Pinnacle Wellness Services   </t>
  </si>
  <si>
    <t xml:space="preserve">  Crystal Health Solutions   </t>
  </si>
  <si>
    <t xml:space="preserve">  Radiant Travel Services   </t>
  </si>
  <si>
    <t xml:space="preserve">  Dynamic Pathways   </t>
  </si>
  <si>
    <t xml:space="preserve">  Infinity Ventures   </t>
  </si>
  <si>
    <t xml:space="preserve">  Legacy Media Solutions   </t>
  </si>
  <si>
    <t xml:space="preserve">  Future Vision Tech   </t>
  </si>
  <si>
    <t xml:space="preserve">  Modern Vision Solutions   </t>
  </si>
  <si>
    <t xml:space="preserve">  Apex Health Services   </t>
  </si>
  <si>
    <t xml:space="preserve">  Mystic India Exports   </t>
  </si>
  <si>
    <t xml:space="preserve">  Horizon Tech Innovations   </t>
  </si>
  <si>
    <t xml:space="preserve">  Synergy Solutions Group   </t>
  </si>
  <si>
    <t xml:space="preserve">  Elite Creative Solutions   </t>
  </si>
  <si>
    <t xml:space="preserve">  True Essence Innovations   </t>
  </si>
  <si>
    <t xml:space="preserve">  Modern Trends Consulting   </t>
  </si>
  <si>
    <t xml:space="preserve">  Brilliant Minds Academy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</si>
</sst>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6" formatCode="yyyy\-mm\-dd\ hh:mm:ss"/>
  </numFmts>
  <fonts count="5" x14ac:knownFonts="1">
    <font>
      <sz val="11"/>
      <color theme="1"/>
      <name val="Calibri"/>
      <family val="2"/>
      <scheme val="minor"/>
    </font>
    <font>
      <b/>
      <sz val="11"/>
      <color theme="1"/>
      <name val="Calibri"/>
      <family val="2"/>
      <scheme val="minor"/>
    </font>
    <font>
      <b/>
      <sz val="16"/>
      <color theme="0"/>
      <name val="Calibri"/>
      <family val="2"/>
      <scheme val="minor"/>
    </font>
    <font>
      <sz val="11"/>
      <color theme="1"/>
      <name val="Calibri"/>
      <family val="2"/>
      <scheme val="minor"/>
    </font>
    <font>
      <b/>
      <sz val="11"/>
      <name val="Calibri"/>
    </font>
  </fonts>
  <fills count="7">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0"/>
        <bgColor theme="4" tint="0.79998168889431442"/>
      </patternFill>
    </fill>
    <fill>
      <patternFill patternType="solid">
        <fgColor theme="1" tint="0.249977111117893"/>
        <bgColor indexed="64"/>
      </patternFill>
    </fill>
  </fills>
  <borders count="13">
    <border>
      <left/>
      <right/>
      <top/>
      <bottom/>
      <diagonal/>
    </border>
    <border>
      <left/>
      <right style="double">
        <color indexed="64"/>
      </right>
      <top style="medium">
        <color indexed="64"/>
      </top>
      <bottom style="double">
        <color indexed="64"/>
      </bottom>
      <diagonal/>
    </border>
    <border>
      <left style="double">
        <color indexed="64"/>
      </left>
      <right style="double">
        <color indexed="64"/>
      </right>
      <top style="medium">
        <color indexed="64"/>
      </top>
      <bottom style="double">
        <color indexed="64"/>
      </bottom>
      <diagonal/>
    </border>
    <border>
      <left style="double">
        <color indexed="64"/>
      </left>
      <right style="medium">
        <color indexed="64"/>
      </right>
      <top style="medium">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medium">
        <color indexed="64"/>
      </right>
      <top style="double">
        <color indexed="64"/>
      </top>
      <bottom style="double">
        <color indexed="64"/>
      </bottom>
      <diagonal/>
    </border>
    <border>
      <left/>
      <right style="double">
        <color indexed="64"/>
      </right>
      <top style="double">
        <color indexed="64"/>
      </top>
      <bottom/>
      <diagonal/>
    </border>
    <border>
      <left style="double">
        <color indexed="64"/>
      </left>
      <right style="double">
        <color indexed="64"/>
      </right>
      <top style="double">
        <color indexed="64"/>
      </top>
      <bottom style="medium">
        <color indexed="64"/>
      </bottom>
      <diagonal/>
    </border>
    <border>
      <left/>
      <right style="double">
        <color indexed="64"/>
      </right>
      <top/>
      <bottom/>
      <diagonal/>
    </border>
    <border>
      <left style="double">
        <color indexed="64"/>
      </left>
      <right style="double">
        <color indexed="64"/>
      </right>
      <top/>
      <bottom/>
      <diagonal/>
    </border>
    <border>
      <left/>
      <right/>
      <top/>
      <bottom style="thin">
        <color theme="4" tint="0.39997558519241921"/>
      </bottom>
      <diagonal/>
    </border>
    <border>
      <left style="thin">
        <color auto="1"/>
      </left>
      <right style="thin">
        <color auto="1"/>
      </right>
      <top style="thin">
        <color auto="1"/>
      </top>
      <bottom style="thin">
        <color auto="1"/>
      </bottom>
      <diagonal/>
    </border>
  </borders>
  <cellStyleXfs count="2">
    <xf numFmtId="0" fontId="0" fillId="0" borderId="0"/>
    <xf numFmtId="9" fontId="3" fillId="0" borderId="0" applyFont="0" applyFill="0" applyBorder="0" applyAlignment="0" applyProtection="0"/>
  </cellStyleXfs>
  <cellXfs count="23">
    <xf numFmtId="0" fontId="0" fillId="0" borderId="0" xfId="0"/>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164" fontId="1" fillId="3" borderId="4" xfId="0" applyNumberFormat="1" applyFont="1" applyFill="1" applyBorder="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164" fontId="1" fillId="3" borderId="7" xfId="0" applyNumberFormat="1" applyFont="1" applyFill="1" applyBorder="1" applyAlignment="1">
      <alignment horizontal="center" vertical="center"/>
    </xf>
    <xf numFmtId="0" fontId="1" fillId="3" borderId="8" xfId="0" applyFont="1" applyFill="1" applyBorder="1" applyAlignment="1">
      <alignment horizontal="center" vertical="center"/>
    </xf>
    <xf numFmtId="164" fontId="1" fillId="3" borderId="9" xfId="0" applyNumberFormat="1" applyFont="1" applyFill="1" applyBorder="1" applyAlignment="1">
      <alignment horizontal="center" vertical="center"/>
    </xf>
    <xf numFmtId="0" fontId="1" fillId="3" borderId="10" xfId="0" applyFont="1" applyFill="1" applyBorder="1" applyAlignment="1">
      <alignment horizontal="center" vertical="center"/>
    </xf>
    <xf numFmtId="0" fontId="0" fillId="0" borderId="0" xfId="0" pivotButton="1"/>
    <xf numFmtId="0" fontId="0" fillId="0" borderId="0" xfId="0" applyAlignment="1">
      <alignment horizontal="left"/>
    </xf>
    <xf numFmtId="0" fontId="1" fillId="4" borderId="11" xfId="0" applyFont="1" applyFill="1" applyBorder="1"/>
    <xf numFmtId="10" fontId="0" fillId="0" borderId="0" xfId="0" applyNumberFormat="1"/>
    <xf numFmtId="0" fontId="4" fillId="0" borderId="12" xfId="0" applyFont="1" applyBorder="1" applyAlignment="1">
      <alignment horizontal="center" vertical="top"/>
    </xf>
    <xf numFmtId="166" fontId="0" fillId="0" borderId="0" xfId="0" applyNumberFormat="1"/>
    <xf numFmtId="10" fontId="0" fillId="0" borderId="0" xfId="1" applyNumberFormat="1" applyFont="1"/>
    <xf numFmtId="0" fontId="1" fillId="5" borderId="11" xfId="0" applyFont="1" applyFill="1" applyBorder="1"/>
    <xf numFmtId="0" fontId="0" fillId="0" borderId="0" xfId="0" applyNumberFormat="1"/>
    <xf numFmtId="0" fontId="1" fillId="5" borderId="12" xfId="0" applyFont="1" applyFill="1" applyBorder="1"/>
    <xf numFmtId="9" fontId="0" fillId="0" borderId="0" xfId="1" applyNumberFormat="1" applyFont="1"/>
    <xf numFmtId="0" fontId="0" fillId="6" borderId="0" xfId="0" applyFill="1"/>
  </cellXfs>
  <cellStyles count="2">
    <cellStyle name="Normal" xfId="0" builtinId="0"/>
    <cellStyle name="Percent" xfId="1" builtinId="5"/>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Dashboard.xlsx]KPI!Total sales</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4.5962534550437834E-2"/>
              <c:y val="0.15012254901960784"/>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s>
    <c:plotArea>
      <c:layout/>
      <c:pieChart>
        <c:varyColors val="1"/>
        <c:ser>
          <c:idx val="0"/>
          <c:order val="0"/>
          <c:tx>
            <c:strRef>
              <c:f>KPI!$C$13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BB04-45C2-9839-91DD8F5319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BB04-45C2-9839-91DD8F5319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3A-4C19-95F7-4ADD9EFFD6AB}"/>
              </c:ext>
            </c:extLst>
          </c:dPt>
          <c:dLbls>
            <c:dLbl>
              <c:idx val="0"/>
              <c:layout>
                <c:manualLayout>
                  <c:x val="-4.5962534550437834E-2"/>
                  <c:y val="0.15012254901960784"/>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B04-45C2-9839-91DD8F5319AD}"/>
                </c:ext>
              </c:extLst>
            </c:dLbl>
            <c:dLbl>
              <c:idx val="1"/>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BB04-45C2-9839-91DD8F5319AD}"/>
                </c:ext>
              </c:extLst>
            </c:dLbl>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KPI!$B$14:$B$17</c:f>
              <c:strCache>
                <c:ptCount val="3"/>
                <c:pt idx="0">
                  <c:v>Decor</c:v>
                </c:pt>
                <c:pt idx="1">
                  <c:v>Electronic</c:v>
                </c:pt>
                <c:pt idx="2">
                  <c:v>Fashion </c:v>
                </c:pt>
              </c:strCache>
            </c:strRef>
          </c:cat>
          <c:val>
            <c:numRef>
              <c:f>KPI!$C$14:$C$17</c:f>
              <c:numCache>
                <c:formatCode>General</c:formatCode>
                <c:ptCount val="3"/>
                <c:pt idx="0">
                  <c:v>3756891</c:v>
                </c:pt>
                <c:pt idx="1">
                  <c:v>9022761</c:v>
                </c:pt>
                <c:pt idx="2">
                  <c:v>38229559</c:v>
                </c:pt>
              </c:numCache>
            </c:numRef>
          </c:val>
          <c:extLst>
            <c:ext xmlns:c16="http://schemas.microsoft.com/office/drawing/2014/chart" uri="{C3380CC4-5D6E-409C-BE32-E72D297353CC}">
              <c16:uniqueId val="{00000000-BB04-45C2-9839-91DD8F5319AD}"/>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Dashboard.xlsx]KPI!Total Purchase</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KPI!$F$13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8F-4EB8-8CA4-B339341FA8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8F-4EB8-8CA4-B339341FA8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8F-4EB8-8CA4-B339341FA8FF}"/>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KPI!$E$14:$E$17</c:f>
              <c:strCache>
                <c:ptCount val="3"/>
                <c:pt idx="0">
                  <c:v>Decor</c:v>
                </c:pt>
                <c:pt idx="1">
                  <c:v>Electronic</c:v>
                </c:pt>
                <c:pt idx="2">
                  <c:v>Fashion </c:v>
                </c:pt>
              </c:strCache>
            </c:strRef>
          </c:cat>
          <c:val>
            <c:numRef>
              <c:f>KPI!$F$14:$F$17</c:f>
              <c:numCache>
                <c:formatCode>General</c:formatCode>
                <c:ptCount val="3"/>
                <c:pt idx="0">
                  <c:v>2492869</c:v>
                </c:pt>
                <c:pt idx="1">
                  <c:v>6094215</c:v>
                </c:pt>
                <c:pt idx="2">
                  <c:v>25060122</c:v>
                </c:pt>
              </c:numCache>
            </c:numRef>
          </c:val>
          <c:extLst>
            <c:ext xmlns:c16="http://schemas.microsoft.com/office/drawing/2014/chart" uri="{C3380CC4-5D6E-409C-BE32-E72D297353CC}">
              <c16:uniqueId val="{00000000-AC7B-4C7F-8DAC-8525A383D09B}"/>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Dashboard.xlsx]KPI!Total Profit</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KPI!$I$13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8B-4344-BB1E-FD4D875E57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8B-4344-BB1E-FD4D875E57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8B-4344-BB1E-FD4D875E575B}"/>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KPI!$H$14:$H$17</c:f>
              <c:strCache>
                <c:ptCount val="3"/>
                <c:pt idx="0">
                  <c:v>Decor</c:v>
                </c:pt>
                <c:pt idx="1">
                  <c:v>Electronic</c:v>
                </c:pt>
                <c:pt idx="2">
                  <c:v>Fashion </c:v>
                </c:pt>
              </c:strCache>
            </c:strRef>
          </c:cat>
          <c:val>
            <c:numRef>
              <c:f>KPI!$I$14:$I$17</c:f>
              <c:numCache>
                <c:formatCode>General</c:formatCode>
                <c:ptCount val="3"/>
                <c:pt idx="0">
                  <c:v>1264022</c:v>
                </c:pt>
                <c:pt idx="1">
                  <c:v>2928546</c:v>
                </c:pt>
                <c:pt idx="2">
                  <c:v>13169437</c:v>
                </c:pt>
              </c:numCache>
            </c:numRef>
          </c:val>
          <c:extLst>
            <c:ext xmlns:c16="http://schemas.microsoft.com/office/drawing/2014/chart" uri="{C3380CC4-5D6E-409C-BE32-E72D297353CC}">
              <c16:uniqueId val="{00000000-2F7A-41E4-8A2B-E0DCCA05836A}"/>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Dashboard.xlsx]KPI!Monthwise</c:name>
    <c:fmtId val="8"/>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2"/>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7188943974595769"/>
          <c:y val="3.3860955093923839E-2"/>
          <c:w val="0.75399081364829401"/>
          <c:h val="0.8416746864975212"/>
        </c:manualLayout>
      </c:layout>
      <c:barChart>
        <c:barDir val="col"/>
        <c:grouping val="clustered"/>
        <c:varyColors val="0"/>
        <c:ser>
          <c:idx val="0"/>
          <c:order val="0"/>
          <c:tx>
            <c:strRef>
              <c:f>KPI!$L$13</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KPI!$K$14:$K$25</c:f>
              <c:strCache>
                <c:ptCount val="11"/>
                <c:pt idx="0">
                  <c:v>Jan</c:v>
                </c:pt>
                <c:pt idx="1">
                  <c:v>Feb</c:v>
                </c:pt>
                <c:pt idx="2">
                  <c:v>Apr</c:v>
                </c:pt>
                <c:pt idx="3">
                  <c:v>May</c:v>
                </c:pt>
                <c:pt idx="4">
                  <c:v>Jun</c:v>
                </c:pt>
                <c:pt idx="5">
                  <c:v>Jul</c:v>
                </c:pt>
                <c:pt idx="6">
                  <c:v>Aug</c:v>
                </c:pt>
                <c:pt idx="7">
                  <c:v>Sep</c:v>
                </c:pt>
                <c:pt idx="8">
                  <c:v>Oct</c:v>
                </c:pt>
                <c:pt idx="9">
                  <c:v>Nov</c:v>
                </c:pt>
                <c:pt idx="10">
                  <c:v>Dec</c:v>
                </c:pt>
              </c:strCache>
            </c:strRef>
          </c:cat>
          <c:val>
            <c:numRef>
              <c:f>KPI!$L$14:$L$25</c:f>
              <c:numCache>
                <c:formatCode>General</c:formatCode>
                <c:ptCount val="11"/>
                <c:pt idx="0">
                  <c:v>1271040</c:v>
                </c:pt>
                <c:pt idx="1">
                  <c:v>1718473</c:v>
                </c:pt>
                <c:pt idx="2">
                  <c:v>1311694</c:v>
                </c:pt>
                <c:pt idx="3">
                  <c:v>1489431</c:v>
                </c:pt>
                <c:pt idx="4">
                  <c:v>2200036</c:v>
                </c:pt>
                <c:pt idx="5">
                  <c:v>1230143</c:v>
                </c:pt>
                <c:pt idx="6">
                  <c:v>1563864</c:v>
                </c:pt>
                <c:pt idx="7">
                  <c:v>1533826</c:v>
                </c:pt>
                <c:pt idx="8">
                  <c:v>1713429</c:v>
                </c:pt>
                <c:pt idx="9">
                  <c:v>1328438</c:v>
                </c:pt>
                <c:pt idx="10">
                  <c:v>2001631</c:v>
                </c:pt>
              </c:numCache>
            </c:numRef>
          </c:val>
          <c:extLst>
            <c:ext xmlns:c16="http://schemas.microsoft.com/office/drawing/2014/chart" uri="{C3380CC4-5D6E-409C-BE32-E72D297353CC}">
              <c16:uniqueId val="{00000000-6166-4907-A32E-1A593E0CAE39}"/>
            </c:ext>
          </c:extLst>
        </c:ser>
        <c:dLbls>
          <c:showLegendKey val="0"/>
          <c:showVal val="0"/>
          <c:showCatName val="0"/>
          <c:showSerName val="0"/>
          <c:showPercent val="0"/>
          <c:showBubbleSize val="0"/>
        </c:dLbls>
        <c:gapWidth val="219"/>
        <c:overlap val="-27"/>
        <c:axId val="727666447"/>
        <c:axId val="727667887"/>
      </c:barChart>
      <c:lineChart>
        <c:grouping val="stacked"/>
        <c:varyColors val="0"/>
        <c:ser>
          <c:idx val="1"/>
          <c:order val="1"/>
          <c:tx>
            <c:strRef>
              <c:f>KPI!$M$13</c:f>
              <c:strCache>
                <c:ptCount val="1"/>
                <c:pt idx="0">
                  <c:v>Sum of Sale Price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2"/>
                </a:solidFill>
                <a:round/>
              </a:ln>
              <a:effectLst>
                <a:outerShdw blurRad="57150" dist="19050" dir="5400000" algn="ctr" rotWithShape="0">
                  <a:srgbClr val="000000">
                    <a:alpha val="63000"/>
                  </a:srgbClr>
                </a:outerShdw>
              </a:effectLst>
            </c:spPr>
          </c:marker>
          <c:cat>
            <c:strRef>
              <c:f>KPI!$K$14:$K$25</c:f>
              <c:strCache>
                <c:ptCount val="11"/>
                <c:pt idx="0">
                  <c:v>Jan</c:v>
                </c:pt>
                <c:pt idx="1">
                  <c:v>Feb</c:v>
                </c:pt>
                <c:pt idx="2">
                  <c:v>Apr</c:v>
                </c:pt>
                <c:pt idx="3">
                  <c:v>May</c:v>
                </c:pt>
                <c:pt idx="4">
                  <c:v>Jun</c:v>
                </c:pt>
                <c:pt idx="5">
                  <c:v>Jul</c:v>
                </c:pt>
                <c:pt idx="6">
                  <c:v>Aug</c:v>
                </c:pt>
                <c:pt idx="7">
                  <c:v>Sep</c:v>
                </c:pt>
                <c:pt idx="8">
                  <c:v>Oct</c:v>
                </c:pt>
                <c:pt idx="9">
                  <c:v>Nov</c:v>
                </c:pt>
                <c:pt idx="10">
                  <c:v>Dec</c:v>
                </c:pt>
              </c:strCache>
            </c:strRef>
          </c:cat>
          <c:val>
            <c:numRef>
              <c:f>KPI!$M$14:$M$25</c:f>
              <c:numCache>
                <c:formatCode>0.00%</c:formatCode>
                <c:ptCount val="11"/>
                <c:pt idx="0">
                  <c:v>7.8164314284335817E-2</c:v>
                </c:pt>
                <c:pt idx="1">
                  <c:v>8.9517008996669242E-2</c:v>
                </c:pt>
                <c:pt idx="2">
                  <c:v>8.2088938799700306E-2</c:v>
                </c:pt>
                <c:pt idx="3">
                  <c:v>9.2752444259527944E-2</c:v>
                </c:pt>
                <c:pt idx="4">
                  <c:v>0.11964397959419525</c:v>
                </c:pt>
                <c:pt idx="5">
                  <c:v>7.6632610529890371E-2</c:v>
                </c:pt>
                <c:pt idx="6">
                  <c:v>8.8117555866527711E-2</c:v>
                </c:pt>
                <c:pt idx="7">
                  <c:v>8.567501661611665E-2</c:v>
                </c:pt>
                <c:pt idx="8">
                  <c:v>9.581293072735432E-2</c:v>
                </c:pt>
                <c:pt idx="9">
                  <c:v>7.3126890749202145E-2</c:v>
                </c:pt>
                <c:pt idx="10">
                  <c:v>0.11846830957648022</c:v>
                </c:pt>
              </c:numCache>
            </c:numRef>
          </c:val>
          <c:smooth val="0"/>
          <c:extLst>
            <c:ext xmlns:c16="http://schemas.microsoft.com/office/drawing/2014/chart" uri="{C3380CC4-5D6E-409C-BE32-E72D297353CC}">
              <c16:uniqueId val="{00000001-6166-4907-A32E-1A593E0CAE39}"/>
            </c:ext>
          </c:extLst>
        </c:ser>
        <c:dLbls>
          <c:showLegendKey val="0"/>
          <c:showVal val="0"/>
          <c:showCatName val="0"/>
          <c:showSerName val="0"/>
          <c:showPercent val="0"/>
          <c:showBubbleSize val="0"/>
        </c:dLbls>
        <c:marker val="1"/>
        <c:smooth val="0"/>
        <c:axId val="727671727"/>
        <c:axId val="727681327"/>
      </c:lineChart>
      <c:catAx>
        <c:axId val="7276664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667887"/>
        <c:crosses val="autoZero"/>
        <c:auto val="1"/>
        <c:lblAlgn val="ctr"/>
        <c:lblOffset val="100"/>
        <c:noMultiLvlLbl val="0"/>
      </c:catAx>
      <c:valAx>
        <c:axId val="727667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666447"/>
        <c:crosses val="autoZero"/>
        <c:crossBetween val="between"/>
      </c:valAx>
      <c:valAx>
        <c:axId val="727681327"/>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671727"/>
        <c:crosses val="max"/>
        <c:crossBetween val="between"/>
      </c:valAx>
      <c:catAx>
        <c:axId val="727671727"/>
        <c:scaling>
          <c:orientation val="minMax"/>
        </c:scaling>
        <c:delete val="1"/>
        <c:axPos val="b"/>
        <c:numFmt formatCode="General" sourceLinked="1"/>
        <c:majorTickMark val="none"/>
        <c:minorTickMark val="none"/>
        <c:tickLblPos val="nextTo"/>
        <c:crossAx val="72768132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489959839357429"/>
          <c:y val="0.14322916666666666"/>
          <c:w val="0.6606425702811245"/>
          <c:h val="0.85677083333333337"/>
        </c:manualLayout>
      </c:layout>
      <c:doughnutChart>
        <c:varyColors val="1"/>
        <c:ser>
          <c:idx val="0"/>
          <c:order val="0"/>
          <c:tx>
            <c:strRef>
              <c:f>KPI!$P$28</c:f>
              <c:strCache>
                <c:ptCount val="1"/>
                <c:pt idx="0">
                  <c:v>Sum of Profit</c:v>
                </c:pt>
              </c:strCache>
            </c:strRef>
          </c:tx>
          <c:explosion val="9"/>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980-41B4-8C37-607562BC2F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80-41B4-8C37-607562BC2F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E980-41B4-8C37-607562BC2F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E980-41B4-8C37-607562BC2FE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E980-41B4-8C37-607562BC2FE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7-E980-41B4-8C37-607562BC2FE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8-E980-41B4-8C37-607562BC2FE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9-E980-41B4-8C37-607562BC2FE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1-E980-41B4-8C37-607562BC2FE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A-E980-41B4-8C37-607562BC2FE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E980-41B4-8C37-607562BC2FE7}"/>
              </c:ext>
            </c:extLst>
          </c:dPt>
          <c:dLbls>
            <c:dLbl>
              <c:idx val="0"/>
              <c:tx>
                <c:rich>
                  <a:bodyPr/>
                  <a:lstStyle/>
                  <a:p>
                    <a:fld id="{C7704662-DD60-4C12-9D94-D9E94369777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980-41B4-8C37-607562BC2FE7}"/>
                </c:ext>
              </c:extLst>
            </c:dLbl>
            <c:dLbl>
              <c:idx val="1"/>
              <c:tx>
                <c:rich>
                  <a:bodyPr/>
                  <a:lstStyle/>
                  <a:p>
                    <a:fld id="{C8D235AB-38A8-4EE2-BEDC-735E1469FD3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980-41B4-8C37-607562BC2FE7}"/>
                </c:ext>
              </c:extLst>
            </c:dLbl>
            <c:dLbl>
              <c:idx val="2"/>
              <c:tx>
                <c:rich>
                  <a:bodyPr/>
                  <a:lstStyle/>
                  <a:p>
                    <a:fld id="{9C19D948-3C49-404C-BA58-EAD72C93854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980-41B4-8C37-607562BC2FE7}"/>
                </c:ext>
              </c:extLst>
            </c:dLbl>
            <c:dLbl>
              <c:idx val="3"/>
              <c:tx>
                <c:rich>
                  <a:bodyPr/>
                  <a:lstStyle/>
                  <a:p>
                    <a:fld id="{FC01A399-267A-4DC1-B9FC-BF2674DE801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980-41B4-8C37-607562BC2FE7}"/>
                </c:ext>
              </c:extLst>
            </c:dLbl>
            <c:dLbl>
              <c:idx val="4"/>
              <c:tx>
                <c:rich>
                  <a:bodyPr/>
                  <a:lstStyle/>
                  <a:p>
                    <a:fld id="{5BD4BB90-65D8-4FD2-9D00-FBBD895C188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980-41B4-8C37-607562BC2FE7}"/>
                </c:ext>
              </c:extLst>
            </c:dLbl>
            <c:dLbl>
              <c:idx val="5"/>
              <c:tx>
                <c:rich>
                  <a:bodyPr/>
                  <a:lstStyle/>
                  <a:p>
                    <a:fld id="{DA8C7F8D-D94C-4B2E-9F3D-07BBF5FC430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980-41B4-8C37-607562BC2FE7}"/>
                </c:ext>
              </c:extLst>
            </c:dLbl>
            <c:dLbl>
              <c:idx val="6"/>
              <c:tx>
                <c:rich>
                  <a:bodyPr/>
                  <a:lstStyle/>
                  <a:p>
                    <a:fld id="{91506F6A-EDAF-49FD-BEE5-A6C15D1F5DA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980-41B4-8C37-607562BC2FE7}"/>
                </c:ext>
              </c:extLst>
            </c:dLbl>
            <c:dLbl>
              <c:idx val="7"/>
              <c:tx>
                <c:rich>
                  <a:bodyPr/>
                  <a:lstStyle/>
                  <a:p>
                    <a:fld id="{306DB590-30CD-4492-93FD-6BDDA51A883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980-41B4-8C37-607562BC2FE7}"/>
                </c:ext>
              </c:extLst>
            </c:dLbl>
            <c:dLbl>
              <c:idx val="8"/>
              <c:tx>
                <c:rich>
                  <a:bodyPr/>
                  <a:lstStyle/>
                  <a:p>
                    <a:fld id="{B222C7D8-A235-4E64-A891-3F26FE4AA42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980-41B4-8C37-607562BC2FE7}"/>
                </c:ext>
              </c:extLst>
            </c:dLbl>
            <c:dLbl>
              <c:idx val="9"/>
              <c:tx>
                <c:rich>
                  <a:bodyPr/>
                  <a:lstStyle/>
                  <a:p>
                    <a:fld id="{EF41D1E8-99C3-457E-9DD4-ABFF9FA8593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980-41B4-8C37-607562BC2FE7}"/>
                </c:ext>
              </c:extLst>
            </c:dLbl>
            <c:dLbl>
              <c:idx val="10"/>
              <c:tx>
                <c:rich>
                  <a:bodyPr/>
                  <a:lstStyle/>
                  <a:p>
                    <a:fld id="{74E116E9-E195-4C64-9AD9-76BE077C587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980-41B4-8C37-607562BC2FE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cat>
            <c:strRef>
              <c:f>KPI!$O$29:$O$39</c:f>
              <c:strCache>
                <c:ptCount val="11"/>
                <c:pt idx="0">
                  <c:v>Car accessories</c:v>
                </c:pt>
                <c:pt idx="1">
                  <c:v>CHAIR</c:v>
                </c:pt>
                <c:pt idx="2">
                  <c:v>Earbuds</c:v>
                </c:pt>
                <c:pt idx="3">
                  <c:v>Home décor</c:v>
                </c:pt>
                <c:pt idx="4">
                  <c:v>Laptop</c:v>
                </c:pt>
                <c:pt idx="5">
                  <c:v>Male dress</c:v>
                </c:pt>
                <c:pt idx="6">
                  <c:v>Saree</c:v>
                </c:pt>
                <c:pt idx="7">
                  <c:v>Speaker</c:v>
                </c:pt>
                <c:pt idx="8">
                  <c:v>Suit</c:v>
                </c:pt>
                <c:pt idx="9">
                  <c:v>TV</c:v>
                </c:pt>
                <c:pt idx="10">
                  <c:v>Women dress</c:v>
                </c:pt>
              </c:strCache>
            </c:strRef>
          </c:cat>
          <c:val>
            <c:numRef>
              <c:f>KPI!$P$29:$P$39</c:f>
              <c:numCache>
                <c:formatCode>General</c:formatCode>
                <c:ptCount val="11"/>
                <c:pt idx="0">
                  <c:v>302517</c:v>
                </c:pt>
                <c:pt idx="1">
                  <c:v>39308</c:v>
                </c:pt>
                <c:pt idx="2">
                  <c:v>175093</c:v>
                </c:pt>
                <c:pt idx="3">
                  <c:v>961505</c:v>
                </c:pt>
                <c:pt idx="4">
                  <c:v>1545402</c:v>
                </c:pt>
                <c:pt idx="5">
                  <c:v>1153155</c:v>
                </c:pt>
                <c:pt idx="6">
                  <c:v>6353495</c:v>
                </c:pt>
                <c:pt idx="7">
                  <c:v>380946</c:v>
                </c:pt>
                <c:pt idx="8">
                  <c:v>5033368</c:v>
                </c:pt>
                <c:pt idx="9">
                  <c:v>827105</c:v>
                </c:pt>
                <c:pt idx="10">
                  <c:v>590111</c:v>
                </c:pt>
              </c:numCache>
            </c:numRef>
          </c:val>
          <c:extLst>
            <c:ext xmlns:c15="http://schemas.microsoft.com/office/drawing/2012/chart" uri="{02D57815-91ED-43cb-92C2-25804820EDAC}">
              <c15:datalabelsRange>
                <c15:f>KPI!$Q$29:$Q$39</c15:f>
                <c15:dlblRangeCache>
                  <c:ptCount val="11"/>
                  <c:pt idx="0">
                    <c:v>2%</c:v>
                  </c:pt>
                  <c:pt idx="1">
                    <c:v>0%</c:v>
                  </c:pt>
                  <c:pt idx="2">
                    <c:v>1%</c:v>
                  </c:pt>
                  <c:pt idx="3">
                    <c:v>5%</c:v>
                  </c:pt>
                  <c:pt idx="4">
                    <c:v>9%</c:v>
                  </c:pt>
                  <c:pt idx="5">
                    <c:v>7%</c:v>
                  </c:pt>
                  <c:pt idx="6">
                    <c:v>36%</c:v>
                  </c:pt>
                  <c:pt idx="7">
                    <c:v>2%</c:v>
                  </c:pt>
                  <c:pt idx="8">
                    <c:v>29%</c:v>
                  </c:pt>
                  <c:pt idx="9">
                    <c:v>5%</c:v>
                  </c:pt>
                  <c:pt idx="10">
                    <c:v>4%</c:v>
                  </c:pt>
                </c15:dlblRangeCache>
              </c15:datalabelsRange>
            </c:ext>
            <c:ext xmlns:c16="http://schemas.microsoft.com/office/drawing/2014/chart" uri="{C3380CC4-5D6E-409C-BE32-E72D297353CC}">
              <c16:uniqueId val="{00000000-E980-41B4-8C37-607562BC2FE7}"/>
            </c:ext>
          </c:extLst>
        </c:ser>
        <c:dLbls>
          <c:showLegendKey val="0"/>
          <c:showVal val="0"/>
          <c:showCatName val="0"/>
          <c:showSerName val="0"/>
          <c:showPercent val="0"/>
          <c:showBubbleSize val="0"/>
          <c:showLeaderLines val="0"/>
        </c:dLbls>
        <c:firstSliceAng val="3"/>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12700"/>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Dashboard.xlsx]KPI!Total sales</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4.5962534550437834E-2"/>
              <c:y val="0.15012254901960784"/>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4.5962534550437834E-2"/>
              <c:y val="0.15012254901960784"/>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layout>
            <c:manualLayout>
              <c:x val="-3.100006200006385E-5"/>
              <c:y val="-0.23176738643865835"/>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lumMod val="50000"/>
            </a:schemeClr>
          </a:solidFill>
          <a:ln w="19050">
            <a:solidFill>
              <a:schemeClr val="lt1"/>
            </a:solidFill>
          </a:ln>
          <a:effectLst/>
        </c:spPr>
      </c:pivotFmt>
    </c:pivotFmts>
    <c:plotArea>
      <c:layout/>
      <c:pieChart>
        <c:varyColors val="1"/>
        <c:ser>
          <c:idx val="0"/>
          <c:order val="0"/>
          <c:tx>
            <c:strRef>
              <c:f>KPI!$C$13</c:f>
              <c:strCache>
                <c:ptCount val="1"/>
                <c:pt idx="0">
                  <c:v>Total</c:v>
                </c:pt>
              </c:strCache>
            </c:strRef>
          </c:tx>
          <c:explosion val="3"/>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9E8-4D36-BC30-D082FE83536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89E8-4D36-BC30-D082FE835362}"/>
              </c:ext>
            </c:extLst>
          </c:dPt>
          <c:dPt>
            <c:idx val="2"/>
            <c:bubble3D val="0"/>
            <c:explosion val="2"/>
            <c:spPr>
              <a:solidFill>
                <a:schemeClr val="accent1">
                  <a:lumMod val="50000"/>
                </a:schemeClr>
              </a:solidFill>
              <a:ln w="19050">
                <a:solidFill>
                  <a:schemeClr val="lt1"/>
                </a:solidFill>
              </a:ln>
              <a:effectLst/>
            </c:spPr>
            <c:extLst>
              <c:ext xmlns:c16="http://schemas.microsoft.com/office/drawing/2014/chart" uri="{C3380CC4-5D6E-409C-BE32-E72D297353CC}">
                <c16:uniqueId val="{00000005-89E8-4D36-BC30-D082FE835362}"/>
              </c:ext>
            </c:extLst>
          </c:dPt>
          <c:dLbls>
            <c:dLbl>
              <c:idx val="0"/>
              <c:layout>
                <c:manualLayout>
                  <c:x val="-3.100006200006385E-5"/>
                  <c:y val="-0.23176738643865835"/>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9E8-4D36-BC30-D082FE835362}"/>
                </c:ext>
              </c:extLst>
            </c:dLbl>
            <c:dLbl>
              <c:idx val="1"/>
              <c:dLblPos val="inEnd"/>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9E8-4D36-BC30-D082FE835362}"/>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KPI!$B$14:$B$17</c:f>
              <c:strCache>
                <c:ptCount val="3"/>
                <c:pt idx="0">
                  <c:v>Decor</c:v>
                </c:pt>
                <c:pt idx="1">
                  <c:v>Electronic</c:v>
                </c:pt>
                <c:pt idx="2">
                  <c:v>Fashion </c:v>
                </c:pt>
              </c:strCache>
            </c:strRef>
          </c:cat>
          <c:val>
            <c:numRef>
              <c:f>KPI!$C$14:$C$17</c:f>
              <c:numCache>
                <c:formatCode>General</c:formatCode>
                <c:ptCount val="3"/>
                <c:pt idx="0">
                  <c:v>3756891</c:v>
                </c:pt>
                <c:pt idx="1">
                  <c:v>9022761</c:v>
                </c:pt>
                <c:pt idx="2">
                  <c:v>38229559</c:v>
                </c:pt>
              </c:numCache>
            </c:numRef>
          </c:val>
          <c:extLst>
            <c:ext xmlns:c16="http://schemas.microsoft.com/office/drawing/2014/chart" uri="{C3380CC4-5D6E-409C-BE32-E72D297353CC}">
              <c16:uniqueId val="{00000006-89E8-4D36-BC30-D082FE835362}"/>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Dashboard.xlsx]KPI!Total Purchase</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dLbl>
          <c:idx val="0"/>
          <c:layout>
            <c:manualLayout>
              <c:x val="3.1645224674784506E-2"/>
              <c:y val="-0.24874859392575929"/>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4.7846478206617611E-3"/>
              <c:y val="-0.25866922884639421"/>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lumMod val="50000"/>
            </a:schemeClr>
          </a:solidFill>
          <a:ln w="19050">
            <a:solidFill>
              <a:schemeClr val="lt1"/>
            </a:solidFill>
          </a:ln>
          <a:effectLst/>
        </c:spPr>
        <c:dLbl>
          <c:idx val="0"/>
          <c:layout>
            <c:manualLayout>
              <c:x val="2.2537756550922938E-2"/>
              <c:y val="-0.24874859392575929"/>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KPI!$F$13</c:f>
              <c:strCache>
                <c:ptCount val="1"/>
                <c:pt idx="0">
                  <c:v>Total</c:v>
                </c:pt>
              </c:strCache>
            </c:strRef>
          </c:tx>
          <c:spPr>
            <a:solidFill>
              <a:schemeClr val="accent4"/>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2F6-4F38-A057-97383871F09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92F6-4F38-A057-97383871F09E}"/>
              </c:ext>
            </c:extLst>
          </c:dPt>
          <c:dPt>
            <c:idx val="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5-92F6-4F38-A057-97383871F09E}"/>
              </c:ext>
            </c:extLst>
          </c:dPt>
          <c:dLbls>
            <c:dLbl>
              <c:idx val="0"/>
              <c:layout>
                <c:manualLayout>
                  <c:x val="3.1645224674784506E-2"/>
                  <c:y val="-0.2487485939257592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2F6-4F38-A057-97383871F09E}"/>
                </c:ext>
              </c:extLst>
            </c:dLbl>
            <c:dLbl>
              <c:idx val="1"/>
              <c:layout>
                <c:manualLayout>
                  <c:x val="-4.7846478206617611E-3"/>
                  <c:y val="-0.2586692288463942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2F6-4F38-A057-97383871F09E}"/>
                </c:ext>
              </c:extLst>
            </c:dLbl>
            <c:dLbl>
              <c:idx val="2"/>
              <c:layout>
                <c:manualLayout>
                  <c:x val="2.2537756550922938E-2"/>
                  <c:y val="-0.2487485939257592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2F6-4F38-A057-97383871F09E}"/>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KPI!$E$14:$E$17</c:f>
              <c:strCache>
                <c:ptCount val="3"/>
                <c:pt idx="0">
                  <c:v>Decor</c:v>
                </c:pt>
                <c:pt idx="1">
                  <c:v>Electronic</c:v>
                </c:pt>
                <c:pt idx="2">
                  <c:v>Fashion </c:v>
                </c:pt>
              </c:strCache>
            </c:strRef>
          </c:cat>
          <c:val>
            <c:numRef>
              <c:f>KPI!$F$14:$F$17</c:f>
              <c:numCache>
                <c:formatCode>General</c:formatCode>
                <c:ptCount val="3"/>
                <c:pt idx="0">
                  <c:v>2492869</c:v>
                </c:pt>
                <c:pt idx="1">
                  <c:v>6094215</c:v>
                </c:pt>
                <c:pt idx="2">
                  <c:v>25060122</c:v>
                </c:pt>
              </c:numCache>
            </c:numRef>
          </c:val>
          <c:extLst>
            <c:ext xmlns:c16="http://schemas.microsoft.com/office/drawing/2014/chart" uri="{C3380CC4-5D6E-409C-BE32-E72D297353CC}">
              <c16:uniqueId val="{00000006-92F6-4F38-A057-97383871F09E}"/>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Dashboard.xlsx]KPI!Total Profit</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1">
              <a:lumMod val="50000"/>
            </a:schemeClr>
          </a:solidFill>
          <a:ln w="19050">
            <a:solidFill>
              <a:schemeClr val="lt1"/>
            </a:solidFill>
          </a:ln>
          <a:effectLst/>
        </c:spPr>
      </c:pivotFmt>
    </c:pivotFmts>
    <c:plotArea>
      <c:layout/>
      <c:pieChart>
        <c:varyColors val="1"/>
        <c:ser>
          <c:idx val="0"/>
          <c:order val="0"/>
          <c:tx>
            <c:strRef>
              <c:f>KPI!$I$13</c:f>
              <c:strCache>
                <c:ptCount val="1"/>
                <c:pt idx="0">
                  <c:v>Total</c:v>
                </c:pt>
              </c:strCache>
            </c:strRef>
          </c:tx>
          <c:spPr>
            <a:solidFill>
              <a:schemeClr val="accent1">
                <a:lumMod val="50000"/>
              </a:schemeClr>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35A-4D3B-AE82-A04ED6C023B3}"/>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635A-4D3B-AE82-A04ED6C023B3}"/>
              </c:ext>
            </c:extLst>
          </c:dPt>
          <c:dPt>
            <c:idx val="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5-635A-4D3B-AE82-A04ED6C023B3}"/>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KPI!$H$14:$H$17</c:f>
              <c:strCache>
                <c:ptCount val="3"/>
                <c:pt idx="0">
                  <c:v>Decor</c:v>
                </c:pt>
                <c:pt idx="1">
                  <c:v>Electronic</c:v>
                </c:pt>
                <c:pt idx="2">
                  <c:v>Fashion </c:v>
                </c:pt>
              </c:strCache>
            </c:strRef>
          </c:cat>
          <c:val>
            <c:numRef>
              <c:f>KPI!$I$14:$I$17</c:f>
              <c:numCache>
                <c:formatCode>General</c:formatCode>
                <c:ptCount val="3"/>
                <c:pt idx="0">
                  <c:v>1264022</c:v>
                </c:pt>
                <c:pt idx="1">
                  <c:v>2928546</c:v>
                </c:pt>
                <c:pt idx="2">
                  <c:v>13169437</c:v>
                </c:pt>
              </c:numCache>
            </c:numRef>
          </c:val>
          <c:extLst>
            <c:ext xmlns:c16="http://schemas.microsoft.com/office/drawing/2014/chart" uri="{C3380CC4-5D6E-409C-BE32-E72D297353CC}">
              <c16:uniqueId val="{00000006-635A-4D3B-AE82-A04ED6C023B3}"/>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Dashboard.xlsx]KPI!Monthwise</c:name>
    <c:fmtId val="2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2"/>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45593043886275"/>
          <c:y val="3.3860945953184424E-2"/>
          <c:w val="0.75399081364829401"/>
          <c:h val="0.8416746864975212"/>
        </c:manualLayout>
      </c:layout>
      <c:barChart>
        <c:barDir val="col"/>
        <c:grouping val="clustered"/>
        <c:varyColors val="0"/>
        <c:ser>
          <c:idx val="0"/>
          <c:order val="0"/>
          <c:tx>
            <c:strRef>
              <c:f>KPI!$L$13</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KPI!$K$14:$K$25</c:f>
              <c:strCache>
                <c:ptCount val="11"/>
                <c:pt idx="0">
                  <c:v>Jan</c:v>
                </c:pt>
                <c:pt idx="1">
                  <c:v>Feb</c:v>
                </c:pt>
                <c:pt idx="2">
                  <c:v>Apr</c:v>
                </c:pt>
                <c:pt idx="3">
                  <c:v>May</c:v>
                </c:pt>
                <c:pt idx="4">
                  <c:v>Jun</c:v>
                </c:pt>
                <c:pt idx="5">
                  <c:v>Jul</c:v>
                </c:pt>
                <c:pt idx="6">
                  <c:v>Aug</c:v>
                </c:pt>
                <c:pt idx="7">
                  <c:v>Sep</c:v>
                </c:pt>
                <c:pt idx="8">
                  <c:v>Oct</c:v>
                </c:pt>
                <c:pt idx="9">
                  <c:v>Nov</c:v>
                </c:pt>
                <c:pt idx="10">
                  <c:v>Dec</c:v>
                </c:pt>
              </c:strCache>
            </c:strRef>
          </c:cat>
          <c:val>
            <c:numRef>
              <c:f>KPI!$L$14:$L$25</c:f>
              <c:numCache>
                <c:formatCode>General</c:formatCode>
                <c:ptCount val="11"/>
                <c:pt idx="0">
                  <c:v>1271040</c:v>
                </c:pt>
                <c:pt idx="1">
                  <c:v>1718473</c:v>
                </c:pt>
                <c:pt idx="2">
                  <c:v>1311694</c:v>
                </c:pt>
                <c:pt idx="3">
                  <c:v>1489431</c:v>
                </c:pt>
                <c:pt idx="4">
                  <c:v>2200036</c:v>
                </c:pt>
                <c:pt idx="5">
                  <c:v>1230143</c:v>
                </c:pt>
                <c:pt idx="6">
                  <c:v>1563864</c:v>
                </c:pt>
                <c:pt idx="7">
                  <c:v>1533826</c:v>
                </c:pt>
                <c:pt idx="8">
                  <c:v>1713429</c:v>
                </c:pt>
                <c:pt idx="9">
                  <c:v>1328438</c:v>
                </c:pt>
                <c:pt idx="10">
                  <c:v>2001631</c:v>
                </c:pt>
              </c:numCache>
            </c:numRef>
          </c:val>
          <c:extLst>
            <c:ext xmlns:c16="http://schemas.microsoft.com/office/drawing/2014/chart" uri="{C3380CC4-5D6E-409C-BE32-E72D297353CC}">
              <c16:uniqueId val="{00000000-50F9-4237-AFE0-0BDA5FCC88C5}"/>
            </c:ext>
          </c:extLst>
        </c:ser>
        <c:dLbls>
          <c:showLegendKey val="0"/>
          <c:showVal val="0"/>
          <c:showCatName val="0"/>
          <c:showSerName val="0"/>
          <c:showPercent val="0"/>
          <c:showBubbleSize val="0"/>
        </c:dLbls>
        <c:gapWidth val="219"/>
        <c:overlap val="-27"/>
        <c:axId val="727666447"/>
        <c:axId val="727667887"/>
      </c:barChart>
      <c:lineChart>
        <c:grouping val="stacked"/>
        <c:varyColors val="0"/>
        <c:ser>
          <c:idx val="1"/>
          <c:order val="1"/>
          <c:tx>
            <c:strRef>
              <c:f>KPI!$M$13</c:f>
              <c:strCache>
                <c:ptCount val="1"/>
                <c:pt idx="0">
                  <c:v>Sum of Sale Price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2"/>
                </a:solidFill>
                <a:round/>
              </a:ln>
              <a:effectLst>
                <a:outerShdw blurRad="57150" dist="19050" dir="5400000" algn="ctr" rotWithShape="0">
                  <a:srgbClr val="000000">
                    <a:alpha val="63000"/>
                  </a:srgbClr>
                </a:outerShdw>
              </a:effectLst>
            </c:spPr>
          </c:marker>
          <c:cat>
            <c:strRef>
              <c:f>KPI!$K$14:$K$25</c:f>
              <c:strCache>
                <c:ptCount val="11"/>
                <c:pt idx="0">
                  <c:v>Jan</c:v>
                </c:pt>
                <c:pt idx="1">
                  <c:v>Feb</c:v>
                </c:pt>
                <c:pt idx="2">
                  <c:v>Apr</c:v>
                </c:pt>
                <c:pt idx="3">
                  <c:v>May</c:v>
                </c:pt>
                <c:pt idx="4">
                  <c:v>Jun</c:v>
                </c:pt>
                <c:pt idx="5">
                  <c:v>Jul</c:v>
                </c:pt>
                <c:pt idx="6">
                  <c:v>Aug</c:v>
                </c:pt>
                <c:pt idx="7">
                  <c:v>Sep</c:v>
                </c:pt>
                <c:pt idx="8">
                  <c:v>Oct</c:v>
                </c:pt>
                <c:pt idx="9">
                  <c:v>Nov</c:v>
                </c:pt>
                <c:pt idx="10">
                  <c:v>Dec</c:v>
                </c:pt>
              </c:strCache>
            </c:strRef>
          </c:cat>
          <c:val>
            <c:numRef>
              <c:f>KPI!$M$14:$M$25</c:f>
              <c:numCache>
                <c:formatCode>0.00%</c:formatCode>
                <c:ptCount val="11"/>
                <c:pt idx="0">
                  <c:v>7.8164314284335817E-2</c:v>
                </c:pt>
                <c:pt idx="1">
                  <c:v>8.9517008996669242E-2</c:v>
                </c:pt>
                <c:pt idx="2">
                  <c:v>8.2088938799700306E-2</c:v>
                </c:pt>
                <c:pt idx="3">
                  <c:v>9.2752444259527944E-2</c:v>
                </c:pt>
                <c:pt idx="4">
                  <c:v>0.11964397959419525</c:v>
                </c:pt>
                <c:pt idx="5">
                  <c:v>7.6632610529890371E-2</c:v>
                </c:pt>
                <c:pt idx="6">
                  <c:v>8.8117555866527711E-2</c:v>
                </c:pt>
                <c:pt idx="7">
                  <c:v>8.567501661611665E-2</c:v>
                </c:pt>
                <c:pt idx="8">
                  <c:v>9.581293072735432E-2</c:v>
                </c:pt>
                <c:pt idx="9">
                  <c:v>7.3126890749202145E-2</c:v>
                </c:pt>
                <c:pt idx="10">
                  <c:v>0.11846830957648022</c:v>
                </c:pt>
              </c:numCache>
            </c:numRef>
          </c:val>
          <c:smooth val="0"/>
          <c:extLst>
            <c:ext xmlns:c16="http://schemas.microsoft.com/office/drawing/2014/chart" uri="{C3380CC4-5D6E-409C-BE32-E72D297353CC}">
              <c16:uniqueId val="{00000001-50F9-4237-AFE0-0BDA5FCC88C5}"/>
            </c:ext>
          </c:extLst>
        </c:ser>
        <c:dLbls>
          <c:showLegendKey val="0"/>
          <c:showVal val="0"/>
          <c:showCatName val="0"/>
          <c:showSerName val="0"/>
          <c:showPercent val="0"/>
          <c:showBubbleSize val="0"/>
        </c:dLbls>
        <c:marker val="1"/>
        <c:smooth val="0"/>
        <c:axId val="727671727"/>
        <c:axId val="727681327"/>
      </c:lineChart>
      <c:catAx>
        <c:axId val="7276664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7667887"/>
        <c:crosses val="autoZero"/>
        <c:auto val="1"/>
        <c:lblAlgn val="ctr"/>
        <c:lblOffset val="100"/>
        <c:noMultiLvlLbl val="0"/>
      </c:catAx>
      <c:valAx>
        <c:axId val="727667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7666447"/>
        <c:crosses val="autoZero"/>
        <c:crossBetween val="between"/>
      </c:valAx>
      <c:valAx>
        <c:axId val="727681327"/>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27671727"/>
        <c:crosses val="max"/>
        <c:crossBetween val="between"/>
      </c:valAx>
      <c:catAx>
        <c:axId val="727671727"/>
        <c:scaling>
          <c:orientation val="minMax"/>
        </c:scaling>
        <c:delete val="1"/>
        <c:axPos val="b"/>
        <c:numFmt formatCode="General" sourceLinked="1"/>
        <c:majorTickMark val="none"/>
        <c:minorTickMark val="none"/>
        <c:tickLblPos val="nextTo"/>
        <c:crossAx val="72768132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2489959839357429"/>
          <c:y val="0.14322916666666666"/>
          <c:w val="0.6606425702811245"/>
          <c:h val="0.85677083333333337"/>
        </c:manualLayout>
      </c:layout>
      <c:doughnutChart>
        <c:varyColors val="1"/>
        <c:ser>
          <c:idx val="0"/>
          <c:order val="0"/>
          <c:tx>
            <c:strRef>
              <c:f>KPI!$P$28</c:f>
              <c:strCache>
                <c:ptCount val="1"/>
                <c:pt idx="0">
                  <c:v>Sum of Profit</c:v>
                </c:pt>
              </c:strCache>
            </c:strRef>
          </c:tx>
          <c:explosion val="9"/>
          <c:dPt>
            <c:idx val="0"/>
            <c:bubble3D val="0"/>
            <c:spPr>
              <a:solidFill>
                <a:schemeClr val="accent1">
                  <a:tint val="42000"/>
                </a:schemeClr>
              </a:solidFill>
              <a:ln w="19050">
                <a:solidFill>
                  <a:schemeClr val="lt1"/>
                </a:solidFill>
              </a:ln>
              <a:effectLst/>
            </c:spPr>
            <c:extLst>
              <c:ext xmlns:c16="http://schemas.microsoft.com/office/drawing/2014/chart" uri="{C3380CC4-5D6E-409C-BE32-E72D297353CC}">
                <c16:uniqueId val="{00000001-D655-4D16-94A8-D4B01EF47126}"/>
              </c:ext>
            </c:extLst>
          </c:dPt>
          <c:dPt>
            <c:idx val="1"/>
            <c:bubble3D val="0"/>
            <c:spPr>
              <a:solidFill>
                <a:schemeClr val="accent1">
                  <a:tint val="54000"/>
                </a:schemeClr>
              </a:solidFill>
              <a:ln w="19050">
                <a:solidFill>
                  <a:schemeClr val="lt1"/>
                </a:solidFill>
              </a:ln>
              <a:effectLst/>
            </c:spPr>
            <c:extLst>
              <c:ext xmlns:c16="http://schemas.microsoft.com/office/drawing/2014/chart" uri="{C3380CC4-5D6E-409C-BE32-E72D297353CC}">
                <c16:uniqueId val="{00000003-D655-4D16-94A8-D4B01EF47126}"/>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D655-4D16-94A8-D4B01EF47126}"/>
              </c:ext>
            </c:extLst>
          </c:dPt>
          <c:dPt>
            <c:idx val="3"/>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D655-4D16-94A8-D4B01EF47126}"/>
              </c:ext>
            </c:extLst>
          </c:dPt>
          <c:dPt>
            <c:idx val="4"/>
            <c:bubble3D val="0"/>
            <c:spPr>
              <a:solidFill>
                <a:schemeClr val="accent1">
                  <a:tint val="89000"/>
                </a:schemeClr>
              </a:solidFill>
              <a:ln w="19050">
                <a:solidFill>
                  <a:schemeClr val="lt1"/>
                </a:solidFill>
              </a:ln>
              <a:effectLst/>
            </c:spPr>
            <c:extLst>
              <c:ext xmlns:c16="http://schemas.microsoft.com/office/drawing/2014/chart" uri="{C3380CC4-5D6E-409C-BE32-E72D297353CC}">
                <c16:uniqueId val="{00000009-D655-4D16-94A8-D4B01EF47126}"/>
              </c:ext>
            </c:extLst>
          </c:dPt>
          <c:dPt>
            <c:idx val="5"/>
            <c:bubble3D val="0"/>
            <c:spPr>
              <a:solidFill>
                <a:schemeClr val="accent1"/>
              </a:solidFill>
              <a:ln w="19050">
                <a:solidFill>
                  <a:schemeClr val="lt1"/>
                </a:solidFill>
              </a:ln>
              <a:effectLst/>
            </c:spPr>
            <c:extLst>
              <c:ext xmlns:c16="http://schemas.microsoft.com/office/drawing/2014/chart" uri="{C3380CC4-5D6E-409C-BE32-E72D297353CC}">
                <c16:uniqueId val="{0000000B-D655-4D16-94A8-D4B01EF47126}"/>
              </c:ext>
            </c:extLst>
          </c:dPt>
          <c:dPt>
            <c:idx val="6"/>
            <c:bubble3D val="0"/>
            <c:spPr>
              <a:solidFill>
                <a:schemeClr val="accent1">
                  <a:shade val="88000"/>
                </a:schemeClr>
              </a:solidFill>
              <a:ln w="19050">
                <a:solidFill>
                  <a:schemeClr val="lt1"/>
                </a:solidFill>
              </a:ln>
              <a:effectLst/>
            </c:spPr>
            <c:extLst>
              <c:ext xmlns:c16="http://schemas.microsoft.com/office/drawing/2014/chart" uri="{C3380CC4-5D6E-409C-BE32-E72D297353CC}">
                <c16:uniqueId val="{0000000D-D655-4D16-94A8-D4B01EF47126}"/>
              </c:ext>
            </c:extLst>
          </c:dPt>
          <c:dPt>
            <c:idx val="7"/>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F-D655-4D16-94A8-D4B01EF47126}"/>
              </c:ext>
            </c:extLst>
          </c:dPt>
          <c:dPt>
            <c:idx val="8"/>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11-D655-4D16-94A8-D4B01EF47126}"/>
              </c:ext>
            </c:extLst>
          </c:dPt>
          <c:dPt>
            <c:idx val="9"/>
            <c:bubble3D val="0"/>
            <c:spPr>
              <a:solidFill>
                <a:schemeClr val="accent1">
                  <a:shade val="53000"/>
                </a:schemeClr>
              </a:solidFill>
              <a:ln w="19050">
                <a:solidFill>
                  <a:schemeClr val="lt1"/>
                </a:solidFill>
              </a:ln>
              <a:effectLst/>
            </c:spPr>
            <c:extLst>
              <c:ext xmlns:c16="http://schemas.microsoft.com/office/drawing/2014/chart" uri="{C3380CC4-5D6E-409C-BE32-E72D297353CC}">
                <c16:uniqueId val="{00000013-D655-4D16-94A8-D4B01EF47126}"/>
              </c:ext>
            </c:extLst>
          </c:dPt>
          <c:dPt>
            <c:idx val="10"/>
            <c:bubble3D val="0"/>
            <c:spPr>
              <a:solidFill>
                <a:schemeClr val="accent1">
                  <a:shade val="41000"/>
                </a:schemeClr>
              </a:solidFill>
              <a:ln w="19050">
                <a:solidFill>
                  <a:schemeClr val="lt1"/>
                </a:solidFill>
              </a:ln>
              <a:effectLst/>
            </c:spPr>
            <c:extLst>
              <c:ext xmlns:c16="http://schemas.microsoft.com/office/drawing/2014/chart" uri="{C3380CC4-5D6E-409C-BE32-E72D297353CC}">
                <c16:uniqueId val="{00000015-D655-4D16-94A8-D4B01EF47126}"/>
              </c:ext>
            </c:extLst>
          </c:dPt>
          <c:dLbls>
            <c:dLbl>
              <c:idx val="0"/>
              <c:tx>
                <c:rich>
                  <a:bodyPr/>
                  <a:lstStyle/>
                  <a:p>
                    <a:fld id="{EBBCC971-970C-439A-828A-18D763B7EB0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655-4D16-94A8-D4B01EF47126}"/>
                </c:ext>
              </c:extLst>
            </c:dLbl>
            <c:dLbl>
              <c:idx val="1"/>
              <c:tx>
                <c:rich>
                  <a:bodyPr/>
                  <a:lstStyle/>
                  <a:p>
                    <a:fld id="{D7D362F9-DBE4-4A6F-BA37-17FF19CAFD16}"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655-4D16-94A8-D4B01EF47126}"/>
                </c:ext>
              </c:extLst>
            </c:dLbl>
            <c:dLbl>
              <c:idx val="2"/>
              <c:tx>
                <c:rich>
                  <a:bodyPr/>
                  <a:lstStyle/>
                  <a:p>
                    <a:fld id="{9F47CAE3-10B3-4EE6-96C8-FCA01591E015}"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655-4D16-94A8-D4B01EF47126}"/>
                </c:ext>
              </c:extLst>
            </c:dLbl>
            <c:dLbl>
              <c:idx val="3"/>
              <c:tx>
                <c:rich>
                  <a:bodyPr/>
                  <a:lstStyle/>
                  <a:p>
                    <a:fld id="{E919BCE8-8AEC-4D4D-B058-D565376E0952}"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655-4D16-94A8-D4B01EF47126}"/>
                </c:ext>
              </c:extLst>
            </c:dLbl>
            <c:dLbl>
              <c:idx val="4"/>
              <c:tx>
                <c:rich>
                  <a:bodyPr/>
                  <a:lstStyle/>
                  <a:p>
                    <a:fld id="{0F35C908-3F8A-4898-9A48-8CF4724B6B02}"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655-4D16-94A8-D4B01EF47126}"/>
                </c:ext>
              </c:extLst>
            </c:dLbl>
            <c:dLbl>
              <c:idx val="5"/>
              <c:tx>
                <c:rich>
                  <a:bodyPr/>
                  <a:lstStyle/>
                  <a:p>
                    <a:fld id="{4DE420A7-52E0-4F6B-8A74-3C3A94168486}"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655-4D16-94A8-D4B01EF47126}"/>
                </c:ext>
              </c:extLst>
            </c:dLbl>
            <c:dLbl>
              <c:idx val="6"/>
              <c:tx>
                <c:rich>
                  <a:bodyPr/>
                  <a:lstStyle/>
                  <a:p>
                    <a:fld id="{EA79C4EF-0CC6-45E8-A0FB-4F18702B9007}"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655-4D16-94A8-D4B01EF47126}"/>
                </c:ext>
              </c:extLst>
            </c:dLbl>
            <c:dLbl>
              <c:idx val="7"/>
              <c:tx>
                <c:rich>
                  <a:bodyPr/>
                  <a:lstStyle/>
                  <a:p>
                    <a:fld id="{17F135FD-6B7A-4010-8997-B705D57A36B9}"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655-4D16-94A8-D4B01EF47126}"/>
                </c:ext>
              </c:extLst>
            </c:dLbl>
            <c:dLbl>
              <c:idx val="8"/>
              <c:tx>
                <c:rich>
                  <a:bodyPr/>
                  <a:lstStyle/>
                  <a:p>
                    <a:fld id="{6AC8188A-954B-4741-882D-14AF1A2D86E5}"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D655-4D16-94A8-D4B01EF47126}"/>
                </c:ext>
              </c:extLst>
            </c:dLbl>
            <c:dLbl>
              <c:idx val="9"/>
              <c:tx>
                <c:rich>
                  <a:bodyPr/>
                  <a:lstStyle/>
                  <a:p>
                    <a:fld id="{C786E63D-ACAD-4288-AB81-2B2EAAD1F990}"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D655-4D16-94A8-D4B01EF47126}"/>
                </c:ext>
              </c:extLst>
            </c:dLbl>
            <c:dLbl>
              <c:idx val="10"/>
              <c:tx>
                <c:rich>
                  <a:bodyPr/>
                  <a:lstStyle/>
                  <a:p>
                    <a:fld id="{D5C26FCF-8594-411A-9FF0-A3EEA0E9384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D655-4D16-94A8-D4B01EF4712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cat>
            <c:strRef>
              <c:f>KPI!$O$29:$O$39</c:f>
              <c:strCache>
                <c:ptCount val="11"/>
                <c:pt idx="0">
                  <c:v>Car accessories</c:v>
                </c:pt>
                <c:pt idx="1">
                  <c:v>CHAIR</c:v>
                </c:pt>
                <c:pt idx="2">
                  <c:v>Earbuds</c:v>
                </c:pt>
                <c:pt idx="3">
                  <c:v>Home décor</c:v>
                </c:pt>
                <c:pt idx="4">
                  <c:v>Laptop</c:v>
                </c:pt>
                <c:pt idx="5">
                  <c:v>Male dress</c:v>
                </c:pt>
                <c:pt idx="6">
                  <c:v>Saree</c:v>
                </c:pt>
                <c:pt idx="7">
                  <c:v>Speaker</c:v>
                </c:pt>
                <c:pt idx="8">
                  <c:v>Suit</c:v>
                </c:pt>
                <c:pt idx="9">
                  <c:v>TV</c:v>
                </c:pt>
                <c:pt idx="10">
                  <c:v>Women dress</c:v>
                </c:pt>
              </c:strCache>
            </c:strRef>
          </c:cat>
          <c:val>
            <c:numRef>
              <c:f>KPI!$P$29:$P$39</c:f>
              <c:numCache>
                <c:formatCode>General</c:formatCode>
                <c:ptCount val="11"/>
                <c:pt idx="0">
                  <c:v>302517</c:v>
                </c:pt>
                <c:pt idx="1">
                  <c:v>39308</c:v>
                </c:pt>
                <c:pt idx="2">
                  <c:v>175093</c:v>
                </c:pt>
                <c:pt idx="3">
                  <c:v>961505</c:v>
                </c:pt>
                <c:pt idx="4">
                  <c:v>1545402</c:v>
                </c:pt>
                <c:pt idx="5">
                  <c:v>1153155</c:v>
                </c:pt>
                <c:pt idx="6">
                  <c:v>6353495</c:v>
                </c:pt>
                <c:pt idx="7">
                  <c:v>380946</c:v>
                </c:pt>
                <c:pt idx="8">
                  <c:v>5033368</c:v>
                </c:pt>
                <c:pt idx="9">
                  <c:v>827105</c:v>
                </c:pt>
                <c:pt idx="10">
                  <c:v>590111</c:v>
                </c:pt>
              </c:numCache>
            </c:numRef>
          </c:val>
          <c:extLst>
            <c:ext xmlns:c15="http://schemas.microsoft.com/office/drawing/2012/chart" uri="{02D57815-91ED-43cb-92C2-25804820EDAC}">
              <c15:datalabelsRange>
                <c15:f>KPI!$Q$29:$Q$39</c15:f>
                <c15:dlblRangeCache>
                  <c:ptCount val="11"/>
                  <c:pt idx="0">
                    <c:v>2%</c:v>
                  </c:pt>
                  <c:pt idx="1">
                    <c:v>0%</c:v>
                  </c:pt>
                  <c:pt idx="2">
                    <c:v>1%</c:v>
                  </c:pt>
                  <c:pt idx="3">
                    <c:v>5%</c:v>
                  </c:pt>
                  <c:pt idx="4">
                    <c:v>9%</c:v>
                  </c:pt>
                  <c:pt idx="5">
                    <c:v>7%</c:v>
                  </c:pt>
                  <c:pt idx="6">
                    <c:v>36%</c:v>
                  </c:pt>
                  <c:pt idx="7">
                    <c:v>2%</c:v>
                  </c:pt>
                  <c:pt idx="8">
                    <c:v>29%</c:v>
                  </c:pt>
                  <c:pt idx="9">
                    <c:v>5%</c:v>
                  </c:pt>
                  <c:pt idx="10">
                    <c:v>4%</c:v>
                  </c:pt>
                </c15:dlblRangeCache>
              </c15:datalabelsRange>
            </c:ext>
            <c:ext xmlns:c16="http://schemas.microsoft.com/office/drawing/2014/chart" uri="{C3380CC4-5D6E-409C-BE32-E72D297353CC}">
              <c16:uniqueId val="{00000016-D655-4D16-94A8-D4B01EF47126}"/>
            </c:ext>
          </c:extLst>
        </c:ser>
        <c:dLbls>
          <c:showLegendKey val="0"/>
          <c:showVal val="0"/>
          <c:showCatName val="0"/>
          <c:showSerName val="0"/>
          <c:showPercent val="0"/>
          <c:showBubbleSize val="0"/>
          <c:showLeaderLines val="0"/>
        </c:dLbls>
        <c:firstSliceAng val="3"/>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12700"/>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data id="1">
      <cx:strDim type="cat">
        <cx:f>_xlchart.v1.0</cx:f>
      </cx:strDim>
      <cx:numDim type="size">
        <cx:f>_xlchart.v1.4</cx:f>
      </cx:numDim>
    </cx:data>
  </cx:chartData>
  <cx:chart>
    <cx:plotArea>
      <cx:plotAreaRegion>
        <cx:series layoutId="treemap" uniqueId="{CED649B1-DBEF-44A6-9B71-2D5CFD972715}" formatIdx="0">
          <cx:tx>
            <cx:txData>
              <cx:f>_xlchart.v1.1</cx:f>
              <cx:v>Sum of Profit</cx:v>
            </cx:txData>
          </cx:tx>
          <cx:dataLabels pos="inEnd">
            <cx:spPr>
              <a:noFill/>
              <a:ln>
                <a:noFill/>
              </a:ln>
            </cx:spPr>
            <cx:visibility seriesName="0" categoryName="1" value="1"/>
            <cx:separator>, </cx:separator>
          </cx:dataLabels>
          <cx:dataId val="0"/>
          <cx:layoutPr>
            <cx:parentLabelLayout val="overlapping"/>
          </cx:layoutPr>
        </cx:series>
        <cx:series layoutId="treemap" hidden="1" uniqueId="{25DF03AF-CF72-40B8-894E-B6A82DB08E9C}" formatIdx="1">
          <cx:tx>
            <cx:txData>
              <cx:f>_xlchart.v1.3</cx:f>
              <cx:v>Sum of Sale Price</cx:v>
            </cx:txData>
          </cx:tx>
          <cx:dataLabels pos="inEnd">
            <cx:visibility seriesName="0" categoryName="1" value="0"/>
          </cx:dataLabels>
          <cx:dataId val="1"/>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_xlchart.v5.9</cx:f>
        <cx:nf>_xlchart.v5.8</cx:nf>
      </cx:numDim>
    </cx:data>
  </cx:chartData>
  <cx:chart>
    <cx:plotArea>
      <cx:plotAreaRegion>
        <cx:plotSurface>
          <cx:spPr>
            <a:noFill/>
            <a:ln>
              <a:noFill/>
            </a:ln>
            <a:effectLst>
              <a:softEdge rad="139700"/>
            </a:effectLst>
          </cx:spPr>
        </cx:plotSurface>
        <cx:series layoutId="regionMap" uniqueId="{D4D8837A-ABA4-40E0-8ACA-B248B953FCD2}">
          <cx:tx>
            <cx:txData>
              <cx:f>_xlchart.v5.8</cx:f>
              <cx:v>Sum of Sale Price</cx:v>
            </cx:txData>
          </cx:tx>
          <cx:spPr>
            <a:solidFill>
              <a:schemeClr val="bg1">
                <a:lumMod val="85000"/>
              </a:schemeClr>
            </a:solidFill>
          </cx:spPr>
          <cx:dataId val="0"/>
          <cx:layoutPr>
            <cx:geography cultureLanguage="en-US" cultureRegion="IN" attribution="Powered by Bing">
              <cx:geoCache provider="{E9337A44-BEBE-4D9F-B70C-5C5E7DAFC167}">
                <cx:binary>1H1pb9y4svZfCfL5lYf7cnDmAFfdbdmOndiJs80XwZM42leKkqhff6tjJ2NznDijkwu8MQIEtlpU
qYpPVbHqIfvfH+Z/fSivr/onc1XW5l8f5t+fpsPQ/uu338yH9Lq6MgdV9qFvTPNpOPjQVL81nz5l
H65/+9hfTVmd/EYQZr99SK/64Xp++p9/w2jJdXPafLgasqa+sNe9e3ltbDmY71x78NKTq49VVm8z
M/TZhwH//vR/6o9pf/XkvL/6eG3Sp0+u6yEb3KVrr39/eu+zT5/85o/4t6c/KUHAwX6EezE/kJxz
rDTSNz9Pn5RNndxelvpAC84w1+zmKv3y6OdXFdz+42J9Furq48f+2hh4u8////3+e68Cl8+fPvnQ
2HrYKzIBnf7+9Lj+mF09fZKZZnNzYdPs3+P4+ecX/+2+Cf7zb+8PoArvL3es5OvtsUt/N5IxV9UX
Bf33tiHigHJGlQbrPGAbTQ4UkRwMRx+2zWPSfMMkN7f5lnj1S1kizACUP9ES/EBIrTjmFH3+wfdQ
ouAy0kIwTb488wYej4rxsAlub/NMEL78pUywvS7T7Is6fgIY1IFglGokxEMmkPIAY84k2OgGDOLL
o28s8ag0D1vi9jbPEtvTX8oSz676+mq4KsBt/rSwwQ4kRowwRh60hjjAABiAy8Ou6Ycketgid271
rPLsf34pq2zSKwhlyVX/E6M5RQeSaAga6mGQiAOpEMeSyxuQsC8z4gYkPybSw3a5e69nmM3RL2aY
9GoYMvNzTUPwARFCMc0fRIwiB4hhCOfICyGb9Mek+ZZV7t7t2+Xyl7LLy6v8ygyAmi+T9icEFXHA
FaMAF3XjxkD5d7NfeqA4wlqoWzfGvzz6Bi8/JNHDhrlzq2eVlye/lFXObZ1f/flFL/+9ScCFKUZg
wUHkfVvwA4bBTBrd+i5vJfK4HA8b4st9nhXOw1/KCs+u+6vyZ8Z3dMCYVlJKCBF3ESEOGFJEgCm+
AuYmp7hBxONyPGyFL/d5Vnj2ayVakc2v+qvh54GBkAOhicDyG2kWPuBaIgGZ74NJ7w/I87A5vt7o
2SP6tXzTUVZdQXWm/PllE4oPNKEcAvqD0RxWI4QKgumXuOKtRv6JYA9b6O8jeKY6+rVKJyewXi/2
GfFPBA89EFxgor9Eb3XPlcGinYMfo0TcVlfA0911ZT8k0cPGuXOrZ5WTXysVPrv6mLr/g6ojoQec
KliH8Nu86349RaoDopQWlN4u5r1Y/+NiPWwf/37PSGe/FnTOrgA7VyYd+p+ZAOgDBisVRaG++PnH
sxAs8JHSlNyWhbWXGf+gTN8yz50X8m3zawHo8qrKyifPrz7aL87lv8+QMT5AWGCE1H2HBqhhSCKC
OGTOdz3ZjwnxsC3u3uuZ4hJK7r9Qcf7yuryqk6v6Z4JEHoD/EhwK9PdCC3RNENL7tf4tPODyPYP8
iCjfsMdft/rmiH4pc7weBmi7/fR+FvRMPidmGPDxgN9SCIK+oJx8yQm8yPLDUj1sHe92z0Kvf624
8vllrn5yUgbLe0i5EJTCxM2S5W/IAf9FIWe7uerHlR+U6TvW+fJCvm2e/VLoeXtthifhNfiz8otr
+e8DC2Rlat/rRfJ+6UXJAy2J0Oy2CuYb5QeFedgo9272jPL2/+8izMPB78bR31jj3if+YWce1v7g
p5jG9G8QoYJKBJXJrx7ubnC5bZB/W4yH7XB72z2J/4+77d/uxH9lLGyhb7X7THW404z//tXPrwc0
DO/W2wD8IEpudHX8EegQCBMiqb5jq/0496L32XUCNYUr9zWRuH/jNRSpf38Kzfl9LZ8KjjGhiAkY
cgLQ/v5U6QOFIQgJDPW12yt10w/p708heCEBT9daKjCx2APNNPbzJX6wz+ywJnyfb0gtv/JNzpvS
JU39VSu3vz+pbXXeZPVgYGAKiG5vPreXFrpAAjFI7qFrrRgMxmCOtR+uXgKpBT6O/5+N00HxSoqj
XvcsOSJdIeZQ0WXuQ6yz9ONclOXJIOa5PeZU2FcMO5XsxITz5TDRMX3d5Xl1XA9CFNtWFOMcVlkw
xRs+DXMXVUFKX2sj6Vk8TehFFQR8OKe8FnQjZ61syBjL9ZFpGlVEyKmuPUVBMx87U9UbzpM02al4
SC4NlzEKx6AcNtbi4FJj2z1TVtp3LZvLsM6V3mFUFpuuVi/R0mfbkaLnzjVjqIu2q8PCjP2Hruza
aZNTU3UbeNnkFOVGD2HP8HLKU9OW24mlaQhEHhWxpayOpO2rFx3JyFHM1bxN+EKPXOayI8I6vakD
NyebqnTiYkqpvlSNVtGEi+msVaXe5K4aQ6op2tG+asPS6npDUrEhIyPtm7FRk30ZN3Mrw840L7EO
WrWZ2sxVuwayFnRKSJwlJ1M9jRfdWAq3SeqGJaddNuRTFKtxpOE8lUkR6rqbk63B8dxuk4DWKnRN
PoyHCXbGheWoA3yxQOXQvegTJeoLzFCQhAvq4v6oyIM+Pk5bhZdjiwaRn8TjpOm2yWM87qwVfDmk
Y1q+G0vS8QtV9QM5xItSKixTwooNsaRwIV3MaA9jYcZIDij9iJo2kZuqrXRU9xa/4fGk+22CkuSw
yc0nrednNpi6c1Irctr0ri1CioKjYFbjOyn6OUxRfD7NtQhFNw1JOMyVPqP9tK1cl13grECHApVV
2JRxPocdR1NkWG0+0mqURw0J0izKxiXD27JB3bYQrbrkMo+D0MlGuG2VDepViQN3OsXZsmFzxvcU
rPLVULhua6kuQ93UaVQktDlBsq62gdHJDmXqxPZO79yCl8u4zvDh2DX8RIichmkeRFmN0YtE2U3R
GPPKsTzbpFiYF0GC48OpmJIqHKhlISt7V4RNk8oq7Cr4e9QEU3nKJVFbGKvfuqqsTvuO4SLEOcsu
YbbaZw2iON8g0rgpdDrLj11STG3YxHZbWSzCsk3scTJOxQut4vH9ALaNw6SJsdkkZHZJ6KZ5RuES
TNO279M6rCr5Zs6y6qJzTdRMebnrNFreVPmYfeQkmHa9ku2ryiYmkqnNQe+5i0SedO+lHthxGSz2
rB3cdWNtW4WtI9VOzfFwVAR5fih6GRTv2mASr6bG4WKD00L+0boBmx2qBDueyjE4nOfZbjPS0p0I
iN3xsbOHqOu7aNFy2vQzLzcVpsVhOedow/qkPCp1cIKqQYCHqeYzwZF9FyMz0dAk5XmiaXdi2rw+
6VyqXyS0i6/YNMbD5i5r7J4j/dC0rs+S9Ja79/XX/1w2Ffz7TCP764976t9fv5194Qx+91PRdbNv
mhj/Q/uw+HWsvwhr+zj0lb3mBbcbluE3It93L94Li/eC/5e88nN0w7BO+sor/FtEvJdyfP38bSCU
0LfDknJOmQBOyF+BUKgDrCGiASNBQ08JZvHTJ7eBkMoDSEIh0AkkNIUaFNRmbwMhUBggdFGInURC
F0oD5erLe9+zH2QADwRCGOdOGAwIZpJBFXIfaO+GPxPPcVNkWhyleKv5CzNC4+Pr+/+DcffPuxNW
NclGYcpZ7gaelmm4LM69TYmYb9iLN+TFfzA8WOXu8DlAC8Bcy13ad33/chILSi6TeWk+fV98aE88
qBZoh98dX1dLoWwRix2kIWa5aHGlUZjSnOMQMVSRkNFuiA+//7Bv2QDMf/dhBmyfT0ktdrOhioYK
0aQPGyfUH98f/36q85eN0f3xpe5Qm2sndha37AzjiVWvJpQjcerUUM9RIBfRhxBZ2pfff+A3XkhB
ynf3hVqF2lHuHziWWs4nTWpju2HGptnu+w/YD/RX8vb1jfb1v7sPUNkyocFSvpsKI6cT4WhMNm1h
SHrKizQnZ9gWFpIh09VOhqhkuDtEdTr2R99//jemh/CeX+lx4rlNZFSVpotfyqrq7BvaLRqdDEGq
5QXkqVQcf/9heG+nh952b9c7WGplZQpuHN/ZJBm7jSIqkhR/agvaTUXYJdNYhdbJ4LSZElzsLIFs
sg6DRJEK2sor0Kz2ergjQZlAKlfyCfStCN/Qvvkk+ZQ9osxvzRbPBTXgFiblBr5zzsh3qHFNGI82
f7FOdM8RlSrPhKE93xU0y64RMNxP6yAr7E1A/KeOSHmOCNIW3nYp57tykOMbPHUsnONFrnNzynND
fTnlbQt5525ogmXZoTkY+61om0auFN9zPWROsHJlDq6nYTbfOCFmFnaQbuvtKvULz/eUPRXYzbmM
+qCdomTArAwTqpKPq4ZX3vAkd0HdmDaI6sZJcW4y6A69qYYh+LRqfOl5MqOQRdPMVbQ0uNq5hAV9
OGeF6R/R/36OPwBt6TkS3RSstMTFkP+qpTqcetyOu3JyONt2Wcr0ysd4HoSyJlZTG8hoGCwZjmrR
1Gi31Licd202TPM6JEvPTXTN2MV0rlTUkmK5LHqXvqhhcX/5fVt8S1een5iKWeEJUqiIBHO2K00v
6WnCXNO9Lbgq5kdUtfcLD1lk//c7ri5VSVtA1q+ivmTuOKgW9EInuC+hQrfCk0p6f/gmzhwC5YjI
yo7MIcpn9l4sTbtbN7znMOwom33JQ0RjCRYYyqTaMRvIdqX0nruwGa1d6XKoDpixABs4NQehQS5b
Vj7Aw3OhA97pGbSvcdXVxy3mNazCcrlM56sUtE/C75pXEkcNDmYRaZNmb6Qy5nzOks6tk194QJOu
B+I+9CWjlrIhOxoWOuswLaoJrYOY8CA2Z64TA+llVJikZcemIqMKc8v6x6Lx3vM8MP+FhzKX5Amq
JjBxF7u23+YJlfK8CpZRnCRDXBW7OSGufldWiv5h62SqV2Y5wgNeOSexbJYJXGGpyvYkDUwsYeFQ
aMga1TDlbAjrIV/GTZaKtjos5iWRW8Em2rwaoXBjVyrYA6iLRSBVEcRRJQO7pdkkIyVL+sj8wHuk
PKRecn/+8XGYs450OqJQpWt2C47HYcfjZSmPWk2le5GYqvnUBmyqjtiiav58ppTUZ0Qqlb9TBeH8
EVG+4eiEh2VV57xtpoxFrYwN3YhFX7fzPHXr/Cj3gGZxL1SeJyxK2lm95xB+nhsUVOv8HN/P3jte
uqNJnQeB1BEvYSWzsVhVS2iz3plHpsE3YLBnEtx9gMk6x8ncq2hwU0yOFet79OfcYoBESlLUhHW2
r/mQRbTJh7ZaDFmpNw/gdKpLsHIvIqHiyoZtR0wVOsuClS6WewBf2FJ0FopTO9txvBNuTLaLaILt
Kv/KPRSLWKM67+YlMjYZoqWWeSj6Nn/ESXxjznIPnMAFSYMZ1llRTrJqQwacb2PXkJWTysMmLEQa
hbNmiQisG0OU4rd1wh7L9L4lugc3LNoaKvXJEiXSDWfW1QjiZ5dCQXOd4r3ImeZ2aGnvliiIK31M
xrnYxlSxaNXozEMzbUfeQm14iYaYsM1EpQlNhbN1svs9GFWTRY0SzBoMJN0U1I6hKCRb5+iYB+Uc
BT2aYrNEHc7KQ6PrZDNythx+XzN72Dzg0JmH1zrm6bLgYIqmgF/DSrAYD9lQtHU0TFKsfAMPsnSU
Y50X8RRRAO5LPTT5DrOmWLdCZh5khxpylWkRU9QwLo6V5nabu3qlu2EeZPFQlbFachslpmTPsrKS
Z+1crhTdQyxE0rgoMB2ibt+v2fScmI1M5yLdft+43wAt80DL48QUwQKVl7bO5pNiSIZTG8flSlB5
kIX6aDBimw+HvU0m84pOSJUveK9Eum7e7Lu5d4NYgbOxS0YyQ85ml03R8vdOu/qRif8N3eyb83cH
53lQMAV9ll1XpjikxpKw09quFN0DLW1zRuJcjaD54H1PIAGr9RyvMyv1MFu0Sx8ERtyKzkhHQj6K
taL7aOUqtiqF7qGeoGhM9qOb9YrZm+NO5lOgsY1LA6PPuU43VhU2FILkK9XuoTVlXDXQfofRGbnu
MlYeJhk0MlehiXpoLeDoCZUlMLhebBWVUvewNBLzutxg30S5q5h5oDIuXTHu+BBP4YxHEuL2S+Pr
n9b5qIfVKm1J3VBkd/W41OGUZtc2X/A6rRMPp2bph7ZJJ7uripSFgvH3wWjIysE9nKKY99SlwbCT
Haq3Zs6ujF3MysE9mHZGzzlkwnaXC52GIs/K0PZErhzdw6mkeZBkgQbRtcVnBtoj57FMynUtKuLh
dLaM1EAJsdGC4eCTcKmV4NtgCJRZN9+JB1XSzbqybTJGjlV1Hwa05VE7keHDKjgRD6s4i0nfzBVE
1tiUJzo3eGuK3O3WjU7uw8n2cUsTx200aPoHzsmFYfRi3dA+Uo3LK+eCIcrS4Dm4x/eOyJX1NeLh
VEM3X+JaDlE+pWprU37ZFHGzzqDYw2ldmKAH0o6NgmzINmUuTyXp0LrJvmdS3/Vf0BaeWjOrYFeX
88fM4beEV8DVXFF0xB5KVTYlAcRrF8GwZggXYlIROkOTda4XezgdE27TgvVDBIQu9I4BiyYLTbbg
dZkG9oBqu5KgMm5sVDX9sm1m+WeatfFKtXsgjVXWyTHrbcRd7zZV1YLoxWOd1/0gDywO9uSBuzbV
tWBZG1RDBLQ3faZMgs/KIG7frjOrB1EykKGHY5NgOqZxGtJqeidVttKkHkYX1ug8Tgsb9Rx4VljN
78tOna+T28Mom9g8ZRTGDnJzyaw748ycrRoaeQhtpjhOBpoMOxQHwSbI49NsQSvrA8hDKMZtK5eA
BDs4A+dF5eR71btynWtBHkSDFPL0vgGdlGl90STNYVyl6zw58tDJ2snRGYreu2YZj/qJPGN8XQRF
HjBbxwfRtLC2E1VyqpoZuG7xus4n8mCZlcOc7pmOu7Z6vYx2k8s362aIB8lS5327FGBElhZ/9rO+
UItY56f2B1jcRbvtxmJ2kxgiZ3J8ubiBRLmlZrtOcA+RtI7nOs/0EJkAuvukLo50rN+tG9tDZFFm
QDDFKNjxDLLbAIkrBrzNVR4WNgLdVwtM7K4rEYTkNANqLTcs2ALvd1wFHNiqf390ZUY5MD4Gu068
6putgv7yGp0w4Bnfs2aapB3rUjdEVgG/YqKmDXEnLtcN7mFyAvKIc3Vsdjhtj6YS2u0dzYdVMwU2
X92XvLcWFUEJg6uSn1PbfsiY61dqxcOlZtyhTmmz6yt6zmHs2Y5rx/agiadMUjpjKBsDkfzUqiQ/
6dgsVmrFQ2dq2FhCPgsThS8C2L/561KkqxIs2KpwX+OztmwqNCB/pm4AiiqLRbMlkAFlq1wL0x5A
26liMbAohihh7VUwjW+h+fB61VT0yVojpagXFPRibcK3nS2ykMJxe6vyCCgI3ddMn44S6tEzCD7P
57ZBJ/PYrUSo8hCaVxIxmVITqYKelUA43ME5HmSdxn3Kk0164FzacYhQW16woNzkfboqSWHKxycP
apfQykSEcLKZKtxvMMs/rTOnB1AHHQWjqsEAA0C8T8x8kkn+at3QHj7nfogLRYI+cricwrKR3WFd
5euoC8znOjV8qvUI/JoIWkjLtl6a55ICfX+d6B5AbUtMkeKpjxrgp5ShsX3wLBiRe7lueA+eU0DB
KzILFh3dRwMZ3GzUn6uG9hlIAwSetBWNiQqRvJzb9hhV1bp56JOPxlgVIi9ZHy1jl+7GKSHboKw/
rJPbA2e2sNj0c2EinbabgrnnlXos7dzj5O+rKubTjKYA6sFjK/sorUZuw16K/KwT7RxOObFus05+
D6S8qOe6aHgflRn9o0zZ26AtLtcN7UF0BhJiKWTcA/5HczSaHod4ZOtadcxnGCUk5VlPCQjO8Ntq
DOqQBe2bdZL7MXTu2qJHqYk4ydi0W6h1LKxVmRbrgrT0cMrSBHaPqBKm5BxcZBW5zLp1a3EmPYyW
Ge9gwQxDx05fDCh7EVOxqg31eYvb3cS/VC6uutH1EY0rEgWKDBc4mbJV5Fvmk42JHBEfM5iJMVpc
6GBvCGUrGV3MJyxVcxwMs0n7qB5bFKJRHnZTsq46DLse7gf/oWfWMg0qB/f4bHTkWcnndRjyaUp6
Skqbd0kfyTipQ7m4Z7rP1vXNmE9F0jBL0EyKPsLNeE5xd9qjYaXcXgztM+hOiCnoIiPU2wz3F2XR
rVrEMeGBM55ZVSRt3kcCNBNq4IWHnavUOn/o04UGmndB3ugO+jYp7B4kxYUN9LoU1CcJIwTrrJqj
LkoyWuXhBIWKnUWBWKcYn4qU5xpoY7kD3GhXbZQV4mWZoWWdRX0q0phzEQMZbr9jqycbbNhziKTr
uufMpyHZoFYNnxuYLo1mqABf6wqThkqPxaoaDnT472MU+LNIJ3MNuk/SSW5qKJ5Fccy6dX0E5tON
XGGt6qu4jVRgim4zTm31ycLetpWLRp9whCuC2AR7R6M+dWZbJSKHva4pP1wV8HzCkZTzrNCI2siW
gmyQAOI3HFO+0j9yD7FDCdx4Q+sW9m7KZAjxQoqrws11Eq6T3oumc9aLfppBN02aN2E2VK/nEq+L
edwPp6SZqkBa0Hut2iNnkDmcyiY9WiW5zzca6UhdW05tlMd8eYuaODmCI69hl+y64b1VKQU/yYkD
s+o67syhtIqykMeN6FY+wMt+oRlXNHU7guapmY77Xr1Ou3JdbZ75lCNZVARIwH0bSTa8yhJzMRXD
q3WK8bLeJHYTLcuki2St/6ibCYcpY4+RX9nDebtPNOqgZK4CW7UR7XP1h4SmwpEtqnHllPEi64CC
2S2UNxEgVYcCqC9h4AK5W6cYD6q9C6BHX8LofHQ25Lg9KerHWEyfU9AHFjQ+zajLZqDXKdJEoyiS
OIRucQ7ORmZzsUkqnRRHVeumV7Yy5TE1NBDRkKYdv4QtbrI7h/qf6V9pWQnYd5wNzVFe1EyEssyg
GJ/MnUJTuLC8619PHQnsBrmuLq6aNA26jYDEkmwxh1r7TrYWtiKXGKpkGwFd6vnYdoHKIyLnlB3H
TT65DUZQTXgXALPXHWKaG7mlcoYxpzIb4DiETqcGdtuRxR5WhMzL1owVrf+YJWPx+cBEkP9pMO+6
SC1Ej1E/w/tu22HhuxyNXG1qSWCftHAysUcJbhJ9KlQNW7VQt5BXROkpHInoj9vM9EuE4LQBdzhV
5ci2I+wP57tRTgxK2GU6sk1StlUD+azWbqP6jMqwarIeP5vqONfHJcUDixbQ9rThtBiPlyWonvf1
iNiWoXFcwjzu4wW2yOeNXJeF+OyXrs4G4LfrJtJQbAs5yU/TJVm3a4X55BcErwZnobdN5Jo2rrYN
mvJo7mC//rrsj3nevpqZFYWlTSR42kDJKghJQvU6Z+nT1CiLHWTBZRulorqOWfEqltlKpXuOfoQ2
0lwSkJvbODK6PIk5XlfZ/HywyB0iFh+BVoOh/BUROM0hjAMNB1GUuFmpEy8t61FCRQEdxygheR7O
RfdJ5P26jJV6Tj6HvbljLVETWWfb57D9Kztq6FCt88N07/3v6CUVGbI1ESZK+oKdwukmOewrsMP7
VX6Yel6+r5JxHNuxiQqV2De96hboRNRqWKl2b55jONJiCSgYVSQVn3fE1HYJZcCLbrtKfp/qNVTd
FAfp0ETQqPo0teyEB2bdlgtGvMne2qkfOzjgI0qRBh7ZYORcbqjOyad1sntJzci7hY6WtFHZ6UWF
suko9NgVnNOyTvvEm/RTW5cYzQkkCPB1U6GVU77LsmxlguDzvVo5xfmSQAiHHk2/AUaZ2MDpHCha
pxxv2k8Idi/zrG5gJyocGCToyAc4u6UX6/j9zGd7mbxOgMjUgCerrTxJa4r+gDWtW1cKJuQ+aOVc
dUtlIF+FUtZ8HLPYRhINcuWk99YhhMLZP9newedZlWzM1CWhHapq5azxMdvj2c6wTo4CV9PrFNjm
10tlq9sjT/4h85P5pC9OaJ2nedFGXMgxOC50jTcITnPij/QOv7G9n/nEL9gPGseiVHW0lJj2l22R
jc0mljVpt5NpgkvYEfY8CHSZbyGLK/Qm0bAYPUwDzpt11vf5YbCRViCbQ/45uS5Vm6DK4QCKKq3b
ct0y2ieICUQXWLPsPVM84PhZlSWwI9x1bkDr8hOfIrYg28OWVFJHcJJyVsC5UPnEwrxg48ocBXvw
Fmap+prAA5wlQFte7Ftg739Y5Tp8llg5VG7Qdqmjtq/NZk7op2XgawX3kJ10CzamkFUEue1hSYoT
Qsy6EsDnPY53Ij0cZoaSCU4QiQY2mk0RMGg1TMvLdUrxUD2kZZ/gaayj2PZqZ1OShBXPVoZKnyc2
SfiKvRosGmX9HPxZ5RP90AcQblbJ7hPFTM7gpLIaVxGkK8/luDwru+SRs1z28+2BpaLPE0tm6DOK
vqkjM5P0BJe9CuHrAqd1Qcynik2FyNRY0CqihWqSMFeqO0mlrdN1MPUJY0zPDRU1qiLJ63zTaXVU
MOzWxQGfMta3dZLEOqsjzdLp1PQV28ghHy++b9N9cvyQ4r3EU0+FGycM8b1cWAdZMzKJ3pUIN81O
wMKoXpVjUZ+7AwdyxHE79GW09PJPWKifVTJ9+/03eHjq0P1RUncTczYiaA3CdizYIdjEORy6Z8fr
iXbrzgaAc/3uD59BrlyncV1GulUxVHeMOq4Et6sgRfffL3hX+Ibkdl56ED5OUljjY9KGcObDOndA
ff6OFot03ECxA08Ddts6g+bvJq/rfFy1WIQzAO6Lr8YpbiGNKCOcwvF7KkHovIHNU6t8JRSg74/u
RAYr8qkLtglO5uYkRxg9J6TldpX0zCc2KidiOKYzaSJk6dCGMIvyvb9HutmumZoMeQliFWSmG3UG
DpOTV3ZAL+G8wFUThyFP83AkyaBQD7JDyRcOOeyhv7RYXK/yOXBg6X3Nw7mbKiiAqrrDso9fji5o
X9UpX7fFDo56uz96CccpWkRMuU8M1EVbUR4NGVerlE59gmMLJS8UV3vAplAqazp1EbAkW6kYbyln
3VA767ISaCtwrtgGdsR275dSw3mk358xn4sVf/fH1CeWwVdkklkIC95MWA6HlGJc26OsGLv+EBZi
lhzCWXrCbDtezs1p4GBVcNrKvKvew5fVsEMryHIsWeB4qJfYwvEHLiiKF1XNZ7Kpus5lmyVJ4+XP
JnaZPaxbiLkby/P5A60Yeza2+XDisnQ8pLGdYAg4pCINUZWx5TLFsL/lotgfJHFZZ6o1W1iwsQWu
9tMmRcD8fJ63abDAIZzMZGeUxM24KpGkPiEOeI0d2W9I3iUxzp+PutCncHZrsi7AUp8S1wQFb/6X
sy9bllRVu30iI1QU5FbNzJmzr25Wc2NUt2wARUERnv4fua/2yrPWrhN5WxFlOhE+vmY06I6KU7rH
v2k6v+NJ+/q/P+e/3E3XkDjUml5F1IkThFQhFZtm53Qyf1K6uOy5f9oqVxffukaqDWYXp1lDTOO8
mCBdzT1QD9C73Xh7ppzK7uttf8nVNZjMHGY7Wy5OkY7oIRNOHoOW7afbnp7+PSJ0vllRIxJx2qas
q6MmfLZD+qd1+ucUB7Y0f394Erf9KpZVnKhc+w9AVWcvRdfu3/chif7QHPy3n7iKxnHDWZvqWRzM
TgStOwup077cFjTbz70Do+0PRfW/fPJr1BzgCe26Udke4O8txHHN9wTosEgeehWKtAKi+7auErkG
0bUdeifNIrFoYxoB6EY/IxDdmFNd5Oj/O+uJIDiCRsAoTgnGcZa4oyXJ+/+9k/7lS1yD6BgBljOA
g1uLdmb2zKXJj1PBMfen7Sbjm9AFhF1+/b9KxBzPpn3PIsh0QNsPXPf2C5/ZbdRWcrHo+++nG8/n
vvfLcGIst1Bfnoqy6ZLbihVyDaTberQiyZp0pz4rsqPevKoL3t9UxxF2dZBjqhMpmWzqZOvv44aU
2URvXPOrY+xJLM1k8egQskPD56Pq05vqQ2jv/33BPZTKesNFU4s+fWB59DDT27p45FqYC7DCixBu
39R6cPP9YIw9RTn58L83+79cL9cQuiZn3eZJhM2etOag9ZJBQFpmx9uefnVKYy6WJo+j/sR6ox+A
ev08t/42cVhyjaFrKWujLV37k/SpPK7cjnfxLG+DokKk/+8fFALumBuqBWrhwzDXuiseI7aYw23r
cnU8oVg9r4ZMvLYq6/djmrpPehHitqYirCD+/u7dxO0ss5HX4zY/CzmdhmW67RK/htL5bt9b1SKR
knbty3Ed4yrI/A+R998249X53IDOD2D44RCZbSqBGqs0haLwbWt+dUIDRHrMZnUP1pLy1djqaS6b
ZeS3AdIgSP33RefKg3Mhcg6i1RTSspDN8jDtor+NB0mu0XQrHZuRzYTXygWMPd8BBfCHlflPq/Yf
0sBrLF1GQwJxqrY7JT4i20PcqxwEoxZimx+hlDSd+pwHUrJ5U/mBorvmqtmKfIOEpab+OK88ng9B
J236XbE83WBBQHp2UweeZFfnUHJLAilyc+jZvhzzxkLmNxK3zdXINfCGuJQEKaw5EKc6oCzsR1Aq
9z+s679s52uBn9XNkMlh3hw8S0IpYrFUTNwYn7L079stFyuNyLyZQ1CQaHDW/xUv3W38IXINu4mC
VnMjyXpogZivues6mAuAvnXTSbyGTARAn5t+QzBlOv1hFPmguvQ2SiW5Rkx0ChX7pLP10MdLXO46
bQ5NA+jMTW9+DQndozmBCIy9tJMW2557EhfroTPCjPVtP3C128e+t7RIOlbvS0dxW/phHasOFqbk
520/cHXzLFasYWv0elinTh9Ukbla8+ymsQe5xoSifsiJJmo9JBcROpfPkA3I2E1gf/ge/X3Da7Zl
prF4+LZC21uabIbHR3ob4JTkV1dP1q2QZljH9ZAOia6ISIYSHdsfty361dUziQIegaSxhy3tVFnA
6qae9yy+Lcm6RoS2AD7HWUTsYQLMq5zE0j5LRuzbTe9+rUCXOa1JQmd7iDhGcJkI7aH3+W0Lcy1A
1y8umYAKsAcomqavo9rFDxoHdltOfo0GDXnnZrsiRI4jlRWUzSFPlDV/kuC5HMl/uDSvVb5kIuZU
TKQ40kbm22u3ql4dPU3lcswWjVvwpvW/BlM1G2kyGL3AACUtonpL87Ya9/U2MBW51vvSXcOspXh6
2459XQBJVfHJ/7rt1a+CmRjwBYBnXA56177q1TzURjW3xZprMBXXWWxVni+HTazbUXVFWkJhONwW
bK7BVF6h3AiLWw62C/KYGPEpJEN+4ye9imShU1mY0Os56KKDFRIMbCpAUm+D/WOq//c4OTLPLCsa
fYhUtFRD0GNJtL9NuQkM6L8/vclgUJQMVB96O3dVyJWsCkjL33b9XWPA1sSj5QwrquMwjOFjiPX+
NsTjn7TeL3fcP5zYaxRYQ5xLVoCVD/mSgI9yifE6Tf7UI/y3p1/VunC4Qbvac37MIrTOt+jnJMeP
Nx2ka/SXSNKkgaUFO0Lnq5HlFgDws91uvtz2+KtzmsiJTCFe+DHXagSGddhp90gTORa3ndVruS9t
ihWJk+ZHbpJy4Om9jG+8/K7BXxDimq1P8WiVIRW+4CHG2wCJ5Br5BQOFvunYzI/hIn0kXJJVWVe4
8rZFvzqmQyw7G/yU1VDhuhsX/Qrbv9uy1GulrzgHqIgoldUU8IdhjB6zsX9301v/P5AvyAh1Cxmz
OqWrSk6ZluBdd06tn257/tVcb9TJPMh1YsdsSnZonGcmg1+XKv6kJ3g5jP8QAq7xXH0kdFa4hh6V
jsydbbZNPRsG87kDeKqsObcquO7Jhub/o7j+T3XwTz96acX/V6uX+bQZt2GWqBR2N+5VInuZ6oMQ
OHXy2DUwUiznScFBphzJjLt9H/wysvMkNe3UEYX1IFQpg9j8uWt81HwnxAF2N8aAtMIeb/DBuRIF
j54fBU0K/bSZxiX0vEcZm0W5BNlGfRkT3pO2XCzTKIomik9X5nye2u966WATV2aC9epMgoDcc+1R
0LO29vPmlkp4MuwfICHntr7MBVx3IPPt+92MZcLXiGYl99BuF3eJFhTa9Ao9SwsPvn6RK17QsGn8
pFOF3HFgQ/EX3P/wz8s6Z1sN80lImK5YIVFtm0v7U/DrThfUy8SM3yc0bdla7gtsOV2ZF7Ttvo59
JvhP1a4XG8XZh2mBed4CB7ovF5DenQ7K7+UI0ShTOdebRNQMxMnmEDCySQ9R2uymagrsNF5t1Plc
1ekW8vghKTbKj32+BgVe2Dz5O8j4jxWjeqNPQ7z2RR33xJGqY3RGFlaooi4UBHDLfW7pPAK/OUxd
W1uOEotV6JDs7YQ3m8eFlUVKGXgjW39qMoa0EbGEqvUeX2vq+nIpkNmVPImkqlc1pt9mq2jtfNjZ
z7UPnhz1MuXiOSxpQd+6OWXsmdiGkMfQdMXa1jKAo5IduVsTKCIEylb5BIZGge+l+x4+l1UbB97C
Qg+qxsjGVDwFcecp2d2PuVD91FbThmbwmYGBxD8mO9uNr+SYwUmsLaKLDKRc5egisFgCQFtQ0GHr
th48vuU0ndMcjbT0TMVYdKWggh+p6MZqortTCwpYH5ntkllu5iFejTi4BTHqmU7tOnzc97SFM+Wy
Tul6HEhu9mpquyyFSmznZY0eR1d8LSwZpwe+w3302MHZDyakTls080tewBwRGZS1hJCK54TAjlAU
Cz1CYEXsD2PqEnS1YwtttYAxs91acLdib6gFkpNCZC2W649URuDMLBvL9AeWq6Sou8bkww/0QQqJ
Q6OyaavNkE/mWaxxSz8CnjWr4+AZaEJ8iuH1GPIoFY9J50T41Y9yWsGYWaIpe55xaLvDqDufnrVK
hvlzF6kiThHeREvzkqmM6+fYWpH8yIamKXzZtFy1J+e2Lb+Plz6bvgyO+ryC5n0MNnrrSMIh7ZxT
+bOxrhVtKWZR/IAP66w/g10eugrTJdxdoEpM/gmoPlPgP09R9nMali2cVaq9/yhCnCSV7nCSfg4Z
tvldK9LwbHncHuN0LoaXYlkZPcRFr7v3s+j28OrAkUgjTKKhG1DUFyViejbOjuNfApOb7mGgM/Gn
aRpkc5pTniwP6wzv6GrISJZ+LSj8jH8lTjTPoJBH9xgjhZ9gh6hycHkLH9Csieq9D4W7h8nDFu4g
HkS+SN5nvNYSTMd3zHdyfE7apk/ObupXf4jmbtjvuF9iemJ0F/HnmDaied/NvNUVfCUjaCIOMTfg
oSgYkd5vweTLk4mDjc9EUy0/wVmjmV7WnLPuGHdiYrXdhw2x0+XF0h2Bn06Wp5lv9KeEJsBYNejS
uJdujxeEkm7a3YHmk13aOsa0ansQAwSOj027ajBUIra1H7vC8OystNa0tE200B9dxwcN51Yj7FAW
Y9LEMAfKyH42UhlbW5fGUW3NmCblKIPTX4nleIM6j9sEcoY73qKPWrOUwx6Z8TBeJHlKCNoF8Tw7
ENMOuV7ctzT2jsLxrIWDcgUrCPqEdKn93eAIs2qAUauqqHL59NnP8GeEwJFSkDwriQihPzsLluxH
D3+6pSm72bId8T5oN03lYHFNuxId7838dOtG8jd4ZCy4EATUavh7iadcPqS263KAiSMmnYfRpSov
wf0c85PkCReHbWuJ9GWb2CI8uN206GDusH7id3HjkSOCydZ1ZwPjs6iEdW8ffaC5WNK6y+ga1Sbe
El4zH8LwtsSBDHebDY6fVjVFTT27tPGPBM5zr3Fihv4DusipF2UvpeVHqMa39p4LVDDPHl2I4piJ
HvedbZp8Bs476/ZH1caDqKawJLbKNExLwVtYTNM7sOeCSd7bWCiQMcbM2td+j1l6N2FkPDxPULrr
53LzGRxuoCtezm7hyTkh3NiX3MzR+D3t90I+UkkM9tjYKdn9IrII2AkKkm3mMLVFvx3xl+3DIVci
M59goNw196btB3IGiZbKp3VJYYp1QDiStIaXEWl+B0glQ9PcdEMO5+S+bYFtBokJe6SAjtJ9N1iv
7/SgCDDDKTDE8cFouB6Wm/Vj+gG/WbxtSWf3bxKi8eCk87SbsmqG/GJbRYhPTbU3ev8wpNSSu4Jr
cF3ycQRYVW1LEVVerxYub8vkdhBINpZUGCgU3SteN89fdufb/i4a0wyTo74R0fpRqTCN94DudgFZ
0Rj2n7g1zCigkRrHybvLpIbEFelmFp5CzDNlEImDb87FgE8PoVkKR7BHh4A8v8D9wizn2Hbc3u0W
xtmXm3vvoAnQYhmNKS3HKY+hV9eGta3m3nn/jvBdcpjurgU9skwhvpWCuGF5iW1SzN/DYnQ2lNJu
e372GYn35wy7v/symB0eMfgjydS8CLTG3ftCYBHvQzosez2SNbd3uP8j3WJxU7UdXGDMtUie7BTw
MZd2O25OROoTS7xVrxvWbLufByDwXmCy2/VVNnST+QIT6DT/qlLmC1VCISweNVaKyPbXCM3U+BWq
9Rn/PkF5RXyDibVIUV9BEJFUakgHdqeYNR75WxcXdCrnaPW4CuWO6wPZHiRjaZRvrDYQaZg8YKMs
+gFVeZ9VMS714RzWWXxkK/b3QcRO0qrfA+Yvio3Z5zwFLqIivmiGCrVoxmBSOLH1lEqWU7hb77Ga
n3U3d6AcJ5DvPGo+yOmJKO0iWVIwsL4P02z3Y5702faSjPEC/V3MWfnHrBhdd9wknHJe57QjXwoD
l5faZA1aAUUfWfrsR92wY7wMLn3B/ImM76VgJjwkwzhPCJgZzgZg8QCqFScBEdXlqVGS670qsqx9
9UC+RNVOe7W9N8HNIESD95q6CjKGjagYT3r9Igx6TGWnWjkfiAevVh5BUUvgOk7GsV7iJsWX6DuZ
PGWrvji5UnNJfgqgfbu24sWWpzBfnuNkLUXY/eehkFBNKoMC8e+jBrmNvLWGTo/LuCLjqrp2iKpk
gCqcrxDdt5I5SuzndIXswV1LncZ9z/YYaToBgVfb0pMssucerxC/W6fRsgq+8HC09t06nsSOo/41
jxe3HVMmZAJnkgWSZ0nWk6ImEkjM0pAkHDkuIwej87wZzPMK6BSsyBVVTD4K0/iXwl8MUMMSyIMp
ChEfCjjY7LhGkXLUS8gQ9i9mze1Z0DG3H1fZJNv7i693hbb0nH7zsnFb1bguu0O6BiNLARbNhKlb
uexDd9dZDWGNDLxqXLakCsFyuFbDDInWdonTuxb5wGenGHloIaWkSsqH2cA4O6UtNFt1CqPsbKD3
hWv9rwzsn+EpxdFRpzCYwJ/mKF1eYweJV5RAxD62tEgDcqckW163SANJbndWUdDIn9BCB1kbfqIE
auRg8j75pUg/TS5qDyIdqCiV2u3DJiScox0U9GuBbVzl++pg3N70dzCr548rbf19m+zym2+34QMn
cqn6mL6T+aI+5QMfednG2gB2skoh5nKPe+4MfLjbzh897N38Hd3S9o0mu763gy94je1MKxXWsB/H
ZcjvPeCL2ScXFexDKx1QC3VqRxbdNYptTpYNdm4Bmrzv4l+9bbz9lOeU+nLr1V4Ayplsztf9RQ/g
LP0eIJtSLInXcNadZ5OijunJNNQt3ZLofksyEJpBn3bx/dIlDX820W7scQPPP34LVKa04j7b7MOa
6bz9hsxVzYfcplF6p3vdZ4/DvsGIfW3HTZYu0UvxRlap45eZrEQfINPgR0gSGNqdp2jj8mvUwUt4
qHLf530dm6Gz5Zr3SEW5XVlfLRI5iisbEhEiS5/7tf+5FzmZH7d92sIPmFI5pEOdLXLsbomzlety
AGFoOEBFp0lPSyH74d2eoPY/TGNG1NEyxJ0aFU3LzvMFfneYmUrJC0g1Q/4A/CxJ6oTvOT8noE3t
f/XgB6iX1dhCx5Xn7dbdm9mQmJYQFCkwkQpDKv07lMYsRRUMyGZ4MEYaxIVuZC550gpH8oNAseq+
ilzwczZhKkGMcuxrYoiIvinMtFAm71MOl0I0obsKuwPJUtmsG6K7Wda93lS7FJ8pOP32rXCI7V+M
mXk61DmbI9xXzZhH2wfqwrC3ZZSmjJTWNouqeENk+mxCsfu/MtD95a+lB5vtUAyw+nvvZbdzCA7k
0/IKj+dc7Idxg7rrifdROr1SnDJExJgsc4Hw1O0MzcJuBH3/biBx5+6I6ESs6iwsSAFKSSltIQM/
of5AxjfMld/0JReBjYt17wa7LK07cdGK5U2aaNqO0xBZfjaGrzm+WOBuqedU7ts3wXNwkWgnuPlm
nZi3o25jFVVcrMlDP7cNrWbMHu2jH4asxSdhPciABl32atHbjKR0ppCTeVsDVHIhBDA3j1ObzifX
7MX7maTeIjvIQ9AvXkpZLvDTLEEKa1cCf7FimI7eFbmvWliQrudADAq0jq+sNNZNkS7tap15xxLH
ur82WJsUhyDiuKupu9yrZWvgMXHXIM1+7CHNhV1HEkXumwGepg+69dNnXmARamJtlsgy7jFlfjMy
DBGyVB9Hpz1gX5+QByTs3uIKGL47R/oTSoCEf50gcc66Kudt3L/XW951kIROFO3XEpssJ1WBqOpR
zUUgzgXWJf1zMbg4VAsO/CeR5Oogm56OOGrNej/F6GA8oV9B8tdi3Km4d9vCf6AT8wWph00pLFUo
IOATPGLS92PaNt+gZzH0dasQFPthEU/WxsjMAgRG3Fmyoqt08DAcAYI+vuvZQuTTbImRT0uzmodV
62n4Ds9m+zuahTH1vkb4jNnO3sSaXYY7osDdvmfujSKXsHUbZuTqwDXZvZSOqSPIypyWg3YtcgPA
FjaY3RU7+rWIhAb9HTs8OwD6YZFYXDo9IH4vbwLJWJnmQKCf0Urn5pHMxRy9EgYQH0BBbGy380bb
1kp8lNXHBozuZugPe0yKgR2Ggvbv2hne8IcERIH5r31LxVZFHTpX3yB3AAfZJS9Mdhi71KfYmn36
YelRj5z8OJgyHRBAdbmtC1zs2nTtfha5MukbcWu3VV6ZBNUOy+S2l8NWyOhr3yfNj+KSmtwVO1jm
nzzVv62QNkO6y+cEyazKxHrH4QlSVJwu6veU48iWBSw7KtiCxNlB8qz4T/NPkIBF8MUB+pZNhlIG
purHPWWOfdFtxME/7nmDzmDEFZSRjIYUR42kRLn7nE7TTyl3kiDOZd0wvkGpjQ9VunSO3A02879Q
OrfhYZFp81t1MvAcltx+Sx9V57L5U9TENP+dwDIj/4XSskNnZGjzRz4tArEj7nyVtsnsXhfeMA2q
EWZLWUvb+LWPKEU3G6lH/JA7CIoe+bbQtN5tiMlho5vZSqnW/QM0kZPss1749i6KMvO5aFjyCeN2
G05TA77FXTShMN6l2rcDzQoI+oZh05+x5uJhTARgbXSAJzY0TrLpPHWcz1WuR+VKHTXiC5i6eznn
4MlonTn6sOw6emXU7U+Uh644Tg0kRg4y9/tphq3EKdEyPmfwMUbMG4l563ib+xfdTmAPbxv0fsp8
Xhv7wa2QeP0GDQ4UZ8a7rPuC1jBhJd081iF1w4CwwElCJmQcDPzjIrafup0iSSRoJbQtsowhjyAP
y0JUL4DB54e8aNE3cXA8h08JW0J/SnWs3yC/Poj3aTGBBL7DgeF9jxcpSb8leq0Qtr115YLeGHnR
omNZRTRe59M0NW46DnMzdFWaMe1+XLCu52mUSj3sjAWJ3xCReS+SzMkX0jKHhM335FgUOpruAKFk
7h1a0eMBYWIcj0ueD6ZOu00mgMvBufUwuRhBBDow9/gWaEc0Op80ym0H0PLmvX1vom7YqjFfE3kf
RZsKJ8iPhV9RDtukUsIa8qEN047j0xRYDuHig+DZWs2zdfdkSpBwdv344HWXvwd6eQZDAPqO6HNA
qIFkrPkSBcDJjwUYMv4T+kz7hovIxMkvWyxtyuCBIwLaA0auejyPmFD037owG1XhS4HwXogOmTki
ptxU1c2Nhn45xIv4EyTSClZxR/V63qdshkE9fLPhXdpstOjLKIfs4dFxcjmE0bC1LdwVZ1RMCD6i
HoLh7mxByuBlOu1W4hhj3vV7xd3ZnPVi47beoKgdA4mp0ix5mzJkaPXm+NJVLNsouD6WevHWUyi9
1DH05vsvEg2NrFTj2nWf4j0gerRRRJN7yhKVV4qnMq0ndMO2aho3tLZK8PL2th7A44pfMj0vxTsY
gvRb6aECrQ+rb/Kp9GnIkMFwndif0QJXhTIH1YO/g5fNxk6d1479pPij3GeDBJU+5iaRrMokE+mr
bF0M0WSNoqDrjVLvPQj84pgOJla+zEG239DA7MbQolC3aDlgU+9ICuFr3swwo+ameeqmuA/nJIv3
8Ylr9GlLqomDXrrult9xTvruOQ3NCChIE4vxbi22KH0FRY1RnKmFBIf5z+j1Ef6NbjkCXKRVhalK
vv4YnTIRDBKDLc6RRDvlSyzV5QtRFD51snA9gPeHAkw9r+gfigr8CmvWEppDSfoQ0zRHcZnbaLzr
gbPYfrjUc1M3lDb25BCvXb3kWouDJKSY6xSONFaU86J8d0Q1KPlDk0F+DeBLebEHg1vaVA9dz/f7
xsasqMATaXleQ4khxoHqG4V5NkahU3tPt50E5CxWZ3doEkyY1s/I7Ur0YRNRgpsXhnrGNpDHbF+T
+TfrcyEj1A5JZgmc6CFi8pcWSoLPJTAhs7hMFfLErIrkwk801anfzyIpSPEGzWhlHx1K+13jD++z
IUMOspPpJWe93D9H+Gt4VHaJJdN6vKhZoyDdirBlz+ulgn5ooknsSL6Al4XAlG/a9sWrxKBYWVZC
ccAzgZ4VqzBryVGtxkbx8WfvUV0DTuWZin8vdotmJAMsR8E0WdBtN7jVTMu94dNavOQIHi1SxWII
v0SHacS3YXCTOGZtNkYOq6vJCLNkuvTvMqT7OMspZ1l+1EiN5t+dznJXlDbhUGt2LFuLjwn6cz3s
X9D/tz/4kq3iTUfrFL1OLQY+77ZLoQrFAl/ItGLbDF1j0Ob0Is+dwtwLmyTT5LgwFD70AB/FdX4A
KbXNXRUwQ5pQ6fYL61kd59QWD05jkvSI7Lqgj0iLMvNhlINY7llL3HSOVpiZfyNx3MQVveRsx3VS
0VpKlrrocYoh8PQuWs3aI8ZBhr7iyIzHg19VsTz3xoLoovKYbR+DBIqsKmKDIU9P5AiJmaWN7M+C
Gt18JM4g+I/wNxi2cB8F+GsjZYWuoTw73RKPfAoe1FXCdrve+Wnk5G5Bl92dpKAhfkNXMc/ve4FJ
YKVjBQDAAdTNeClq7M2A3taloxYd5yVN14pQNUQlztwT1cZnmDXmkMc4xgmg1fOxjxLMe+iIEY8v
JSzWitLPu87rpWN5dmf3lYc7ne1RPELSLXUrR0+vhVfatPJkeMyTxZi33EBV/Tdrs1U9IrHt2VHm
3co/OIfRTC3bYmjBTgQ49bUfR0kfmlaO4oMrsDAPPi2EuY9XWOo8bXjXFJbjPuSvw8pUe78PCxef
UOj1zVbFK7LluR6mQqFtnUGjrY+rFYdZRxW0P6jXNeaArOBHAWjwRcKYfYWCYWySinMIYKqDwijI
rGckYAsW1rJBL6+4p0c0ngHGwSgNuRv3HwiWHeQqnncifML0pNmPG07ykYfAHlFE0+ghjRqOxI7G
UK9LL2O8Ij3FA6X6JAY2549BTiC5Jqmf7FfXrxyiFWKFdMjRtnr3XZk4mjPMOFOAruLZFFtF0dgw
39QGyfrXCbILJj1epF4T9DT2HO7rxRL4NlRcOSdqr5aLo5w19Dlfmmw8ZyCXu7t51Cup283r8TE1
0KlBizTGvHXyC1uPPZr4SRmZJImOmFHavpZFy1F26tloZEhE9eT7zmDz/tCEdtjfQ5Ihs+i9d80S
fpExJ+0PLaZYnmMCquM5Rtd3fgJBe7EfJSSpkduMebY/Jllk/F9+zgf96H0bGTT49rSoAkc6UqK/
vGK20hsDsN9ss6c1VsZV1sM49LzgFYZ6DWkqKmDjKWbmWXZBNG7FkQNM+iw3OAN/ip1ozdNiQzLe
M9jehcvXZg24Dtx6WLcblg0/0OaLSD3kRaQNxFpRz1RmxG5XB2TWAhckAumlzHeLdi88WjZS+ShK
FhyWYl5Al9D5ZQW5RrsKmcSS8xfDNhmB2d2z/td6uR9/sRVMdcgb5O15nrhPyhjxTn74P/bOrEdy
68rWf8XQc7Oa4yEP0DZwScYcOU+V9UJkVWaRPJzn4dffL2TZLVVbdrfQLxe4kAW4lJWRGQwOe6/9
rbWttjV7rr3YKZrer70Ooz8SE4ui3ERP9dAyHQ28xoqb6NpM3H7achslC3HMy3T86NVcz+dqdQvn
pZ0HYdO8NGo4Lou7zi+eW9TjzSXD0dp3xRD5BWE3jU81Gl/E8noeeeYywLz1lkW6xy7BaXDNoKQg
g4HaeEXaajJUK4fFlbbTv2FcbTwfY5E5bWZRZ6h2bZPcg0kYVEQjS5nvFWQjz0V2bJDdKEcvks9u
rUvg3lJnnjXuyqhtqt5P8fvZfuXBEVgBs+92+EBIihFvEWz0/g21Yk01X/SUr8p3uMv2aIh5hdvD
J6SevnM7Yw9lOVA52yJ5xWG9DK0/TCyxaXbF2DupCqaG/HDqUF3MjhG2VgLKEf5b1/bE82qOt2NS
ZfWBDhHU+ZrXN1FAULL1ZPHd2mmckrg+yOSi/ca033N9uWfa0U1ldu0GtWAd4Fq1SDv8WzTM+rx0
dr4nqHueQ12oavDXJXFuGFiVQygizN9/jGD6MVlILHZZVGWXb3T5WdmPYvxjPPOPgUJObo2Ma3hd
K733EC1S5w9aaH6ME6oIPJRR6rpbHpM6IpIc9auOu3X3Lzy8vxNYxcjgt6QPUpjZQ6QxmdC4/pqk
SvtTMWkVMYJdWyM4maNiLYArG/N27pBuabCUpgeVNvM5/XOE6kIV/SPa6AewLGZEM6da624rtpnm
YYqP4Ap4sAmo1xg/MovzDv/8J/0eTPUDC9o2HacaTPGWQIDGfeiXKhrCOqbODSeeTKSTkkiSU5XO
S/kvjvDvQJY/phMp+DCeJqazFR47OXpiZzYNWvO/eEO/9+o/0Gc1G/06N5EO5EjxNWuN58mroz8G
5ek/4KGU6U1Rx5GzXVj74SftckiH3PqDL/4DYdYbRl9Wg3C2aNAbBqmpHxkoj//8Y/69o/IDHhrN
Y9o7MhXbWNc6nulj5BsJT/8/9uqXn/orOM7Mags6iONirgXZvL1ky+RaPfzzF/+dM1S3fvviojWK
qZ4Vp0viSvO9Q1OaAl0sJnuFPLOo/XqAxt7jK3HqP7Sez/oxESbx4sklRsjZsg7VebGbtrtWBvLq
P39DP99c/8HV/WMejKsWC1kotreFJxMUaFkuE8MV/vlYjF4821Te/JfSNkqxS2v1qNb00eBMc/ZR
lw4JvUqcbNjO+D6PFqub/d6lJPvrb/fvv0kE7P7yH/z5W1XT7MdJ/8Mf//JYFfzvPy7f8/e/89vv
+Mvuo7p+Kz66H//Sb76H1/3l54Zv/dtv/rChLu+Xu+GjXe4/uiHvf379+KO6/M3/7hf/9PHzqzwu
9ceff3p7L9IypOlp02/9T7986fD+55+IVTJ/9QldfsAvX728gz//5KfJW/tfv+Hjrev//JPnfUK/
cWiiTN00sMRzjk8fP3/F+gRC75oC/cXBdHRBRks2niZ//sl0Pzmm7gppGNIUJrzCT3/qquHnL9mf
+A60VXo6x3IN7oJ/e+e3fz1H/vphcCR++fOfyqG4rdKy7/htfrYD/+e55Nqm7nmWYRi247A/TXd4
p7++BBviILpSFtaujgz7UcX2Gg5LUh5R9rpwVPOwG0mHSbJi9qmJvdfULYqzaTtDw9QEiHNXSkMg
wdjZi0qS9JpF4OLKkCU8LQ+jRPodEjHjiFaIF3OdqHwnWqpzlCUVKwn6piQ6chG7GNzrRVqi+r5W
bv+SoLcRm2eZ/Y1wtflW92JU0E7XAruhc590zzzOLVOIoZuak92V1ZEdvqx/kWV/oJ9w59AwNetF
E6tpn+q+UyeVS6vzU88uH7M0WvVDltraSVf8oMCx1YjVTowCXLGInuZKUb45mnMSZPN84SkDa6g0
NOOgcZf0mdGR/hQ5yyS31MS8tlXNoCq54h4Z56v5LuOIWRIAb3Vk8h5vHcrf6wseQvwizfhZLxQC
a1uxM6Go3AICQFjtnVZDP/nFkC53MG9qOwJbXJWenY2+nrFLmJrTKYabuF+G73DE2j0TvYhRSBpN
bzXDHNBGLRoBaLSluU7mzIE+0oFUtxGZPoJZ4pjddeuyHATQ13ZYUMb8skEIz6YMyHRwqzMEpnNQ
hhETxGOjSxaukntzcFrSI63vSZ+7DW+LrclwaXa7V1rWDH4l9cEL5l7n06WPNjOfpj79AomUAc4A
kZJoWW8713AfnEp3tyzXa9+XPk9TjkY07AZNWd/qzJhejX4UR61W8clJuupOeIv5NNlle8VAUjlB
suiuhlNBV9qGDYtl4We2irvAVcI5DjEaf57N8gbotmafYVbGAdE8xXEh1xkOXjHGYEB1tzq1e2KJ
+rQxxOB8KVCiH4k46h9snYi8PaFq+l26anTUzBUhNZUzy2udTe43tdDhdd3M66+c1rPOTuOaB93Q
TKBNNjEfhm41C7+cOKQIFFmxNzSp7tJ4mCw/k+N8jqbuodDX6Itsy+yoZbb96raFOLnaku9jszU5
TJUhr9uBA+U7bul1MHONUwUlDSFtoVQasEnVuevWgK4ofa9brUM3dsQZWaIz8eeN7b1WiRU5W230
KdVCp26+1HURITxWRdgglj03djsHrayOOjM3Fj1EVegs9k2fQXC5DoYK2ScY5O2XKEk3xWB226py
W/ZDusnZ1r3pHRn0m6G1zXUh2oemrb/LtIuCyELLlLTLdd0F/WpPN0UTh65T29AtFzDIFNsqxT1w
EzkFZ71gk4jYTnTPJXJk5/mpPS9+X3XrboZv731bDc6xBbiedGvihlAkVijXvjh7ri02XIbjU4lW
caXpwIMMP8ghtNFC7nrBxmN0zEsQ5KpryeTH2ux9AbbJSr9nNDZyusbJt6zknhhyNzHnTQUSKo/e
OifJzho4OL7r5BrshTfxS/JNju5X7IGJuBKmQTtPTo/SPnlu9p5a5YD+yNAWF53DadHPOwR1e6eP
tr6x4wYAsHVX1rzo+q6I7SKFS4uiJ5dDGww9aslUo3qjbhRtmCWA8Eg0cbMpVT9smWuvV3SS+oOn
2vWLB6dk+Wbajiemr9WBLje7jUwv2jK+Tb/X6RT1KLwgWj6IK6sAFkb5qaVNs7+a4PklYdWvtZ3r
+yZjqo+hKEv3S5QioEL6wSB2rnnVCrAGK5PpnoVJ7WfbbB1Oh4WZfETPW9RVvyFjYnzQc6P9rMH5
H92iWZCwlevuugENgePf3SrA+ZE2xx6+skyHps6Ue7KmT0aWLWcIyvxza8bdKY5ZebFm2sNQj9lB
lV52j3AW3wgo3RtTy4qdV5bWbVOe67Q/FOO43Op9moawDeOTlNa4pRUvoYxntzmsWa1d612p1yeL
s+lmQng9q4Q7fJChAR4ZUr1GUvavLtFmz006VFcc5uyuyFb7S++U7F5o0H/qoEG7uYnBo8+kpABW
mKRlhWrorQ3prjLoHM+8Soq1XMMpGtKNLYdTvqx2kKxEgvsa+aatNjLmkWxVelgnAj7ytVgforWn
Ao2AqF48OVubpaYzKxLbOro5iK4/5GsddEKpd5Dr4WDgeAZmY1b0kAMlbIfLz3bT1LrtaTi3cZEt
e9OoxTdjSpadYO1XvfEKcwmsMi/RgY2ZYbltYQRyu5jUCzvOd+PE475uG4YMhgA0zab7RHZO7Pca
iYAerNdBrkuMWYElhWkU5S8age9PPVLfeaXqzXzDbcxjbUfNEJSJZRxi3XrvFj0LMWpkX3F+kmW1
Vqp+ApeCoLcpPcpQNq17nmtPXZlet3h+x73VSYo3AIOU0zhT18pu4xur7hhWR2sUI3lNoI0IiMgo
YIyWtlnisrpzbc/oD1OTro+VSfHmzxVuCr1rxTNC0vhEMtc7joJq3aVRxzg9zq0bV3bxB+pXvC1F
0pcMrWYAjw52i3ReOW/Acc1n1brTo8ut5i2aycINSlp23BuZjuLqKqd+cheVf0BgZgHhpnlYJCnz
YPSs10SZpti3qrFu+qZGmOImOsdoZiyqUse1dsbPMoq/Ir/vubS8E8uC1abAeuID0O3LxnjQVz7n
RVXTcUFkc3KW7uioaCzmmtZDqerFBB3iItkTGu6cWHotHsaSLAytG1ioXcr+4CWKosNZs+4rmO81
7hk+KNqdg4nOtGsUD1OGS5oKIaHysHTM6S6OOKeBHHi0FpbEbRRNTwDXuF5Xkv0A09vb3LXnpwyK
IsTZ4fhZXhIQ3+X2xq0c7dGb3c1sL5hYdNO7mzqI6naKqfesVL0YC6aHEdJh045l/Q7Elu0m8hI2
MeXWHoRIfkbEXW4iQ1TvY2fO2wkik01nYCYPrZ02e6KxKEzMbg9AkpyTali2oNDNF+zo62k2KvGd
qTcmhsi5qc02PRUaj/vSbIyvS7kQI5Mqz4RbHjsr8ZdRS085kjqGpS6bv0eRPp3XRcVpOJOyd72I
lhvJNFdfAZrNzaR1jJWZE++mYkpvBWaXLcYDuXV7I9uuyq2vhkhqO1JRi8CIbEF07PxeiLW7xXJz
ze6kfm9A/IWLgf/K68nfdheRnZsexHkZpjNFZxoCBto3+Wjm+6jmtg7+SKYWQXasuTkvPR0bYEVt
yBs3jrttUfUX7D5O3fsKM4EVNLVubJNGO3FPhCcxc5U8Fg33Vb9iX1Ya6NOgKCNks55cuKstEf/a
vafDVb/CxXjucYy6GdtEjXMVfcn+TpEFM+BYhfHMQ6rZzVNvfLjOFDfHFY9cA7+Vyfdx8Axju7Y8
jTp7nB5k7riQX8N6pXfaFdZa555icjmy5CLxLb3LiB1OJdUcAJTvFSpdMPkYXeRPrWM95pkR73E9
dJSUMgqnXp0spxbX3BH6jdPExVnE5gj5EFvpZ2Qa62wWGp5m6sz1uu1JQPBrndFJTmX9UMH+nrle
nYHaC/SpbZbxLtMAvv3FFd6VrRm97teiXE2mvrYewroZbTgbZf6wGsLEl81E67XMkuJsdVhkAlap
OddWRYUCtgk6T7FKLFESi+oW9tsRQVd0kfAZKaVrkDVtvG7iVYfiyaI6edHZr3tq6xq4PyGo4Ri7
lBisxD1UWV5cj4z4cnwexZU5CveOAFzbogAjQCdQRVm8g1EYX+N68IBMMvd1SIzh4HmS+Z4QaVYF
MM5ZEkQl0i/zdI98oJLM/1CrkMo20Tp5jwDgkJRt1i6bmTXQaCwXt0PjwN7JHI8oyVOhlkgjWFjt
s+Ou9Ybg0/vSZNSceHayyy9ziDllTb0Z35qN870xxngflZV2mFVE3m2hHfQ62dtOer1WsAqjqIsw
V3H/oE8tvg8cTLvIIXctI88tyG0iIC8thusWew7EGgCXlBW1Ib/JUTjld33hkKSxtjfFrPt8EKlP
i3yxbkgNs1XyItspD5DFH7HnL75BiKRG2eHTDk7bVvU3tPOYzyaPDNGuCQtd21spqDnNyFctss6Z
o8CLWKu0Qjb6DLe/9JV5inVaMzZGoSvieQrhwhc/q5L+wFqxdVNMxuiz0HANo7SwGLiPPZmGA7/n
SC6GkBPGaaIfwDfhSee3YmzCbkj28FlJSOT5zTq42e1kFYRiJ/p6xbVn72orkiGPHhIYp6XFBSlN
66gA+++j2st2NhBMEDe47Bp9wDBpp7DYWl1aOJK7jKJUW8YdMWXRHQyGEQUA5osVaHLwGpZc9e1Z
LINKgyHn+Hpt7kKFa5Aslj3ubc2NngfDHD6zPqNWQZLkNCyqF+lp7i7U0WqO412uqwIkKq7lc24X
81tvxdGpY2rn7Nuo9ilonM/xVA/xpocuVIHBuG8+6iwauBd1PBcbYVmMYplJ+Dw49BfMTvkD0Eo9
+VprC32nZXl3dF23pwb1YBwZQ9cvTM8erIVTUe+9R0wnzokbDAR2Wnv7OceUUTN4b8QkNni0MPx1
clMb+vhhLmC7VKe6dw256e3pscqeS67OXxfPEwznlkb5VRuNX7iy0iB1ami/okh2hZjFbsaqsnFS
WjgTUOuoVnPe9x4qge/BWW5Ss61POHERGPAFTc8xtMRrhTFtl4p+AGxyO/fJo3CxGdKQ6eBHysr+
qkv/b+tqV+k3/JjV9/5HYe03Wtz/Q+qbAbXnmfZFM//3vyld/0WC4xx96/u0i9/a5NdK3K+++Rc5
zv5E2LWtO6heTNZBcP4ux+mfTMeRUri6jZ/YuXzlb3Kc/clAvNOl1KXuuOLiHP9FjjPcT1SbUnqC
FSi0q8Rh/u2X/G/IcZhJkNt+LccJDKu2iernmZLc7B93JOiRGjP+nbcu0I65nQ1Wa06dMpn1Sp5Z
pHmsndq0mYFpdmQvofJdFx07tGdz1vxe9HYwSWGeywnOpxoqAkAG0Pyz47r5Q5ZO2iM3i+RAHvp4
K4oyObUFt0CYPFZhkAUsN67FOsmu7JL30fIA0OWSe0nYJ1ayj2aRP68x4F8QkQ9xio0SD3diCi8w
pmi5E5ThBLGsD1yBS7BqewhB+AyTee5mIOPkhL+nDKD2dXO7VNzUgmiO+z5w80Wbdlh1m+u0WgC2
aYH0h8hJ888WiYMPlVmVodBN9bXxlvhqyRt21S80WF/jSjpf5sR2QdyH9m0ysatLIzs4ymSUAG4M
DqSMjM4wj0qGbl1+U6+Z2pQaR6c0Z277JIIYRJAFqdWaW4OuO8Chxi2wEsZXLHEzck41REjlXkrt
lojs6wTwOftZnMv3uNLiJ1MoKwmUKxkl43Q0jZBypQyRC6aNtFBUdCtlIK5i86j4AIIhw1bXCzWe
5qp9XtISDsA15zQL146AgFyVehWsc1NuEnvNeNoQDnE1iEm9paVdfLAXR5e7FmaCwX85dkRoE9p8
XiXkRe10Gk1TQe5OIMeePXqijHu0D5oVnqJTfNV7kzzOsqxfky7q+qAY8kX3xZzSGlpo1QGm5eRz
kRd2TOVmJnssABpdBI+8MGsnvEpYJxvaJ6dlH2sVtfIEKosJJmdE/Q7Vg3nLAtHbD6kmwR1ZIADY
K5aNWQMm+a7lZfUm57Smm7TMWxo7+xyJoXtMyqR6o41MFOP2spGnPuZUDHBD1d+awlleO5lURuiA
MuDkVW39xRhws/sUbaRKExnTPhiuJW9t28D/udaTPKus6m6LpGka4Ex8Q4GcvfbOY/773Nla0foR
xcEHNl0S8ClokTl42H8VjaAHniFWfJrL6ZH9DVbhx33hzcQnqGTZT8goGn1bUp56+D9YQHPasS+8
8dkVPD1LQI57B6ffwTLKy3WbNXtQeCQnu0b68nXyFsMmdljTENFLf425uC7fGuX48to8b/Z62ql2
A8LpHUYnFbe55miFb9r5zGO0WfTPglNugcOhw5UR2ZO+N1T81hjyHB/bgR7TW0PPgrZ58X7tWD+J
TQLfr7m+TvG8IawmsAqWu1Sj9OgSMtV+ddz5glwb9vw6jwo5bkhm4NBuepynoT4nnhXtMdOZx7LI
UeKcuOfLAH6bZpm7lxWCJQnjrrc3pjfhEJ776ujqKzZ7C2A9AK8stxQoovNnL9ovS7Lj9143FTAU
qths+rXFtvWhacuLShU9Y2gpgrK3ANSoHkSgGUNn+mwoq9EC46IJk7VEk7HXVDeCYpoprcwoswsc
WU36oTDlPaFVJic9M7J40/QWcphmmxMYHEOXbWNaLda8phleC0slLZdIrxl+luIWxaXnNLf1khbL
FnseY4pirZknaPjuesTR1B8GMVw3Tbawd74kAKEvuu5zp7sROVflO7tb1RCWLffpMYceSyQ9wMYb
NAfTv2ye9N5UV/BXUCMymccXO4rbsxUlyasxuiqHd6PiHLBs0OLMEc7aAsaRwUOzut9wGaITF/03
vUntmgZ9rI48Shw2oqq8ebc16GvKq6FZOXjTdAUgF/eUSfHihJ2h2E+BXIAtwwY09Hzep3DRE/IE
MUbFhkWNLrsPPN9VH0yz62Oz4yljj8W+LdrmGIm0vCk4Urqf1s6akkZKfubO7Kwu2UOVm1uq1F7f
I4rJLlCxdUHKcoEaxpLMHBZF6naHc7vFNTEt3lGn8g7ZwwQxi+zKzUnm5UOpcbl1a5rOYT41DQOn
Dtqmlp5319et+UzsCeWnwO161pPKfJJs9/vsVso7eipHMoJO0oTvgSXe1L1X3rD21n1i/x/CryS7
qgncbsyt7VIbWRF26XiFzizWwJ7t+FmyWKII58o1vuuYN70TvyGKsxidnJbPW7zXnslPxQPK7K64
bp1iH9mmw41hcsQj96b2PBYS00lUmVuS5IlyjNguE8xau65+rqVaEpCgYWy1pkrPsK7uy6Iu/HM1
FzeZknqQm1BP9BPprcmkCi3RMG4Vd6TAIJTkeYh16EJp1aGxIOLqrvXY16N9m5GCHA6ZsvY4FPTH
hvbzw1TVHCFammAZVmUdFKMuLUhSO3os9Ni9dav0sUJvuI2qheZsIV8Wck5lt5oycXDadcUCW/bP
43uHI0w2qV6WaPMctiRYXGUXfpR7dGhpnVv1W+qV0RaOJb7wE9AfjPGnPaWze+hjSocxn9ZvOf6j
UANEbgMg+uSGFJruDBvm0nOL9Evat69QEkj/g5x3EYGMeLiL9C0aFoKSvCm799yp3GmNs+KuTspt
o01U9p5nXtIFGmDSIbHKwOyYOF65zBe+sPJ2zX3PMGdvoyMz5PgodfuQx8hjQWd59mFI0v6xWadq
X2ptciUzndQ3eiCuuVgxF6uwCuudbe3QDYagwsv96PBoubO13Lqs7CPKwr+QuQwPpu6NmLjpyiOm
C2mv65LDWEXJdQx5/6BjE741BqlGv48d96zHo3iwnGRpLh2xsZs6CxHPm73rZQW3PpVdBNcvmWpc
CeXmb/Uio9dhybJ7XIvye9vkWEQ4B9AAiPJ0LAwHGe4NY2m1OnDiocwJJbARmhyLj9iHhIggcvuU
9Zd2tTCIBa2qs6W+zbB8M2bpXPYNWJ1hvYmRojnsVZw8C7tL2i2Wtkq7np02OdmxYnmxA/q6sxK3
YBdQOizTAcdOV+37RYmXUeOKLIt0vHdjFhr3MHk3k5mYTdA7HZMTDF76XpRuvKNN6l/jJavuWpBL
GZrxkB6HRm9OWP24Vte4UGd3sZYz4x9sxJqlDXcUsFPjE4SRfIYnx+SdT+NF3s4S61FXc/Nimaq+
lZ2CjBXteu3hyh19Hlv2HDpNyyfatula+Evhvlc2nL/f49K61saoPMq61Hcwq/MYtFOvbWjpxLd1
9XpcKq29vPX4lRfEnlLb2Es9fsXsqYA8rQ6oPUvkXg3rdDdmPZbvn99lY7vQznYzvsrRfbRUb/qw
jM4LF6dl+01a1rce7maiNfAHZ/k9FmeEyDzuzpJpANdsZHMC2iMKY4HBL9CWugeXNPngWYwoX2qj
5QkSwSCyG9o2GSm5pmc9KyDVs2T/1r2sKnE/FqK+onnJz0wI88+aFzng04zavmXLmuzQk50WM7yL
KcUTI9g8q4G/eOmiL8dqtsZln0ljzFisaWJDwhW37Htgh29RHre7qNQFjyttoriMa7eufLP15HXZ
xOve4Mn1oRmd+GD7WEtuq8pW5Q+r7rWhIL2JJKnRIoDfrGT6NErgYa3K1edV09Z7XRaRBcFcSZ5t
yfhsZDK5J0grBy4Y1ts1tfoP6+eHb4tx3efAV9QQcXS/JEv3da687go7T/3YTuPJaOJYYOQfxRtA
XjNvJttLrM1l44YMTDQS5l94fkk/mEJ9imO8ujiS+JxzjAA+un+W7YdBrQfiFzD8dER1EQkxmM5n
klia2WfUhe2YRdMTo3a9/mZrTb+fqja9qoa2ugM5al5aDGLvXePIPRi5QciGvqy4A+b4IEfsxFsD
zTkNipJQYU3aK8s0y0bfmyw6P2Ut25R9Z0n6L4Rc2gSktP1wThOSFFgh5PUeVsdOnWkJ0r1oJ8zX
bMLLCJlRcmM4CXXoMo68p4Hcp9Cqi7UJVOSsrOp0CWIoGSQfi0IhX47MO6D1IqO6ZYPjugcaulQ3
1qB2Dm7sveeUgMQT9P19zJm5n8CavnrVWny5dNkoLYNV5OFgW9oDSyeH24LB4AubyBZcIhYEc8MD
P3CsaA1qo3P4yqhTYuAsPnX6Up8rGROikFpJFQVVjiu0qPI22Zt9Gt+YVcFbyLLatS/jfnU3yOJ7
25N8z+VS7KY2V7ca+TBMT4ilCdrVcU5xwuDJp6/UH5UTyfvZVOvGJo/UDvKFnd0n1RAx4Vc4nI8d
YqAZitW2CaPpBDa8vtGD0SlTjdY0UZeHclqgevUdHw1lvF7I5TTCYR97nkhvaYaCFJSMmpgM47dG
xzbc3GaLCxFzF2fEvF0RtQHqcbuPfqtYfQjPITYktCWnzrQU+ixuNoLuoCnnGXceZWRRb9whab0g
F1l6QK3tPuY4q65YH82dRGMQcdcYrv5UOJeeAtt7HjLcXnA9eEZ7Y7MP51yIPtqbOqOWkXwMjGtL
0mxjgnaf8SKYDKKVwEDSjNGXvvXYIbmKNb9inN6YB3jwNX5xhxlaHHi5+2VX0v8Xs/4FSoasxGqA
39ex/k/5nrRvf7pt394/ut8qWT9/599FLFcQR+VI52ek7BI//FemzBWfXAEXJgxJ+cJf+k+mzJCf
DLgxVzcM1/AuK2f+JmGZnyDQcI/xcjwo/mdA2Q/0M9QFPwLXtXGRxBzP+XF1huDuMRqM7bbtEAO7
JIPnPa6uVtahU0lxY7uEYYWagZWn1OdqS5Cv2uTUROGvDts/ANsuOQY/SGn8Gtx7pAtcZwuK7R8I
ZR3mKtUWaW4qWoznzFsGABgZHca4MB+HLJVnNqX5K3hmEWEepd7de8wYNoaanT3/Kd2iElW7ilHQ
F26lzCIujwaiDSAPCmBeGATCiFaMLyHJr8N1otIEKxPc0cbGZHOXdFgzUlaPMZglB09rtBXfbZxH
G63NptBy3GVTxihiKCfTZ8O0Xdw2TEA2DGrlSZDBsDCHIRlR8fcXn3An49BGYn6riFEKBmVfYz7R
9hfiBNSj66033dHzKwcmrPXZAcKKdh4Gp1lwP8HF+dWy+vXdyFrnUXIS7BgPj8c+mxhXkk2jfJVk
KXkFU/WVBOHuMIixvUns3jjqlcHtkaDBrZB2fxsLKwrt0kR/UNYxr+o9xDk9MqXWE6FXeYPJkOmc
rQzx2WBCSg6gbj4lk9S2A2YN8A4r8tfRMlHTYm3LX9F3sxuJsJqSdt/ZujyjV02H0bu4JRZq9iVe
wsZuhhPTyxTToB3TMDSX+yMh3MHQMBNZ3MnZRL29sLRA9I9Oo9ehTCsrpAxNHogudD67qxfBvuKa
sAio3AMZrLy15na9VBKF0KYrWAr1OEyz9kKVOW4VTqW9adu631ZmumkqRiXW2o7vTaG8jSiy8s4u
WHbhs9JuYKZTtMc0tuyQKeKWrM8rO2n2XqmdPFTDbTxrZBLq7o2L3LBw+4+NYNUxZhcld3MH0zYN
qtxlTGj9jocQzjCIMJFoYRmtWdDhAupEd8sGMuHnScSMZ2DvAPmK6d4akV7qHharzrL+c8robVd2
PRoiPuJgKTXtq7tS+XhjuVxTSo7sdOB8Sjmttkwis01tdcXl/4n3GFPKDh9n/LKS5FL6mjEuV7GN
3pMjvt3ps2XcDsU43+i1tjJ9HudwYiLj48i8IVqN/JViWHc1ou5dnjtil+f2emdTjWyaVaPEge8k
lWFNbzNkzxssFDFIUOpskFnEgWBLO3ASgDG8gWYwun29r6a6fs5LC+orpT8t84wsRR7/FvO/jTHJ
4pFATSycuKlCXoNlhEkj9uNMFvhMLtWhcnpvV5axubHKBaKroq8LCk3KTRvrIIskmoUtc+X/S92Z
7TaOpdn6hZoNbs68FalZsmx5CDtuCIfD5jyTm5t8+v6U2eiTGZUnCgc4N40CCgVERciWxL3/Ya1v
cbmzAMrjWWcdjvQOpZ3X2Yg7IWRxRDg8az3BbFrDcha79VxS7hfmYU5cehpTOReAd+ZVKgTmVX+n
moXBnKzts1db8zYrGJ4yzRPn2EsuPocMQzLroo9lUCTQ0mK9Go9SmOnHXHfJVxmrMfAL/CGCEMbT
DIPnsrhm+xpz6u+g6DiHTsrmXE3WsF8qaW80IqIuPT920ALyuMbgbd6NxksPTjbYu2Eax4/OKtor
J7MHlqPuvhvtyMbOzSIMoQ7hJw2DIoZ6EBfyvWcxsODLf4NhjOO8tZe2nEIQVRiy+6YdN1GSTxs2
b15DQa5PVQi1OzuP7M3DBHnJJouxpiWU4bQn5NIGAqTIEBqtbsILH6U5rIQ5OaFMoxcT69IFpUG9
BIbt14wBk5vC1MdKA/hMeOMDJSJNhoG4B21Pw4ZdRAjDhq5kWezIc2SCT+JMm7f9PFaHaS6Tt0ZU
UgZe3PFcJ5L2Vpk+ig0kYnHA6kWZp6TJ7YOLjcpam43/OQMtjfdNVbXriaHywYNu9mql/rBbshrK
nyRjDoSI62wry4US50O/+0pr+meW7N3w5fbINCO5DK8lRNxd49SXKtG+UfP2zBV0AdsV0qeHAWFZ
NYXwaUAdf+D5X6w3XPCOj6Q2rl9JnCrA+828gD65+2gC6DGXZbVPjGgqwj/ZtfjDins4o1Jsy2iy
1N7JZumfkHeK/BOiWz9eRVZaj0QcmWozNFrz3vMovEeRUb3URaKdwdVWiDtrLui16Hi10l+m5wbt
lcYlFVkvsZSveelrR8bJKjrqFhA5B6CQE9gDDtY/MbhkjJoHTM3m9U8WLrHAWJ7T2flCcmRfuQpJ
Op6YZ2YPQ98zI3VF+jhiG3pExKCcEJAIugqmZe1XXEJRWiep63yrWmV+ANyZ9wN2xu2cSufozNL7
9EtXWKvI0LOd5gn7FGUWiGitndpHBmzOuVK8q4RouVspWiRdvdY61zxy2rfSctqrxWn9OJdtuwOJ
LTdxH2MjgnLhOSvYKOpsLpF5kzDEtP3ULn8kRQxycl/6RC+8S0/eYHaQ+VXzpXcErtcjaWOurOfM
IgPmdq3+rfa79G2ys5EVWJMuCLuLGK0gO2X7O7LhtrpkjL7q9ZBWdMI9NMJ1gYK2Z97tiwc2BTXH
rRY/JJM9vRZdI57RbJqP9SDKA7sdPDKmqi9RwcapQou8p6rJmYNK/glqrSlDldDJsFDpBBvWGI7C
tbB7+54GscGot4LQsaCalhqvvzI2MBC0G3Ilks8d4pcszDOWSSunytXdnJfGsF4g95ir5ebGDOKS
jU4mpjGkRd5Hfa1+JK42hXU3J99io6ThNuMSCE4igqq0zAA9shEAQt4ZJewnjcXLPinVchkHcJVd
6/fErABxohbztkqBIuVQzZmZBXlUD+rYRBVCLqY7o7FzexBIh77OkgPlDGxqAzTCE2WD82QhsoDq
13C/b/3MFfd5WyxgUEnfy1ngMYLuzO7K39rY2ZxuoWfRhJY2y8RCd49T3M/rpJ7jMqz6rn9tImdh
cW/P8L4MchPBNHIdoYqrWltb1fR026he4otcZnuDFnLeW/RnJwcC7SqNO7CWjKmtz0Tfq656xWn9
TsDeCiHAwXBfEaeYRoCiFDgEyNYf1Jf1ZhA2i4VKzfKbxijwvujSbG3mUZGHheV4dzdAwLKd8ZET
npH7W7KvALQh3NnSxFu7jNEG3Tlkavw+hL3B/EwCD0jKSoy0jyrSxXzfK92oD2ghbTREJVEldqJ1
K4lX4Zjmfv4kxyhBOIYuGf9bsc/gHt/LJDGx+jf1/CmNElZHXE/ZN4SnUVhpNqo1P+tdM8jwsDfB
hOq6XNelh4RaVb2eRYx2QID9SZTGSZwyJmwmULloXne2mqw90O5m47DrOVUAUe6yCTUp9W3+opi2
GwcZSy3MJuFGOz+K2mKXeVl18gwPRb5Y7B2/8hTcMHU7aUrxY+xj896ajJ66Gg3qI6dNAmoxwRIf
JoroxG6I1qWM5CGP/VOXexuUZWiRe2YocVTFCLltwExjob0vaKf7LdwojWVC9t6amg+w7rbtmxej
+BwZXF5yTkVu/6EEDI3pl231HM1hbunV2S1SqjdN6i8NdL97Lrj2yGDYOvq+BsHAAnHNnp7vhKqj
LxSexZrhiHtRdmpQQLsjaK0JbqpKG+0F5wpnyKyiSAV/jCbzpuzXbmG312VyLEYNg2HedeyCg5R9
9LvNivth5hTfGjH7mXKA51uiakMB1H92jDoDYEotWnzRcHPG6EYZA4W2mO6ijqIgncyjySe0zubc
XUtHr2G2u9ba4aIBz9Iy0U4j9wx+OXkRY3fXGs6wgbHRbwucyIrfehlOnR3nR/CmLgeJUYw76G8U
bnGCR8Ky5wfgGmwYi+pY1MWzY5SfWuRdBunVDLGSPGhVrm/SpJr2WupxM7GsqjEhrRwxLJeibcsP
OXfjpab6gsYRxacEWP0OL+h0cMUPLCyIAAZrk5s53lM170zGK/RSyxQyFyw3ggsJpVE8J1kAHHcH
JG0OIoPQpGSvUvuQzA44zviYL6lzjt1YHCsPYB1LlSkPEPA2YSEk4FCFLG9qY7Hq5fTU8DBtrCqu
A6wqTcDsLUU2h80mZhq+j7rYOnrDaD1YovQOUm/kehAZ2GLNQxTH034csSrBAKw7QQla6bevoR2g
Ey3WmuqKsLbVLgKmt4UaePDYtYHaC4WX3MRSfKfnYKoY/FB1pAfoL1nQGZk6drhWQqSmNX1WjaRJ
uKXYZHhsVrFld11Q5p1FCqra3RS2rU4NsVjSC2yD7WzsZMU+WkrOPwaHLyJqapZG5Qw0EZLdMYlb
/1W3G2sLIFR865hJBjgEikOjlpEVqYjPLKvBT0++3C0yM76DiDG/Oe7SXKmAs/1A+NtLXkX4FqpG
u6Jut6/50uaclTagRKw+yem2ZUdZ3y5rnaLtA/MaLbRomJNZQ/3TTFqbVe5wUm12JFLIDmc9+qEr
7r4/VCe5HaA9eII/APVils6KfU2/w1/j7pUx+ufJmfxHwLUM0+E1B7WggJVuZa5BonpAFBvWihXw
4rQOHZ3tjmnRRerlFVFOTp1Qde+MPq2wBLkcWLT4e1Y3O9A1Gtq3tFxXYhpgqA9I2/z8akPesb3K
YXnf3dUGw391HiGpkmq4MQbnDa/HpZp0sYOu/ogkfBNrIJDKbhfl4nYtOQjhQaUHlIbfuth/xTRD
XkH63jHYCIoub8MYacMVm1658wF2r7hmqhPx2gbf467e+15+9NDYg1m2lqPTJew1bFbIZe5tLZYv
QQ5maBfpCPCnoYi3eEMedRMLsTdXMjDA0IULbJ2cL0ft7HWb5grPbP7BnqWGRuMCfUmnysEWwRkJ
s3yHq88M7aHQt3hZok2du9FRFXAGocv1O59ogQjLWeae0tiIVp5yEb14ck9SdLFN3b0YkyOC2x0R
JihxRWo/N407nHTLNZ+RigBU7uTgr22DzN1tXpa4hvNo9sbAwyi0Wfq0edEmhK2eSYuyONjxysVv
jhCi5COA1/scD0822/z/Qe9A0zgMZftZsdw646NAYxF7OnQcD+5+42EDEeWGEVOzZ7IaBa2p8tBA
SXteDHiHDobPD5PfD4brmKNiAgHxOmpeu5ewpe7VWNmbCEg5KAlMkHHRrGWr9I2DdHQ0I50zr341
HU2/SpYYdDjKnx9K1GeQ+zSn2wwMpbdTWtXIQ3XeehAxsIQmH106QHfUsvapBAQROo0zsSeLvJM0
mQ6n5B4u4hPcfsIS3T34/qPClsHG4H5Oi305pD+Q53/OcYfaXG9qCnGjVbgGnLjd9aLDFjiCp5ns
QoWZoenrWiunuzGXgMJdLd1xc+3gRu4E7tAJ9RdOTBydPlper+aBcss1t+2nMxl3WmX7W3xqO1sT
Rxt754paa9NK+TYaU8zSyUQi2XIdPHYsRO4QQLyNpgGastZezNS3LyUiknfCjhtk9DNCYMoWlwZi
b7Z0Y5Qo2qPyzXNtEtCb4b5068Y5tQaw+sw2XjnAY2g3rf1iImZH4uzMoTeLlxLTbZg5XhcsoP2p
oYOuyQOoN5+jjsAEw2u98l02i/nodewJna8ci5+TpPsyV0EylU8t5GhWilOQthLMAxf4pozQ4mOh
Lar5VWs8i6dHy9cYsdjhFmDLHmmy+01hpecsIgPEF8P9bWuxNjFg3ie9+ZyBYglc9m2hKHTqRcHE
yEWgy0o23SjSvAMrNQpGecK6U8rpQ69AYZZ3WRRiWFqTC7F2urruAlvIg5WfNF8/NlOa8jhWjzfR
PV7JQ+T3/i7txzuHJWeHQHn0w7EW5VPc1uoV4yyyV3g3BQ3HqmzUzmkLtSUz16gQbM31Ph1YdWpk
zOw1kRi7vBfyvl1k/D1GQR/whL7T8j+ZHeLse6NZgRX76TLnegKdU+8Fpe8+YTK0rpQ8aU5BQw3g
dqMr19tZrFLpTXC2loxbRlSLL6bIiH/I5jFepZrHfrshTaEaJA60hn2R4TIxo22IUBssziPo+xQx
1aLO9WIpZpmG0+4RSY1hp6k0rHxFgHOJAIR4Kz4oPSZtIUrXruHO/qptTFaQtrLu+J6tDfxesxP1
JzCQy6rGCqpzP2aGt+bvovJBObbH/pyua1OfQ17T/WiWqN/Bfn30o+yxNOpkixyl2UKHy180FpFh
a3f3I5S2VZbq6ToH5gmBUCN3j3ueOhkII/40iDJFc4V3JlcLdcK8uEjwdA2D9NLkuNGm6c2uwYJi
U0n2Thpb5wL1GPCkRGNEXOTNzdvFZ7ablOmd3BiGItpQp3FD1JB5CLgcrWZFfC8PxU+XUReItJnc
RSdTD1mPRTHMb/NwX3fh4bGzyg0j/kZEAuYND05/ZcKeWfdpFgEujG6Y/mhW2ZbVd/69y6DtDblp
b2oqTQqqfMQ9zI2cLnrHdsttkGh0wwwu3bddGZ+kMx+hAmsvcNRhvjW0HuteE+LJt20BTczLcyJn
WLWeSBmKj27UiJ2chA5vkv0V/MJySVZqdtw710S1jtWw3fFX2Osa6UAqDlauFFPKXgxO+9UnDaVj
ZPWnqaNhQl+kPxiVHV80pza3bdJlWyjBFEAkXYp1nI7cvLIp7ZMuh7Cj+DOR65KiwJTi5He28TiW
RnxAcWM8cfBXl9Exk62M8fUAXUL0YBCx0MIFwjeyKlqw8zT/DVcf/s8ZOQBjthY1VFDPRvLuOZwX
QG6m/NkQ3nkkuIBh5lSh+amdQCjrM/J18weq+jqBD2hGP6MiLZ8oQ94y34YVmHcPxtg/GX4uQ3kb
eKFC2JEt1mxyauejUjpfV5vBF7JHuVPaUr036JR2HtEGAUgSfS1rYJMx48EQNcZyj2FTBewRMLzP
rsfYDJMLj5bFgM5ha49bHQdv1tx5uQkzvVXuFmHEs5wTlrxG9y0VwGbgSkOhN2znbhniFKRj3363
CBJKVnrkTlvTHq02YFecIFjVt3kcPZGH4u89/1buEIGFUeio4IZy4KnsMBvuV0r5vzKzcghzRlCc
BMpGNzjewooKeNjIjXIVjoOoTs4S3Y/ucu/Ejv+QIB8NcCA2m3owPqrE48top+YZuWDEIvYGts9m
7f2G+yUUy//uD8LbOQ1bWqokC2Y1iUzA7FDAllGRoQEwxI5bl9bYOKRUTc9ZIew7Q/D1A8QeH0bl
aTsaO/x/XfEwpI6G3FHoG7cdToJCvfcGuTUXppJraSz9Hi+cdidndaMXW09J4/ByOUZtqwM3lWiO
DEdod3PV8csjlByEeUE/pZ9Y/C6rm5SDCKmYpjjPfSZDrLWHSl2F0fFwdhVmn2kSByPyH2c1WMek
qrDkCH2l2xhlpOuvgYo+obq4m0HpQiBoMH+DcxarJReuGxCFddPqdMPGoMLhLGQ0aq0HNAvxanJz
Aplqc0D4jHOGL/MERkE4HMjC75rn2decn7XtMrVEHhxQWCx8vDa2J76G4XzLvaKlzhu8blV2HtAi
36OQWw7zgEfL84ciyJvs2Y6dB6fPgCwQc+Fk4lhAQvSYdm8tu6cUnM0HbFH5MQV73bVpmJboqcfs
1ZY1g1bwxUFbu3ihH6JeJuHCguWxw9sWGGhNrqZed8cWpWMoYyd5sSH971A4U9KoviaBwAM3jYCv
TRqsjl6jbcsBhP/4oNg1neMpyQ43xc97qaI0Cgq3oeweyD5YjTZPQFzZJ4GGM1u1VklwQjMcYkh5
+My6vXA4T1cW+sktCQtUgynVwipzZ66TEp16oNuWzsjRqbZmW/p8jPh5X/Q2sW4FENA5TxXVD/gP
WPQbcKgn/tHsAOH6efAYURWasak5384o9zM30Mgh+VhyCjPuw+khnRa5jxtsVSsfhOwrEd/aE30/
WWJ8lV8waeOMZ8aehAAn+gvnQo82ebSK747y5QfiSvo6hga+ZCmU5/Zy7Cs7zZneWuOLPfTpRWqK
x3jO+RDYMU3JHT60bMaLnlJmFo3pPxXC6feJqnFvkRUn3ybdtZ/xtiUkArjMqarYRvAP99tCzVEb
xSWGiQctq1A+cRRxOS28JTf5q4VG5hmHU7dnHUUZV41GuqGjtnYugbwLnISGzAcX1R60+Em+Zm71
gc9VA943fNCWayTIpWQe6K3xUVDwsXBbGFittIyRSD/q3lGiQOGkqPlPCPy3P89OnVBS6vYrIUI8
S/yx3p810+l/QNfHt9cbUQ1KQ9o/MwryDZhTZ+9FsXNmy6ru0AQBfpbshDtnGjZNWtgPo2NxoiVu
zBelxT+wGYGB7DQt6tg/wcUmvse/TbqqFaWi/OTdGTfVoECLiizd6aq7OspiDUn8Boo8y9aQ+GTF
GRWsemSylmzQLAXLgq4v8LS2xJqf4x7k8cskbAZHJaErIvtHXbeDXMMFaA89SXTPxuCL0GAquwOb
bl6KScsBbUTexCoaO4rZYlWXFkoiiM9cfCrdsFHcthNf4Hjx3qsEW4kHNfqeL367XnCm7TFyGBdd
Ju9+z0RvlVLTwsqTbxZBUUEPJmGdW8s9IHSUSE3pr0Ydul2EQi9whnIJ2/m1ScO817EqGPUdG0GE
Z2MrnuOmDeWcd2QVeMsL4GI9JHyvW4/ZOIVKCRRzRXcACEnX4S4dOnY92fSmFl3HBr6sOzrfVTQk
8xr0QLvW4YufMwATa8UI7GrlEX7aDFLkE8umZZMkWfQwVVO6GZSm3iIMsqQz2kGO/+NSdV35UgGZ
Ccj91leu76cPI4TnrcToWQYdhkCUb1wMC+G8kX9MGUvSdeRZ9pSM+nB1DRY+a8R8sQxKQ0+Ptj9T
EsSehavE5E62czeIFlM9qjkXO+IK5daCToIQ9LZVS8Gt1KxOTTS1t5vapfFYuz5KzQZBwApXqP6i
xqZbqRFJjzVI5Pv4p0N8KXJNYsYTnRlVymB1W69uzHM2ZcQrz0Uazrnxnf1bdKQQyU4F1WRQtjQ0
qOSdo91w1MosK9a4qeUZF7L9zdWwTcb6tMlSc0ZSNbi7HObAsVlEusnHXr8mkyHJe+QeRFU8oa2k
akEyWk3RYyKVg3C25VfJWAq6bWUdWU2Le95ViLAOAsyziEY7YLtWKWTqLpbPpPGWEzFS7tc8Y1LY
sn2hB2Trpg5EcKWBh1kA4GZTPcWLNV5MFLkamBvwHu25JTRqD5E681c6YW7HmOxHHUUfuRAo+SXR
hOieA3+pv9rJEUSJO6xU3NocAaE42mbQimhnxgWvV/eNsRUUCkd4m7uinIf3nDQgsfalNrmrGFnZ
C5/v99losy3CS4i30CYYzZWCtk1FoZP1r7qVJdvESrFlwkC3u5XFmI7hDvs7PbQspLA4OUdnPeUO
K8VOyOO8oEHz2mp8G9DM3mcz92PTuhkCVxqDzqyPbmX3OIQcm8uGnTn1fzsn6XUAHsq4OIP6bsac
0EOt37Nr2KQT3198N8+isPOfi1amT73fuT/ZwPknexSHdMzMBsVnBKzEw3gFVyUVRdAprX7VWMhe
atF2t4QwwbdCaKGem833ySeaaAX/PAfaQPDEkbsg+WAGSudhtOYlNmD6IwwifcCryguLfwWKvyIY
qFeWfoxLWKSkG7Fg0mzwKIP2FnWq++5DmHYCp5Y6ikkwafTxdvYRMaykTYDWvzUnke3Q7BBxUI/t
NwZDb2my/JiUX3CNO92zacAyTpGWwzkSXfpKUMHybZgxL3MK6Xh+Oup0eo2ebkovUAfQs4Sxn0qS
XFX14M3lgg/bcy5DWbqYnYppBzVeLgGTPhSeoDesTdVAeI4nAgYmOtGByDQYgH80ODljic3idg9s
vMSqS2vBFCPu1c7TSNBaEs1D9q6Mh9rS5QnlpnkYOI+uiDy0YGHSH1K0q/vCji0kk0P8CuDCfEYR
nqN1QLXCtkdHzKFZEjbLbT6u5Z24y4yJuZPelR4LLwjfE1bwOrURE7kxN0FazQzaZUr6rJjIxkP6
edJJAQ2GykDkUy1QwJHlu1mIY4oUGbf/ykRKdmENFQQ7CXKGLi+WtWGKJ5fZfoBTB3Q4pyn8lLk8
aYVxb8tq2fRk9SCTXNw7CMhE76ZK/cChQZhH703eg8Xyu6NFWmAwpaK8sqT1Hw3NUvcssJ0fKISr
ozY77NUqXR6yjkjAII4LYLZ14j1aM1tG+KqvyP3BYXRjt5yx4+UblDTdlqsUvQss8ctolFfEe/lJ
UXPtMvDLoTV5L23ZJSR/timlpKey5xa9zv1EIJxa6aOVvah2YUegeQviplSSN2kuZxJkqgAyh8SJ
N7v7Psm3STklB7skW5GEAu+A4eyuibCfIJr1dlU9V3tmGTJY0qbkiVDTQTQIZ5asY77Z4ZQnsRbX
V0RS9JlH4oY1M69eFz37qpnuky6uQjeii8u7Pg4JdEzCUmUPCXvCFDXUzvLwLfc+otU5a5i8Fqq6
y2uJC6PL9ybl7EOF+HcHeyM/+XMJT4HmyTw3rl/vmPt9eH3zZOkzmB4WRp5mH6q2ZGkDk23cZZHS
XxPI1Zu+KP0tSvvyWYwuB9fAThpuSXUQtTNiEszRhFi2ClNhtC8FSSQ4JSAV0SZD8+1YVJNs6pAq
h16pDVpMdZu4jbOdoaXIOjCWkFrbwujPBwYAapwNKA4xe9nE0osHjmlipljJqzU3R71hJ6kfR0N+
Np1g1tPHABBTVNarglXkHeeWDcLEnA/oCUDa+7F6upkl7/CwTDsc9MsViWWxXtKIkZQvqmtLcXGd
CM9cx0nZvM2FBGyRjEoeVamTSeYL78tRZvQiAYusMO1w13tZ1OY8+QvphKntf6vSYg6btGZqkNRa
mFdGvrZhm+8zYGz7MnGNB5E66Z1Z9QzKl4T8MH8yh3tmA8lHMbFPxmpTkcrBIBK5g3COs9NbryKf
FOfZ0jM1VPZxXGa/C0A+Fei2UvYJtuV/tJFvERkg4g+GhNQQ2W0UZbaQyWjCSxqB0T54w+ttFPRN
j1BlrfxaH96WyDFemG6kb+jTlguzDXMd+5FG1LqffSaaJa4zOXp73E7FU5RFyZq1AO09IYIr02/c
R1sX+jYZWyygnpNcZcz6HEvEWBwGjEZfBHPIx4rrlcXMHF1av7VttBNFuSuHzFprpOEextI0N23P
XUPzXOn3RTFPb4xZnDMrq2Lt1fA7+Mpb/YWNgfWI31gj52XOH/Na+5H1nbdxOu5PsukOBED3rHPs
7hK3SrzbxFut6ZxRYFQ1TBDLTTWEQQRlDS1pxn0O447xjLwCUacANKaxC4vKbeCeMMhoMn8KGt8Q
X0bmRUcUOjitG23s6GujMbl3KA5IsVDRoax5DqeuLW8RjmRTTy7TArZRxnWq++ia+X69jhECPFVR
+sjtSs1j00tz/Zq47lyXXVqSH/u8UM/OlCy7eQBLi/8IXopBWRtSI+fffPhADKO1KHmVlsvMzS+y
ibED823g3+yFsJ7lG1c3LQTnzvJeNamz9RK2d/1QEpxMyxmQWsB1xa7vkWkYAZY4QlH33WbvjT72
X4hr5sCrY/txAc6/l/NY3KgK/Yqmyz80OUgGyYo+4FEFDWnBWiXw2WWuMDs4K5HlpXwt2WCX6g7E
yEO5iAFl3CA3ox95G9Rk1JxxituF1c1jL0nBi2Vv73Tk6HRVnphsmsrZ+1qI6OOmWKrnHDAptWBv
btICJXstp+iuy0bU71GPZUXw88ckujPLdy2Pt1x8cuBoZxnN/QDvSfO0lV0UnEH/gVYsyzD0zJtE
TrYICq/+tNs6AuMUFW/FMMesUJAMPzsF+w8b9dW9rKKMbLJe3hEwoqNEqhDD5hJXBaix6uEPNfP/
b7n8/yKqg8vY0jBBLPzftfBbssy697+RWP/nb/2pg3eBObiO6VuObZpUhjfk9p86eMf7T+HbOg51
ATrCMG/U1f8Dc2B1YpvQGgwkxH9wHv5bCW/o/4k43vR0YRkG6FVh/b/AHHiJv6EcdF4B7wtubl8Y
LiM5/vwvcGPfQLzWF/CxBhvVxAo91fwNWIL6N6zhv6O+XfTQ2LcMrPm+6xj8Xr+8TA9OLGP45qwd
K5ffpa55G46OmG5hyOU2xl+5/cun8A/SenEjYf+VUXF7RQdMhafrus9S/BfgtE98AaduRGcpbqo7
0i6KJBg1ipxV5ZpVSIRo+uixHN4NkXcdJ534l5a/9b2aTbHVWz874IQxD6KVxtpYxuzAqGo6E9Gw
nITKm/O/+XlvjOpff14+cgi3NtsL3b19UH/5ILC95vOkwJAiLit/TkwKAlik/HdOKmeYoUJZTTFR
XsBh658dGMifzHGnlzlmiWOPtfUVw6p4rshgYo1OC/j7H8/41++J57g3ErCwTBALHl/iv/548OB1
bpPZWY9Ufed0ESwaU/umXe+nhJJNuWSgiKY+FoOp1rqmx7shRmzFz+ztEDm73ww0bJdZsToXzV5P
tAfFhYI/lwE5sNBW5m84JLwtOxBwbgxhfoyxyLfl3DbX3/8uFmaWf3mrwUiZnmGalJU3Y8pffxcv
XYhNQDW9bsYiOQGJ8PCRKyMOVeMltOEcorf9m73W6n76WTkTc/iirHxoHCiWdsrxtYdRqeHNsaSJ
b5WBfolF8VWBXOt7++x26S2bIZU4s7SY/nCUeyzaQK3j7K2xb0q8yH717cG8G8h0xbF8gaEldw2a
wH3eFc6dKKv2hOp4oXdFallB0hTRJinRaMCkctfjzP7WKCbz3DV68tNzAHqhpzObo+20cDhZ7sRU
EYYOOUVnFsaS3B/Cmqzu19+/l//wVuJe4XDjKPJMXOR/fyu7YsqaBuDWmhwT42hq5fJzodM6WZ2p
Xw3V832t4G3VYDr06t4n0SL8/Q/wx8nxy3NDRWBbUKZNYTrOL885egnS2PrZhhdhlpea7CxSOif9
psTbuqb40rJJXcY5VX1AwmxS7kZ+6C9WkN0Pq2kHhMaTBFvB/b3HIlqgemJ4sqoqJG6AuJp76mD2
pkhF4bA05fzTHyfxODYRm4VCaa/CzONTs7CbCYqGK3aOdXXy8jHbDKOj/5tvLkf7v3xzORpud5Jn
Yb3548//ckg0HuIssnScdZ+38g6LEEElfLYWsnASUWkw/U0rhIEcp1geutaLj3QRWPcJVUKgsFje
s93b82c3xfrH7z+Hfzjgvdspf8N+O0R1//JFKOK5lIWNv2UC9BCYXf2VSLSnAxsvl9jw37/YP7wN
nuUbhq8TZ4mP6wbT/8vbAHOI4NL5FtY89+6rDgvydoxkl9+/yj+cyH97lV+OicLLUqc3WeHnZpp+
6vCsTqj3SVO1hmre/P61/uE38i3X8l2P89/if/7yG2kT/OPEtnGZufJFTKjDVcSw4fevYtz+mb8+
LLYnKBwQqXGEGzoeuL+/jMGR67FwoQi2u2vTG7d+FetHKh8UrHw/vShYMKaaft40yGNSaBe6RFSc
S+2FSAzn0B8RaA+JBfUamu2WGcywstW1NxoSw+aEyKwUBro+JvsGEemtw1o6Op/2E4Bl8Ptf5teP
BzgWjTp3JUyrW131S3LCAnaoZSjmrluunQC4rbdChB+Hi0Pj+vuX+pe3DZrA7eLDFIVpEMPg39+2
ZImMwh01H2WrEx+iOdd27DblMe6qYmMCB9/xVvv/5kUpBX99qDBJ8rhTLnGwuTbl2d9fd8JfYpRQ
q0C0TE8ssOq1GdOB+JGaXsntZe4iVH8lU3VPUPGb61fZxp1m4x2Kk1gNenKk9rktyF1SOJ37vml0
hFRmu027Zot1h3lLlL5FRv9WY9RIdZA4UHX7FXpFGKzFgDRjUns7lxbznV6/vzGDghvWyk9nGhbN
Jowv1Wd907GawUUU0cp0+gkdRbFx1cTyLjKI7mzKh7FNfBR1bIG5FqCcBJy5+9zyHknK+i/yzmS5
cSTN1q/S1uv2MkyOYdEbgjNFStQUUmxgCikCM+BwzHj6+zGr2m5mVt0su+vepFWlRYZEEnT/h3O+
098v7oejlq/KWNr7Cq4N1FcZv7W16O9Fk1nbEeXHOloyc1U2frnSrZftCuayjH6bInufb8uBqU8r
OGBTO3xZRaB3TuIEyJU723mfUgsEglE+KzU8aH/X8zrxn5mfUUpOmCRWEfUO+XSelKzjukLqrWzy
fFOlAbZBZIGhNevy4jRgR8zJRRxvZU2HAxPpjal762dr5/6ZiWq7TU2mT1Gaj1iWzCHaIIL2ynXE
JfGdLfq4SWFnVWj7QlW4T8D9WOE2pH6tqp7lJemHyXwiesm5RskAAiYFh4nnJMDWwHh52VmFTUjz
MynbSK6dNZOe4Nc8Aosc+2cYjD8zqsvX1CJ6AOlFuQn84RtgqWNbTu227Tt8SDBnX5sss0FAkP+7
mlVd8ncVKBCDJSDAtblis3md4t4/D/Sje1g22OX6mIYx95ndQysd7vW0AA5fCvmALLr8AnLb3vfa
h38TJfEvH+njDm54uzcaX12xkJhvVaOKb2Nq72BY1x0ruMl/qOtSXaEr9ux5wOaS62k1M1PMgXDT
eOmudjT3qLuzIGyI63wmQ1rtkPnmF6EacFGTFo85hdalz5rbet8y1mZTevxkV7HMRbfEyMnY9ECY
P0TEQhv0FCIIzRIu4dPDM1V216QvfqAxmH9kt1c4GiTUwl58MGJnt9TPeJTN0If820TzORJeu4NO
M2JpyevPKDKTZ6KozVVj9ykFuA+Ao8nNo/CKZd11TbdeArAuxIDKq9ewYM7hYK0NNZvIEHT1ixDD
aSsGZz6WTHPuK+n/RDL8XpHehRDTJKZ3pa10+ua1Xg1XeETcPwe07TZbmL5NECqMLCfxtH3Tqv2m
Ahi6q06a+kdRm91r7OfuHtdSuQvsud7gVLHQR4/tnS41KYSBdvfAyYqtFn68kdAbQtNwq1dHV+Kc
8lutYSzzh/PqkRN22jdlMyJTst0NfyreWd54h1jhpy1jVPITWNkswGJQGfaEiyLhD4g4ecLf6DPo
HARid9+/j1oiRMmN9p/sfv7R+rJ+LPTo3pMpqWCcAShnPTwcilI+LMqwr31S8plAeK3WSTv2R8ck
zw5RYrJNgnEM+4CthFWrOy+7cRdYeqx+E83LaEleOhAN/Du1nAyj4QXWTRuyocy20mlnLghkOtJM
so+2r/q7IZbjJV0iBrRzPZ7JM0MHrHS3TgqwEk763uAS2yI5r9YMtJgaGdDvBwyqkyizC8hdCN1i
sj7tMSPlzG/ILA1YgKV53DxYomSZE9HauVu7dF7tqJGcgTHgtCSp1qaX38Oa6R9hJKIoHtDckveN
vzcCLsMrVvnVNiYmPXNqfSEcLIhPz6j0/RE0a9ZaHjPpBVvUpN17bRFqVRGGvced9mRiyJCVY6FT
BO/gef2uWlS/IfrwB8nkp8SUmHfyH1UKETqtBmc3KtfaaWE81blatxC/zpUcojuCn7NmJSFEv3UL
ElXVjFX0PaY9G1ZJVHpw/+eO7nrRp87scC6W9mZq8/jSo5gOO2s0kaPaCzIAglOZP+keJUlQMdNq
K+dm1b65SaIjZQce9izLT7UthgdhAvq/oZyAadfqKN22fnTc5prk6O4gmoqP1NH1x6KNfIfpjagT
8kc23eSkd2mkb6HSdb1hiSSxfqbFDmPXskM5xErfFNmx8ZlSey43p4a3yvdCoVzAWsr6OaMdLGZ/
zSasPChbphz9smFlkRvnAozstms4vLNUX7X5i/hpu1q5UJ6f/Q6MTmsm6sEai/nRjXP/pHQxn7zF
y07wkmc0C130rVqC+a1HBgkXujAfSXluduzIuAsTK9s5uku/g2IHP+K0zXZofO9NxYZxSBNCMDI7
5rpNSBVw82Q95Xb8wGSn2xi82js2pfLUMYq8i+xebpJoMJ4tYkCuCHDsg25H/84J4h7ZQBafh9Ln
f7XBcGH3+qXKhr0+RK4Qz7qx5xHd4ML74Zcy2VYF9eLK07fTJcA3h/BWUXYvnjsfWsfe2EIfVX+P
1wmWlFvdjwW82lhNfhdC+4ch0PveGRFG/dgtqfySaVO+sQWXIWu+1zly5LpGgUFlgOJMjoMOVt3S
ZTvDCdgEOm6J9b9xOcMc/CseuZOo6pB3CN08CTngeZ+WIhi2nmJB0dhMvQ2CLVcFwWLrxSl58KMO
1NR6qlznwM4fQr1vfPOdzntgQTSs+kmIaxUgQ1nS5stt2X8bsGyogAsN4k33F9HaWPucXyS5HuN8
iR9kHrhrrHCIERFXHdAwGM8ABiW6ezKtGEed2xgNfRyFFGrRVkfliPLNnJPNIACkjzhv77uujVnl
+q6JVTw1t0SDuMkK4Ju+OHYQvXraMx/LsjPOVjeqI/qA6TxNU/vVEq/BsrNJkueRrOkHgWHppz0Z
waePI+mYpxjzrIT/zgTIt9ao4ky2McrYosGzURFN9vxhBa13Vw7tLFaxXVcbHXjVo6o8/LtNNvws
xoklZWYLBZ3GZxOLwEKtcMUSUh9Rk8BfCHwMP9zXA+OfelW6kBGcUaGx8fsmenYUxMvQJPJ61Y5l
vJsbm11tGzWuIm0QoVPaWsVrLYPpjayRAhs9MCeNozqJok2GlAhCfZ0FFxS7w9bKsW/aNEOsqyIh
3+OGK8hTTLtdq/d2gRQscXIogdgPyuAM1kHxyxvubV20ZPZmUKJBogvT4n6Cf0bJpFt1r+akPWdD
9ggG/4fjZd/60ulRzMzWUcdRvO/75Y2wVL7Q0OTDOcn1vrcX0I0l6ib/dt0YlkdGSaCX5jYiwhxZ
uuj7C7+/s2wN657dyhaEAmsV4QEg1WU0HYZk3KJgW2dlEWy5XYEOgtoGIjhX2Qn9t3qtpuXUR1+L
4z36o/Ws/eHDbJIDNNnvMm/f2IM4+xLrzbUhsX3fGhXx5Ebp3RUDnqt1UaflujZMQE/1whq6NJTG
SEfQcFmI3mQUZVEnQUhC3ay7J9Hm+dqsfdKmHGX1l7xCrL1qXSk/phFPWciv0D80kYyvRTA9RVNp
74GEV+8ThvAalCCLH0ZL488hi7qnpfSa3TzVMO6wwmAnn2N/hYZj/up7H2p6iVQgdtxoFRGluuOb
7MNa0/XVj7NxPxgmLPu6Q1Ng9jAr6hjAbBwghcrV1c2Zd6ywjiGewjhz8GQ1viJ44NLx/QEkaRoj
snXrhZ7VSJFtYLlNf/Hf4AfQIDHRY6FQDSljEgd9WSuO+eiTG41w4d6DjZ1sHEatG20F5R2ICiFX
qYsmCXWQt8My3XHkOrWN0coS24r9z5OYbhp9j6HhC2T3mr2Lh57DTusdPrOALzfLehEL4kSi5Qpq
LxxQNn0B5l22k90ZH3yHrc1sg7pDy7c84MPsN5MXgKWY0N1hOPPF2Uig860QzeXnImmie03xsSE3
GWK8WdS7PvKRkdqOeSpj/4XE9yPm5vrH0scp1jtQIvDY6qdFoiHsFfF0KeQLmrrAvQaBZXxPZBE8
9ijnz5aHd4y/Mv68HYXfy7hOnvqxxLpGkUsiAB4VdogieCGBr3v2cOJixujSTw6W4sISanoZjTnN
1ilC262JPv07LEa8L1WS75MYoVMBGutiLnFzHfSEwTdT9kHFfXdBI4H5ViDeT1UfEYuBOgBEo3Ua
XZ+ADAq2b2WQ2siGAH/uqHkUWVmDIzZ+OQX7ZvAGlvJwEe8ZzGHVcxjMTWIuj3UwtIAK6rG9Gm3i
MU5Z9LxH4wKrpujcn6PZWM1qyar0irVPXYlbn+EMiNGyDrjqDIo+ukkktjeMZJWy3yeRpNrj98y+
tW2p35vMMcyNbbA4WNXNYkDHj8fspTclnje8OxunxOC7In+OxsZHLQlAZkguwsWyZUo4NEOkh5Ww
TUUbmOgHrslsq+2lsPmWNDGLSH9+FWZVvbAMhURR+BIzyRLRHFbdJfemK+pGj4d/yGE48BLESvmq
+sX/ddxwdApKSxaQ4EYCZJQjvZUvH0VCfAgLV6qQyMqdsMHm9mJ2JvNKg/gWciLS5rNQEcKEZbDu
zaHEWyQoeLDdiuGDaPPsvZKi0pvIlN0Q1pUzpo92knS7orEpdv+eD1+DZF3peEajgucgVKisaKqw
HHGpz+Bz3HKf28KwX8soan8NVoYAwWJwVx0tp3QRDfSzHE/BnLowaCPTm9cFkoZxTSUtxL2BSsQ/
mbhREK5L+daXU7knH8R+LBYbz5BISUMoMQoQpuXCMODbLpW/oc8cSbsZG46CZemh3gNVSrZlRUhx
Vw8UtzB31AbkzmzdMaW+RdQjSNmgf86WlRwbIiSINiOgNmhf0gEw4SiInRqbm2FO+NOvRQULRCXL
GY+LqMsf0lS3qKeCK3LmhsUeMw5gzrxy+WZVTvsrYQ50NhYpvnjpzXsfjS3YjQjxNVchxwCfjYO9
ry99fZF+PF/a2vVJeSMqdzvIwbhjGhZzng8gjteIplICBWp1nyKdvdSGzL7TWtIuemPj/8gyjTLK
4uD+1ph+kG98ezxlXeITBTGKCobJ6Kr3tgnqdUFQ0hsrJb5XQ5HS6KX1UzXg2Ituhukt9qYfhcUA
amwB83YOyxPmmbtsWI55DvkSBqVHPbOI+DGdveJ5gsq2tQ0Vn1Tim/e5zAWDD5RNWKeIo9jO1dId
YF1YGyVS3W1wJOlvNvFr+4zr6zXGb9Fxwicu7PjRbI96yfKPmnJpM451t+erGhNP1JsPqs0EJF0U
Nz7GABxLYTd1yHunaY7QwXkJt+Q0LGfiAmkM6IZ/WLLxD0xX45M1TD8xiP3UrXgxaAFuyhvzYN92
8j78y60zcoTWsupftYrjox+o4C4j2ebn4JVQg5c6nS9MtrgZSgprLJGW16OlNxmD6hRRw6TEzzYY
byRgz/7VWnJsP28/AmE9wmqAf4mTyI1rDQZhhENKa++yzgS8ZM9QGkwANU7EiwN9Swu+vGKLBrSV
L+OPlIyNPBx8QrmmyAOF0MlzxxkMCWWJ1mkHRH4V5HZ/GpCJHDQMHhhf87vB34KEEe/zmsYk37nd
jJiSI2KCYbV893vmcPEuKG95f/54T16N/dby0o8+1zA6YWIr2XHVG6ZL9iu3EwqPpMEaFc3yIlCE
YQLJ4C8WObZUczknVdmcAgKLwqhr1NdcTIzbyl7sIkWvK6YMvkYzdiTyVcBsEcnwPRCmPLSUtAhD
uazGFfJluepya9qBShU7oEc4yTVISPT+lrq0lqhgFmjvUHtWjMIhic0n5Wv3k1EGHvYRXK0Rigx3
nNk+lpFOHgirByYjUBV6bm+fo6gPu4zncHbnGgeSX897PvEOFaTlsHT10cP2CQD5IXgbhe29JpCW
jvmsVZj7i8lotgTbyt17BO1kn/2hd9c+5crbYLrZqYTwG1IcqI01DbgxBzKPnSAYz9PoA93vDDGD
30/Y1lX0V1dvpit2BpCg2gvSz1gTpqAgpYW2ZIuVp3H1UkKSf47jfnnEYuu9sq+vaYnSqIxWTo/2
iXieOizwoaANrDr/1RdpwQy2sJ66uYImOmMEoQVSB3NpW5wttg9JVmfhLZOsCp2KRyVwpjLdYfhu
d1zTZDOlnjEix5QYLoLEiSm35uE7xygJesB8sL4E9UhpHy0E37GF9lFnt40qt23q9Y+4lYw9Jsio
5jT1m5G2y0oRb8lRXNNizi5NXUdHH83/LqmhCYxQqu/AAjf7kQAJ1PlLtsZ6Rw/U3rAsEezcdAIA
iubqBYDrqtLW97R2P4KC4C9ZkxKwouJrCLEhgwZdtBvi6Tu7fST3kFONR1VLMqkq2z+W81ic0zZ/
rpLAWmH+TMgNsswnTzsO7L06OqSUIBvgk08gGHIOaXd8JGfL2MM/yC8TNympttWmjbP+MRJL/OQu
JQkVnXa3VsmUmYGufR4rp99JV3XbvsVSwzLkHdeucTLiQuymqDwMhfZ2vcNjlCXdr45u5Qu+coih
awr7uccOgOwUkr+C/K7KA6QUBPEkc+68pGU2FJGWxBNux/j1l+S56/vtwjrUbio+Y1a2G2NuP522
XE7xOAKR7TuNgA0UiFoJTtKK+RM5PkaPDd4QzUp1uEgted9go181Xa4gDUs8tRmZOwnwigxoi9EU
Jx8R2aLEJsgqpFKify8D+YWwLd71AgbgXGH8werjXntDh3Xr3llLtxeK/q7uAE7oJrln9luzOyh3
qPWvtZDGj0QBwsArC+xlLEGKoEU7MQB7yQMyayCJhyweQislkjUeegUANEUEnxFUoafiywbbEOa2
/r4s8Z1p0lWs4rRGq4tWEFmbgp8qPQFRCdeRXGR6wMfQYgQNiD1fdRWbLEoP7yQFMmC90CC7xQxd
3gZ26JsAdaNbOyFBc32vMAGSZpY7a7t2adr7aUvSQLs2vBiHY5HiU8GA9+Q2cYV/NrFA90ORdbfO
nHX7Yp5JGqWrQGwr0hzZd2nKdz2AVfqI+Bd8PTV2+bUdmM82ej96rYFpWz6j4uZ7q0J66c3ig1/c
sqBglKHT+RoJJ3rCI4z8sg9qMi186xBIG/ACEYiNtEgWq4ZxnPc4kYGVexG3opfxSOnUrLNnkS4Z
K0fTToKPGEGpXJnS9jDhEtV7clP6kzDGUz2+B0GWX4PYkzY4DlD24dyzH2E/it1C3oTk+TSFI8EF
OIA7VOkx96FrsELgPA0IC4QQ8piNQ/7Ug/iOQ84N/GPZwkwTS45EB5K63ruqiv5jri35hW8OObQT
9CX2fermlr4utOqp2C5LZ2ElmM1uDzu3CguDj5pmcKBbJNJMXH2h3xgU6w0Kcuz2U+cdPVcywydg
ivwmkkKX4gJBBjC3au7tDDFlqT4AaaFodcd7yf0e1+D/RIz9shNPjjnO6C/xXFwlBcmZJy55j5qs
oSNuVmMbGwAOSHSUU49H1VL7YmhStkvAOMss2MEQ+w4y6FE20xvKv6nDCUWZgbuzOUwIkWMfICJg
ERxDtk3mLMyqsEwZNsbSuolszP6Ru7vihsyZkmWFKhGz39wzHSJzEOPLUP5cSAAItWO3IWXPoSLz
ctV5KGF9ZzBQmbhspVTQjk9BXXUvcY+peUpthtTgei4Z+gHo8+eb4WgDAMNcA3BhSNHWUfRGv4Dt
C1UaaB400SDj7e57amawpjXQztPStUaMIjTPKHxBe+Ek5dIt+5gjD9gT84I5i4P9bJg9SlDaPM6f
sr4YRSWfGsLFKLSYn6YGIYkEUb63sTB388CJy2x1Oqe11ECfp+Vt9ujaypBVFpMNl4fl3tXl24iQ
+ooNMoq3bWfP38EagcOmOj470Ebe5maBstyw1qMkWiRZO3NgnKdC4NDyPN4G9GAi25VtHN3bjIY+
6U3pQpYsuqRDXDGo4P3jnRSJZ24iaRYvtHDputV6hzU9HEsc3w7oJNYUQ/5Sds1e9wr0YDm+dm3Z
8A7GLyyQdwre7b5gl7TpF92Gxkzo3RrNMjPuTGBrYaXIuZK+dLWHStzHECNxkzO+cg39q1rSC06Z
W8LavPMsva7Ggpy2fOTKZpAfLlCATrhowIXAZ2gRumA1sFS8RSoPwqRGjOKuHZn+sHpLKkSNatyX
9J9vRhUwW3Wd5hZH1HxhuTTQQVk8IGOqcdGXcOyfCmlaU9iYXb7HGUHXgNr4DkYu/js4DySiMKwL
QsO5GZVGj4SGygUR1+SXzoPg2A4qPbI5YeUAp2s/6QDDsjZ6wnwQ4C6Py5RWe4RnY7u24Ifv/dwg
IbS6qektYoXfMk7Fz8XUUNvQtjy5KhqYE08K39nicIRJb3joctZmA/rmDeeGOBWppWiZmto5aGsg
osJFoH4ZqWOOwxwRNtS3hAuvkmRCGrwUNV/2zrCc9djxlofC6l/zFvO+7y/+JoUxuxt9M6OsA7Lh
YSNbjYncyZYKCiRJZ53p4OpVotkqDmsSUK7EiLZZKn7WxNmF2iOGOb9VvONipY/o9eqLjT85rMsi
e8iWxd3zVbIfbpL+VyexvI0fCLJ+hqWi3yPZAu+ZFcoc+i9ccc4tNPl3yIxuOU4DtXPUjCdO3AkD
DbyenlN659oI/MF03jZjTWR+Kxg3HCO2QGsFpZ5gQdt97EkWJAWzlp/kX8CHYarH5ZFnk73usWeu
klFkkD/xJjJDstcGQETCGET3ptNEPpk8n9dEmTxKsQ0j3VnqR4lSivA64pm4eQgh5pBlQDU4B4Ow
zxsbZU7Xfi7Lp7RU+a5v3e5bE3HW1YbNQn+sULatZiPjFZcCe2VYVDA+VOx16LHr5NNBR/suySq+
ny0iE1knitBCqAj+wpah7wWggIwY/GNe1CH83vmEI4krJ64HPp2xbvwPMYp3LMg/48GzzzKwH3ig
mNYzTQrLosseEmGWPYhWfescHFiAl2BhdU0K4tj2u5rDMwkT3Q57HuuG8tFmZDqWfoI1KY1fvMZo
59tFNBhr5PTzhGnD85AMLMFdNZhIsr1Sf1p4q2xm7pFnd/eNKOcDTjIvzHOB16UbM+QzCX7dK/Zi
9cTTlX7LK2W+4WYlCdNr400sZLyN6mi5d6u6CBuvp7+M5oG1c2Eab6guu5ccXOPa8Us8TtligjXU
hFug2op/Bthe1yoy8k3gLvMTdgZ1V4Gq2HJbFBvX0+2xmgzS1RZjsFi/mL91yX042VVzEjCAyMAo
iqOcYwgrN4LU7Q6xw6Xw523rDMuFQQvA1yQXH3kcu682lqZjRZO0b0XSMof1kh3UhHQL9WJTWFP/
JQJQ7ukI1X/lWaNbhASw3GHHnh54IgtKake/E72ZfdoBIc06iZcnz7MGolLpd9R6Zn2MgmHN1HiF
vpF/4mQcnmfY8wBqyaYHbTF07ZM5le3FyetGXgwSiY7dbJK9KMXYbyS91h73FBv0JTceZjvB5iPc
0oSHkRQb5XZoVEzFVA9+4zOWKeuSqJpCxPQY2pCrxfeZr56KW5aY/lK8JLpEQgK6ki1ofRa1ePEq
QRqELp5LJZrHuncioiSm9FbV3sBZafpqCD3cQ5LxniE4DY8EZ9brLLuOjFq3lpP1bzmsyAdp2tMb
BopuQ4RGf7Jr6Ku9F/VvHCtvbl7Y51nc6oOxzC+kulmnqmiNXYEh6CEm3DeM5JB/DQTqbpvRMkJd
DimtisHpgMBqT2+YxmGjLIgJyD/kofDaZjdof3kv4wZwRwdh8BNvOvVYq4hsKaiTT1kq43XluMxl
nYq0IjhqYYznP2ycmzSi6n2OplgdSgVfiLJwp22vPyoMOeAcTPNNBgWgBZ/fqsTpXppXhq3pCVCt
vWVmm/G3etO2VkZ+iMG5PiivaTdlgO+bbDP/1JuMNLLq18i8xp24MwpyZneU0djwZ9uBD5wlRhgR
IrpvwFoxYYnf/ST5QqX002faCjbU26aRuYXaQn4VmeY71dQ/ge3CWHJvycm6WN3sZiTREJdQDnex
ju9Gr8ajzLEzLR4BDyyGhDkb7I2TDV/ZsDcdyMGeeSgG9TS35h7FUOhhKt/PGbRDOUJnkmyFutU4
scjye8Y9ZYu3zBL7BW97YTukSs93TsP0ewYh/8ioy9m3uPu2ThejR1ZLSjNJ6Md3T80auHKcnX1S
554s9l/PsqJjrJeUUXhZm7v/WmoIWJrVPQDvLv4AgeqcaYGN7eLHORzutH35TTH3v9gLYhu+RBf4
/3aCPKV5npa/z/X8x3/yjzgE/2/kZQZIsFD1IWS/ZRv83Qbi+38zkNdY6In+kXnwPyYQ/CEWf/CW
kmBK9H9IHP/HBOL9zfBY1iDk/M05gob9/yPR0/yjjNsNkE/zW4GVZglq+I78k9AQZIBRjZVl7R1A
TcflxhOK6/TMtkAdUfLd8n/ofZ2krTcAtKeXdMzjY2VWcKmMLlmbOFFXpTX4nxkjiXXUKe+xKntc
0cTRnUsPCPLv3tmHvytW/4PZyUOdVl373//5R3PHP/++f9J+SpTOXcq2ZR+keJhn51YoIBGFDByh
sWKyYTXU+EFpRLu//sH2n8wD//yjb0re32mPlesg2FLQAtKY9miZuuxC5La/XZqpZoEtkB4E6CJ7
ExwOdKH7ic0X9oagXBPmE4dgpPR+XmjkajGWt+EDg1Wd3FuEWR8sxbvn2tN9YUfxOepgf4KPQMqk
K2NP2txN/rPRRfqSZ4aEL9qgU2I+6EPCJkRiWc+sORCsl/Uu6cr+abCN+C5vUQnhy0s3hbLKYxkY
9RlDcXrW1TK+U991EDFVfYctnhko2TtbrRCVVJ8zhIpDgdxLdJgMGU9iJQfM8+KM9XTwBmjGhV34
q2iK023m9Z+ZDlpGKLXVA8CAmJQwgN0uNYSfLKYT1onkdrSyFxKq0eOP1yZT+tCO67EQb05bBaeu
yMrjnAXf2sUSOwkRUc9kn88JSbGMCFBYEh9FPWjDyMsw7XO52KMqVoPvfXQl9Q+uOJwSGHfsIQL0
OMz3E8LCLZPNbtPfcr1FYndHhQt9G5GWuo6K9EIdZW8nbex1XD8XznSMFoLmYq2gawE6FTH9YnN0
Ebiil4DRnOWkdKkYRVi6QIYg0Y8wyZFmDUAyHs/ZqDe8MLCGKWWQ1K7xHYxgvHHjkXmYNLt5T4LW
dewDnEVoJBicnaI5oBPyrWGrkukZwdxNjT1164nk95Vy+22MvmKPY+bZrCY0pCA2sSLzmSCOgtRP
Ab6h9C/uGM1uaMHNTeu70cGvSK/u0iQ6OI7yQx/iG+kQoJBRtcsw6IGUDJO9PIupOTZQwkUNjn5I
ysNia3tdJIRmph1P88QaeTsqQZ6gH1C65v0MlJordUo71s1DiYSieu5gS+rAkrsGn3SQ+M+YsqgE
gDBZUMLXcnQkAdvD3rUZBOVodcLKg89SWD5zVxDIY0BEwRDIPQW+tyqdaOfKV2DtTOLIC10lUhVr
whmzG5LOJ9gXzVsFuKHxfLhoxfhoIpw8iRihiDtO4FRAFKxq1XmnuVb5U2aDdpghMk2jg+cWfzdq
ViIrEayDUMwurk+254y5mY0g6pUuM6b1LKydGPVOWoIsNTd+7K0JTUMZnGIJErL0H1Mf1FgzT8/d
RCuq0rDrksvQmARCyGU9egNKuNelaO69m8PVQ+aXQP94scDvbk3AVhXw7Ty1IpjHGj8+AS1l9dwK
zaoAG0dSfhpmtUE3BWfbM4ewseg+Wtu54P9I0N8OiJgbUEnBUWjznurlmNEanpGiCAwg8+xtiVOF
zFnbdfuDsTbwl6YynqaWQt0qrEfBzGaL4ZzIGDLRPwcrBhfAuJx9IVEEH0lBHrDByzpMS8vEvAgc
QL59b68iWqKtO6P2oz3EXtvY1R6YfHWwcuTeCtL1Wpe5vPoRk4diyNm9GU2/xwqVHG3OxRuG+qVM
Uyvk9BtPMwK2Zx34HBadg1w8FsZuTMx2XxQooFdj5d1QYpNxCJpePzZR2T+MOJ32aQ2kOkIbvi8y
ALbDYidhV2jjzkUxoeb5qC1kd9ASntlKdcc86rgfcue1J1JuoxUi9IImBpVtBZPbUvqCxb+nSWLJ
0TlFvrL0iAE9JxIzaNv0EAMYWpFGQiR8nEJlNIaIw44IBrL2jl6EwPA2iC4XP9tXKEzWlucuez16
C5Vh/Qsi4N7o0o5FAIR1MRDY1gbpO/o5Z+PQ7XkprBoTkdN2IpWFFgb4Gg24SdHMfH3R8t84if5o
nvjtFsM+YUmMpKZHEfEnP6YJddoElWTu66C+ohxCLcy2u6e1P/31hflbgNH/tZz880/6U2mRdxOQ
JSu290Pcy70TBT8Zm5B6xhoD/oT7w7Vui1vpkD9xO3mVN9b/xkhxM+z+zvXy91/BNalxGFPZBh6b
P17ZgMzQSreLuee08uBfO5ZAawAyzC88by20J9ZpY+ZP3aK6fV6J5hLdTpKEjfoJUjw7zBGJGv6f
NzfN9DUfk2CdJ5pTnnDx6oKA4IabNdJ1NhTxPo26am+h19vQHHEIVsZRNwi2PBX/qlxPrETX1mGp
S6AhHC1xV3z89Vv+rz7b37/cW7H3uwolcwoW9bk09+RsRI+tnoh3nsmzKn3icP76R/3RoPKPd9Yz
2GjzDwfD7R9/lDmKqMTiBeOp9351HuroWTrfbR9atZbq33gN7duj8udHyf3dT7vZdH73wgRLzmGq
M2sv0+Fh6aX9zS6THjRF/GWm+sbjyLsHXEsJnAhr2XeCWZaVK2bmbtydgwwQCJ/kuuVrWLjNtM3a
vjuyF7RDwmzKdQr3dJ3LERFQl8m1NdfVg5ElEBNyTeL5xEbVqknnZERObg9FSXMrTxzqlL9+U//o
NvrtTaXiNzEvW77Py709zr97mXkJRkNwj+zdRsZhjsAyLG0rp3RzxUM6iBuPrCnyf/NR/qsv6h9+
7J9qagtMjzbqEaibQxYywUJfXm5yM+soX6XaEMdqni6RaHHn3qocb4Tl8tcv/F/+ChxKgesjRvGd
4E9f1MLAzqTK1NzbKWuY9v+wd2a7cSNbl36VfgEaZHAMoG86kzlJSs2TdUNIlsx5ZnB6+v+jy9Ul
yz42CuibBs7FwUHBlilmkhE79l7rW2yJsd1CWnRoc6LLR3yMX8DTqTdN54lVv/6DC+8Xj7N8f/0P
bw4MtLY0CvhEXaaeoBqP510RmCd5TRtx0sKz39/uclL48Dhzp7rNd4zVn///8XuGBqw1XclwnG5p
cmYMKd5u2A+b31/lF6vBD1f5cE+tqZsYM0uko91oMKcqyQRYCJlErv7h6/vVlZZb0SEWcFr9aTGo
pCroZuv7ORgGnBD0nR15YJ/5wx398jF5f6EP6wDnD9UBFbHYTSr3LR66i4QUiB0N9GAFJsm8ScNu
8YMs5TE+fo4CVfdHv/7PR2ZLx5vHK6oLCUDhw74WRCMSsJhAHpSA1X4emv62EpaBZGA095U53tEu
XsDHobuK+4nyLYxoAdUZvL1ce9Zo1WywM7FiUl0Up2mYPziNmV0iNL1P0Lf84cBs/vywoUskPNGj
KcFvbH94DDSjT5lfN/xqoTotJjriRkSyWzln6N20+ThKZ9xUCmkD5o9VOMTVikOotoVCRfluF9mm
z1lOm75AtUUfKSkNP68400BEnlYcIr5WhPzS6s8p4QC4GG6PNjdnlNVP5F8j8uo21QwfGDAMA6Ls
TcRETk1Dna91p7fO2rb9q8T5f92COkL4Yuv+2v3v5V/+UtItI4Gm+9ZN+ee//j+CliBsIGfSYvn+
z72qdfRcvMbhcxO971f985PfySXOp29PtwUBEvue47FC/dWyWhI8DU/ouuOZtKeWXtb3npWpf3Kl
oZPTaXkMqr2FafK9Z8Uf0fZaekymJw1HN5x/1bNalsd/lk/aXrhbcP9Cy9Adig/x4QWEP+rmep5M
Owdu0V0ORPexdon28ATt8VUim/Fzp+kvZFQ0b15jok1WjGccmPxqY7UDO1gPfdO1NfkIm7A86Yl1
Z+gdZ692FqqHbx/vfx/GP0TJCsdcVsb//CReqlf1JXprmun9k/j9x753TsUnIS1wwhYtSte03gXJ
2p+o6nkGbOpd+DnLn3x/Dg2eUGsJjOVg64AlWKqo78+hoX8C/oAgGxyPQKkijX/zHP64D7hEyZqu
Zzm6CwSDQaX3oWyyKznpqlI4QTz7czCCiKX6XSHQc9fkvjONqhd1kHTPqsL88u6TuvzrWX/fBf2x
XPn50sua/65QFAn+wVRv6420UrUKI3IRIgIJqjR4GZD7/mELEcudvH/hiAqBseHxxusO75tYXsh3
lyMVInE6C/QBMenWSVgHHTQuF3uVJ9ItSirCxpNkxzddb7IMI4d0e+aalW77vaMe+xK5sTWH90me
Xk6de7RJOSAnEnWnHjzUNZbztEYyBOr41AAv96ei4Re/PjMhDr3wAmzQEd8au+9+fdHkrYsucOmR
deXeNc2EaXVHXge+gmmjdUhDhgrv35yaI8P4JL6xAvtCjLXugwxrsRvUjymgD0w0+mfNwptoEmNV
pi+h29tkisYHXL/JCmEnzLOc3kHh0TsIB28HjRkZiTfVh7AW+q1WIFhdYL979n8fZMHKna8mcjGT
KAbMEF1bNhjQaXgBbIK7Kdr0HE6gkXbrME6v3Ci9rrLpxqpfp8ZSbL2rpzEe5x15TJPfmbl7LBtJ
VC7u0YP0FF3lCEh32zqZb3vcDF5LjL6GiZ1chLdOql8VWgaYWXJls+6zMxpB0zP2aHdXymTcjVHX
nKLVRyhF/8hdObDTfctQzOEbbAZWNtSoN9Jwa7sAAGwtkCeWNgRnoARmtK5JC4oysPaIMYsTTr7e
E3N8wtqKuLzwcIGulKQkWXI2nkaGdgtITrxU9gwWUXXINYzTAQTO+aDPxN7rHppVwupQOjtiPikU
l9DBFFt9YWw1uHevKNHY+IgBGsi/RB9QD6hbjCutpVNeTtEJmOTPMZSf2pJ3YY/RwOWrsdup2Rst
P1CRHLEf8iDxs7ytj+yBm1GVtySlF3+o/gUL0A+vk2eza7F6WDySAszXUk6/ex5lCHoWd46xURld
dk469MrXEGkIGSvg5e8gQpi3dMnGM1LitKcI6RHqTA/iaBDX5Rlco7tRILzvg+KUvpz3NiJtuDER
z+xaO2jXjmz168gs04e2VurokrT39b+bWkETbvrTpmYsfJb/vKf9n7Z9/mEQSP45P/DXbiYdpn2m
oKACZ+W4cola/z4HlJ+oZvirrK6c+r/9yd+TQPcTnDa0peSmgznyTLaCvyeBFkPCpbB3DPZBKEj/
ajdzFhrdu8eSQzedea5EWohkpTSND49lGbkDo4YW0kQ0lwMmNC3iEQWuhC23VKqArjhnl14cROA2
aCgUa9LqOjqxXUJ8X9S5fbtqbN1t/BlL3xbH7WyvzBxEGcEeKuDIMVnkgaPm3AjDsN5QcJrDinc3
PrHsTGXo+j0C+GQfH2ANbBK7aC+tuBBXkrCB81BMDqQIrTgbhYwPaPaIKhPWjWdVPPEuCbt6RYe5
JFv0mLTwXr0KIdKQ0Ac2TzBlrd1KKZ8B57wGFsO0aOFUzo1Xbl1yRXz2UUKYbeZuZS2PATrE815r
w501R0+FEcenk8gg4ZB4SS5uK7dIyV/ha7Jz9O0XwkG9XVrBoelam2bqGEwHxF7d1YzgH3cuoC6J
BIG2M36Wwuie3VHzWDr1ZpuoCvGZ5Jpe7LwFvWucd/X4OivywvRxQg+YaOcOo0I8SS/g2Q9aaPpd
HjzQfD8Fmn6GmNfvJnWSW4BcGObiJ661L1bpYTodzdcsq3atxaaQOhPi9alci8G8DZnprchJmdkS
SaDE/leuaiN5wLo0bjrXfXQS/SxpqCQ81x/aoVnHaqTaCGvP95TWnyLZaxi1Gid5Xk7k4Fo7AsRR
/WbdZdpUeMjmsc03VkhWGg7hl2lgv8O8oV/NpiMQu9iEjbKHPeWtyDH2O334RQS4RKNk5F9QJuoL
Y7C+NA2ekUzV3kWeh+6pOTrT10Z2GLgt9Ks0ZjHOIrAbzpoovdCNKv5qNQOpcVNlrozFiok7EuJA
nHWvVYoxDabmtVHLk1R1+RpiC+DUWWvMCxjOAQRO7zItXQRgznztReVV6i4t/8G9nPN4ONiYo07j
uuOErqeBuCRAu2btnr5k1DNbT8uecnBvR0qNA426WUeU2KbXSO9sjMs1YTE6ftjaId4zqQZipsx5
jTtrOu1S94KuvH3dhW1rnKHIg3yyZPzVfjFpMcldVprDH8hBQq+1bAjJyJN0MVdJz80u7i3eu8RR
AF8dFefZxpqDnNiaOHG4YS0R143nARBJzLwlhIdxA2MlZ9b1teprkh0q3KbhhlnxBEFpjmJn7Rpl
4DIjDVBIhYlByaK0gt5AETaEI2lWnHd7ZciqW0cibXHApVZcPRD+2iDP1wqvm/009xZQt156a8QB
BRTSKGEC6hXk050GdZQNW4+4TWMVEkng3UCAATKcghUqv1ZpPEuuS4DQFidnhgCdoBIHbm1QWJh8
JeCSiT00X4e9zmQ5Mp0JKaANvG3TkUkQYbbWvPa1FMw01yX9RmLLAIWR4VtL+4mJxPRQDLwxskuI
dQkbb/KTAO7ECkFzVO4xfNCqEb1GLAHEYQRPdpmFNvrnjA/LTbVV01sbxa+xDON5QzqS2ESMaDRN
ivymJd/+bQgQoJJqNwzAsbB9pZdOmeTMuZRVeJscXEN4jqmXb5+ogGgX9iOJxoJI34yeiDebaNsA
o+9yhfL44NRNl32pG03FW+mmpB2K3Atwb/cGpFzpol0aVXQti1nfEO7DBVWV+h1UEW60ilx1mIIR
50dNOldWzieOJsRT6sTRsZBW9zygtwWdEI31UZVwUVaRNyeHfATD6xHWYUetRaXV3iadext146NX
JCOzDUxlnj3UBDBF2ZWZGMsMKXS2YVF0N5brllvIed7nUNS4RczOmp8MwJUDZpxFAFzcB1rjV7Lw
Nbg/q7zpu1OHf7dZOZ2OAYElFE7UWYfrzdxJLeATJVx1yYgdGEdn5IRQgmbGRovGQO3CAeuKX7ro
nDaiKLLhlFX7vu+s0d06Ud3dJHSjzOsgq/tgy+DHgxnVOpCGCytZTU2nj9d2RkrtPrPq0O8Rw0c3
DF6jV3LgDHuFZKuNfK+x4tsG/XwPBGXumpMZrTxxG33c4pahQjXidNqDHnoZowT3GABfGq4eMU9r
EVbzYvwn/3RsUSx3U3xhaYRe9eY4Hj1TXU14eA8Blscrz8GP02YzLuBZd4lcyMbP7WhXV5Wmy5iW
mpS37ZxNV1PQ5NllL8vypTBte09BPBwCxlw4b5WXPztBvBS/aOFc0cmLEZ0EBBsj8V5C4amHDMFv
7TeE44BwN1WAQLAzva9eNtdn1aSGr4CoBrWOJZp0RtM1jGNXI2hdmA44SxcAUvY1XuiT60SL9PO0
753rsjSch5zh5S7uY+GCt8Cye2YQms6qAAhDQ3F+W4Z1FdLhH4o3KDbl156g7kdUzEgBaovxmmPn
pDND/McaweGmvtDK2DyGWavlR/Ap1i2Gpzo/K6rRQ5NulJZDJpqGOkbqkffoliG2tqSV4y6B1CjQ
b6TWK/ONHp6AQJxQFtlZgX4Bj3sXuHdZY9hPs2IHwbvKIunmU/jo9Jp+JUYDRWmGdfFITHDve4x1
9wFZKRsjtA2SZkV36C2R9uANsLDbatA11oiySbde04CPmLUJCo8m5/ZupBV+Dh6fMIwxpCYHYJ/N
zTHXSF9fEoOKgVWyzqZVo8tiTazMlG0iKGwnbTcqsZ1Ns7WvGmaMj3gVeOjKMDSXfN0+YDAVSLLf
ZYGTnCAf2uPEEwutAUyts//VIcFqVz1ShukC+U0krjR9IluFYRpoazCXjGBb050qv4q4dSx4WZii
wk4HE9ws8PZd2Eg7PIsLzZnWSH/6K4NowvAEbJutnw1JMhOsJjV0JhWoHoBllYvJXpuwxdWxXd0H
xLOPZJoTAZggzpJQzYqUVx7Po1wPhtMfU/qNu6Gr5S2oCecqoXIBThiw7jtjHTOTms29tDGqViIW
e/az/ALTPImebgsz1orAcaCYJckraeezNrDwMRcM6k5jEw8GuLW6Gngg+ubLiCa8IJYPS5Uy9fN2
GmApNMG1zgu/bto42HQO2RltVvWPnqHq03zRdidt3a1TfNU45isnvLXsMArRd7A7YPrGXTp5CKkB
13vpDs5zIvcO+Cu+VnA55hoJqtVdCgLMLzwyyUkfjkx0VN1Yw7HjrLwu0caM0OocJyUnNMkPmheY
d5PRQ40okXKEGzkpdTOayYCpb/IAh4s5fGWbY7EMmsEeV/2Ai3SfxTr2Hc4fz5WBVIUBZXY5W+Ul
ndFx15IayDkfyRTaL/usJC3EL5R9WoOK2BSiuw2dOAUZUwSnA8Hbz2wYyU3oiuy1UgCa67Q26i2W
6PRgdE1QrDjK1K8hFplVWdrBIcz0AddTzgZVjZGLyTluUCPpaFa2KH6ALsXEuOKlGCnbj3YEJ67F
NyrRwI7zRUpM8brupvJL1U5fkLYRxQChIF/8ATi2t6QRysAnswCH8bvD2S/aaD+ORn4+8SxttncH
cZMQXL0su/FglRmOVtNum5Mi05Lbf38ZqK0SDraDQN3+ILno57zAS6UNB3dEiYsoLkzW9VRb7h9u
58e++HI7y/cLrdLUORHynz/ejiE10XnSVodZFeo5WXZ4p5s5EYSTBwJ71NL4LetB6MMxzdFf/f4u
xY9Nyb8uT/MMlimIZel8vM14CFNUiWZ3sJq42hLn190IL8f7uBQHPWEuV15N8mRaWtPndCpBRlJN
9Lq8nakuUJhSZhihny2FR+FQ98/jJWzp8uCYNbR9XQ87yBlz5+JeHeLsAhsWS1WJBANSCf7hlS3/
0Kj5+YY4CdPehTZLu8f5OKadTStysxK36Ry3LVF5uLArQo4QTm2U00v2+DDzzMPvP8afL2ouUw3D
WCbhaB4+PJNNgAKlB9zPRcP5zETzmOYdkRLhSexO9fPvL7Yc6f9p7C5fGRdbZjb0FuivL63y9y9A
CFCiyLy8OwxzrG3sRryOqbbN9bH7w139/KbRo6cMoeNFkwNo848XEnkLqrVGKRaTTtpdALgL2DgL
w1b7398Ro6SfbsmWiJrp/sOGtT9KfsI0thI8vtmhs8ggiTDw+9gCovCM7oep/BTCcruTpE5Itryh
vUiRlFmXDA3wPVDyqW/VHwQGIoUaFcyY1pb6EK0YteLvf9WfPhM8azxaksYOH4u9jDB++PA1K4SE
5MUg4CLdPVSe6i7HcuSw9K+vw9iNwbxcOkkMK368jlNHbc1UAl9owGHAb8CwxX4Y4OX5dp3/Trr+
0BT8Pjxltf3PjUH/Dd3s+znXPz/0feLqfmJouuQ9UOEjV7N5rv/vxNVjTZeSAaqAXO8xVfu7Oegx
pnWZw9J5NyyMBLzffzcHvU+LPYA3e5nD8S+KfzXq+nGhYORKecvkhFfGZB5HC/PHZygu7Crn11sA
wrCvVqjNu1vVh8Nj1MOFhRt9qzS4rIXZLaOoLKooQCB52JVBNIk9JNnnPG36ZwK04kOQSrUpMrTI
0MoUtUQHGBbr/NXo8KbxzyMtoNq5DGlmvCWO88L41vGHWWoIrJEeOSVlDdzT4LYWISZ/NLYPZmnl
zyWwEl8TE25xMJqXU2lfp2XWE1llMp0xneEezIy+0Yk2ZGYmlS+ZB92UpXwcNRScxIiRZJDW48bR
tGFHch9kLiEw/C4jBDXVNxCNok3UEtRkVp28rthRfaW6+sbKAVQBg8g34dAKJFSEBcT4ZXedLgfy
D0Z7T/Bm9lUSw3OGJSp68RwMwh5JLy+q8DhcK5HvCBRyegAxJg6+3nRRFeYj2TTkcRtPaULUpmPZ
4BtrT54NMFemNeEUtEEoUMcnk2IV4QbDeZTJuL4/lwiNyTOuGEd5ocGRquntIwgnfKRgmBc6SNae
RjV5A2vTmytSvQEyD38tcf9dEv6wJJi413iF/vN68PDWdv9rRRjqc/Z+Vfj+c9/nBfonxq3IL3TX
NSwKSDaI7/MCmzm2NB2PocFiNVqW9L+XBPcTSldX/6aPEC6b+j9LgsHMHIkIqjP32zT0Xy0JP+6z
jKARFEmg6KwspC07zofdy7W0sM48x9s1kUq3NBJxYXOK8IGV0wYvpj8UEMbHGTTXoygStI74RHiM
P6xAiRhxDDPA2BkpbflQpMmbZVrg5Yyi2sDlHPw8mFH2Kv4Wzu6p9zBDRra6n5sgo0svzLsUqFXv
v/vafnGE+Kb2+qeE+vY5WMLDOoVEgWmM+6GEWhTiVjLlHGFF9tSB2vDRxnoMdu296KwTSSjnrszM
BsF9NvrRdLQbpf/LVITls2FegypHOJwAWOt/qCRSjyViTJS3q2IOlkHaQtUx4vL297f6i2+cCtFD
tWhKl+SP5c/fnZZcPuQkmhNvZ5a4NdIBnqrLyDTO4HsyI/jDB8tz+q40/fa52pxjTL5xWyAw/vB8
NaIxyNn05E4WhE+OhEqv6GuKP1zl477GJ0f6EXIiqjCeYfHhqaLlatSDHbg7GxgwFf4ELSVT130e
/1vFxnIh5s0uCQ82cukPF7K1mU90eXyDWIderyVfh3imOWwWl2aS/qHi+8U3hcyKeluyW+u2/uFi
o7LK0m0txvimpa/hsFtI2gUmpRmT9UiQ+O8fjG/6jw/vAGobVF9Ec1DdL2qx909GbJBd27ihu6s1
C2pLX7JBuYF+nRmRcyjziNZGUTvbqBvEfi4TiJF6Hrw4GRDloRjr6yT1mh18j943ET0bmE9qyJ6m
h26B6MTLTlR55ROkKeuDAuBIxmBOl6ep5mWKNdQk3XWz4SsbiNxKT5yrJs+bq9/f46/ec2atDm48
nbX4p+dxKGIx2FCCdmERiUNia95h6m0dGp99p03FFv1Aeyia8KtrAuOgMShuh5Bct9//Gr96XpnO
CksS2GWjIPjxkwbkaBVkvskdOhvrAPb6vNAduTL0yFn/2ysxD2b/EJ7pMSL9+J1GFex1mUiidII4
X4/Kgzhe5k8tlo7N76/Ek/nzAyt1gRUWJRdxPn/9+bulpc4NU3NF6+6Y/ooNMXXxvmHFvxS6M147
Gg+CoOAM0zHHaNlht+s8vV5jcqpwzJTjsJdgF3f4vKgnW2U7Nwpe47Pd195+cJIugzanphvZdtZZ
1/XlaYpoZ1c00YR71FCM7zIOUOtaGbAScgYmupy8fRVZzlY2xbSDJUyvvAEVZ9qNNPiLOqMrO6T3
RecSwALpyMFRRYkNzt8YAZ9ELW1ppjp+TxT8RYBa8Xmq6e5ZvRw2esasYYJhvIJC6R4QP7mP4Mas
i4E00f3cWi0BRHQibWj9J0h6g6OREMCSduYmA6B3iOwYjXxu4PAiLfvWItvgUaiieoYA51HZ1oVY
RVMdrAlggqBR9NO2kEW2j/UuudH0qr7w9NyrV6Nbgdgk1IE6dzDrx2rsgyPokOA+4oAMuKj2vjjD
Uu7CCPicaslDkQmq+lQrHViSzYUpG/PczSO/1uO9aWn5vugNqNGMCcU1HQ6oIGCdvQWD3l7MPRSl
sIPq3dZNuuN2qrXXA09kLkONvSAfTmiujDoQz2w6k0ryZcapWrgcIkBUp7Q6hjo69G+UTHwmg4kS
KyLLpMyUcV53QcBHZmKmZfbWPhikRN4jVWXKkdsVM5qA5vo9ZdsE+6GQ3Z2X5RbMOh06S10Da3Fs
66zunXxT1jrTtTj0EAjUM1v/Kg0NIHtJZpU0EOCQ7EUIO6fw+L5F2/PxIRWwnwOgPH7Id8si1Bvx
xqps+3NUCVjwmMM/m1Gt9ytPT6OLPqx1vCkIs9uVp3R4+SweUPIba2qcFTYQeQ9YpsvuMXcWqx5S
65faTrgHN7B54mWftDeZRSHk59EA+YcS5ySniZrRl/06h+YEQphUlNDXO3DCO09UWLySVE1nIs3r
k9lhiO3jn554hUAnRsHo7MRMgbNiPchfHNOGswNrQPOl1dSHRubkyIRgZ/tAH48OqM94BQ1T7spS
m5u1nua5TzjtearGEE9DCX1mLAx+32hoTPg4HqJ8tBsOUTAawLEzMTRb1Rv1SSTt5jQkMvfGLAba
7PG0ZYAQ3QpdjpsYI+225XfbM/SDZ1R3co+0Kuf7HXM/pM0OtnNO+VWjTDlbRj/GfW96yASm+q00
COCOVRNTn9b1kww4Q1OgwtzSDJJNHOYI61T0+DiN2R528GIsH2sNnz68hKOnACaCCIoOUdF43Ksd
rnCF5M/04ZLzBG3C3jOb4BUklh0w9x2Gqz7RKz/jK76B76LvgQBlmwEn9U4b2YUpRZsvvU3yiJDt
tJeDlu+aFqkkR1hji2JIw0Uvt2NPgTjOhnXKFDqBDs2JrFGJteqJG7Vj7xQVHeOIfAa/3bYhftgk
uAun3jqtGyO8ALstTpumk8+M5sw7MdvdhtB3E+pf0Ciq8ibY0zMrcSJ3MSjdmFcBbt8Jvf/edyqK
41zYEWlnDEA8eDAeoWprdj28mEqpfRPMxZGUHMySlTXMfkmIBKHITcLcTMuStaUSXMM5hbdpz+et
WSNgTNz5RtRue6zmNH4ZY1ZcXRPJmm0+3tV1Ol62fTkciDILlsSDcMUcU945tTVvxmbSkEC48zGU
yaNypLMrSbRZkyXXrkPnMshyZjdpRjhxjupPkZ8dpAmZqn2PZsTTtiVH/jfoBh0C0ypl+IZ0xXgc
ZW0eraw9DkHU+l6VhOtx0DlMW5MBttq0QkghEQkpmUvrIiuHbYnTi2SWjgOFAcx+bpr+mlCTIt42
lgumq5sFHBLt6+gQoD249i1F0rxTdQTIq+RVpgO7M3B9LQBb4wib86qKmzMzATTt4sBfz6zgO9QN
z0ZZNuuIOzcbnFch7Yja6sZV67Z+FM/WZhTwdk01mOf1oILrQg/yjRuEgFg862iVfeFLnH5Lq2Pc
DoOqnwKya9fuZJRrZ5ovHRtaQTKAg1s54+A8Fm40bmCATyTxBgxdPD2Eo2gV2kBZNRXVHXXZeEW3
0NxnjhnsGqjYa4PF5jwGHLMyak3eRNzv50YOPebeMYN/nTm5gz5grpNxMXiXru+SVIsyYWrSHsQ7
nwgwv9klDr5w0HyxeD30oJVehCbwu9WubNQhTKaRaGTwROuunb9OIkZYHTvpanDVcw6268A/R2KT
R75RYjX0bmwJGGrKrhfdhc7ic85LWO/mpA0YWcv0M4yI+kQA+V8ZCnGugf/ET6HjbGPG9ivDwUCU
Ds1pMwcjdHjrvsel4odSuzOBYa9NNvlLRysJAp6DBBJvZEA3AArKk5u25De5Vn0jHP3GjUlPLiGn
r2Q363u6YckJpDE8WCgxD4px4BLyXtSY3Hko+lqIXVhmzo4lRdsEDSCYoRLZGckq4lJVEJ4LlECf
S89qNzXk5UCbklNGvdpqbGX5lQ0p3iQA4faYr/q7kKYjML3RHt6abLatValD5UmadibdVQIDyuxp
q2leufcyUk6GuP1aClGejENg3JiGBAChT5cxoouTabbh5UkmZCvD0Pp7bMvhV3tOSa/hu7movUkH
yF/DMmKmf027HQJfHrw2OLXPjUILt+gpihOHIL2U5VGl+7HXxx15DZCRQCdiQtOvajiS2NojBtxe
P27nYOldLcN0Auh5EnDm61vDVB1NuIRh6BinqGVihvQQLuJhPaYABZQdlF/EKLLTBY7WbYuOT0Q6
SbYLCmkcrKj0SJhwTlNLPU6A6I802M/HrGxf7bxSZ3AzKz80snHN2fBc4ZffyACNp0kcwo5A9/6Q
Iywkq/u+IPstXam5Cjd1ERQnZZAnm6gaQz9UTn6Hd7s7lziYdzqb4H6EnFxMeXNnwcBeFbDtfGh6
zWtdDDM7N0UBiqGSBBwVDsy1WZthPIXnbgVj0ugLAiiYNa885I7pytSz0qeR0V+OUfNQgVcFIKLO
ItFncAyGTRmxbs/gWjeZguZcjh4ykXLe9ejkwCzQDJ0r9yhmSCkLP/WKwh4gYpgE/jQHFfhhes6r
fCzuwWkzv3WLTZ/qXwon3qvB6A6ZmpCQRK3YmyXTaM/o2YXNEackuuVdBttbSdSWpU0ikDNNcDoq
zTtBCIAR3ozdvZnd9qOW+7VKDZ8jlL+Ewe0o5UGShxI+BmqZHYZrkB5cf9XkNiNgO3h0c6dDm8bb
PJB6OeNu6Kr6bupaBAv9dNJp6t5LRH8Zgf/go/0sO+QOZqSRiFLeCzM9FrFzE/bsUIClLsg5fgvT
t2Yg2aSOY7XS4/C2c1QE5rA6qWz3LLaNo0ZDdU3eX3uWNdpZwxN0RvJlugsG0/tSji559QLZGcTL
wmMsbjp1/jCbr9hUsq2HGpIWcpKvURzg07XByHp5G9+qEiB41xZ3zezdg6fnf/VzWgVPYwkB0sg+
k63anba51axV1iTbIo/uIiH38KNvwQl8LkR9qOASrJHMn5sOfg9d9OXKqfpho/opXHUJal2hgciw
bPoXUS0ggKLMgqh2TasbllcSvdB2ODjEOGpeba80QUhg3YMsTKJgj1K4vyhkaF9Mldu+dVkmaZrZ
hzTQ8hMZ2862D4Z5lw/BS2rionc47t92iHVYjQOdV1aznS8RmLRt3lrrEMXHtpF6djKlOAxRViL0
iEan3lgmrO+IrBS/HYmu8nATrGRRHIWFybotRmqVKpAc7gcL2SVHhHaAgKFsjRqGG05EkrIUkHuK
9axAY8z3zbkVwJ/m3uDzvrDMIV47onnq8xkeKHV+4VB95qlQK8LBsEUQzlObkhGDeSSj5QEs9jkp
NhYEF753FHf6KnGz5hBFc8WmX9zpSMjWDQhQAbH8McEr5ht4PnGqvLia9eBkeoeEmD17qlq+tCa9
r4SpLiekEETpoYedbDvbk7lq7K0ZhH4VRKTV123yHPcK6LXFKF7REDlxCx1mGcJdn+QGalu3QXSs
+p3lONwp2XOQZPsLbAATdhMTDDtElK/uFJkXcTlS3Tlmtp10vdxqEnzMlOrHgjPLNuH8cwL7i+LI
Kde2aC4bCNVMZbz6Mao0e1cQWLOjxXJTq7DcBhWGiD489ygPL9qaJL2RtWNjycA5llIgyEpGzs2x
0dTns9ALEMJjukUbWFP9w/BP0RMrbKhbgWt8A8Zfrt3BGW8RbXN0KSpqyWbQt2Hpll9GburEbVzQ
hiNfqTBUtReRpnbstzrAUwhEIQlrOLD3xTQnG3gm4qhPdbYJW5WQyeBZ94TlOffISN+C0RC+EEW/
izJTf8j6DLq1kWg3VdU3LwPP9mXXeM5xik0oOCbqYvyr/Q7WTrQeCCw6t9WiVqaN47tR5K70GtQO
NPuae2yN1r3TS6S0KoRLpxsxj2FLj2+dITDSIcRXCoAwktFRzz5PNaViSMfrSxBGxQa4xAQ3klKo
44i8kwlymxGEkY9yVOHyL2w/wf9yQujc9FnNk8+BCTgir+9WB/x7CCyyjIbEHuCqhONlTMgD1WIK
mssFylS0zlVEI2rd53zjICfkXvQ2PDt6KSkkQMCVooXlNTbNIdGzTSGHcSt50TlL5c0pRIN+Q6IZ
daVt5kcJmogyFqGInRrkS8wBUa4zBFQ1CmcHJdM+5TowbOM02s226PcBgTongQfApwXp6psx1TwH
sBtGYOZTWiQGCq7udZTm8Gik4VNB6tOxHqMA8eH8ynG8uZZDTfR8iLR1DQ+p3RoMCU81vb0Twn7g
sqjlG4zkjrI2bUQ53FrTtCao0QY/C7qOL6qJzoWu0Rsqmtbc5Aohksw1g64jQubQgyVfECS3hVAK
JJhDn/WgwsZALFpWD33CNh2kJXEThUKbHZWcraYEwRy9iuKu0gYJ2iiqnpM0Mv+HvTPZrRxJs/Sr
FGrPhHEykova3HmSdDW6XBtCLrk4k8aZxqevj8psdGRkdQUK6E0DvQwE3F33irTh/Od85wFPo7ha
NaD9WHM1XMk5aa6ZFfyq8yJ4QI9bss42CFOHUtqR0tJ1F3j0UaneA8VVNpeyqrOtDKbsOEx4sFVN
RX1Nb8jeAGeIfc4vwYOayUnHeuZi1lTeyjcrzGvl/Da2jjhEc6Rfcbpg46XeA4VD/vIw8nE4CPSa
AQEu7sJWC0IMC/ygk4ukaWXtB3ZKQE3cB45UUG/KqD5MkR1foqFMt3NVJWdroCxvZeDcn8/51Odw
snt7uNepcD6HFHPmyZgzvR9GD3OlLWfvFR4VIFHgzZO7bWjj+ap4yDzI9TpVlzgiaDMXIFBhohpN
uPWNqXOIWDT56ygZYRp65KY3d/MTbmxnr4ac3VEDVWdq8oiVnTUzaLKPAqP4LvVNOjmmKYJMJluc
eMp9DjNy891w6xdmc8o9CFNVxt7Bu5rPN9gsg226oG9Wjje3/YoIHkB6nDwv/EPNc5GX1SuNxfad
WRW3GHqzXVoq7+LG4Khzc4xZ5vyu/KkoQDt1bmFtZ8er9Map6vBguuHwPNZ6fszCoX5KMtu5EZDV
QPaA7BLUX4GLSFHZcRHmB1MFzJA7L+lpoAlnCUXTZE0sBPuvUWG8YegKHTjyRmML7g0OOz1UsHe7
PtzVXoSWruss3FAJadJb2Pcgj2Xd5vg2R/Uus4W6xe8ke/JYf26pjel/Y+g1ilXIZXLf81X7F/bv
ONslVvMQui2rV/Yg/YBy0CGmJhL9cqUCEd2Mbn91IqohUXKGdRsOklYS4xbBHYZBOAJyDll4mSPs
DHdsYHireu9hkVEJTR49BT6BYbQb8PkuBqmgzm7ciHKhrG5fvDpJ402cgRJrCyXfwYBZh2DwrXXT
QLwYA0xddEz1D1wpQ97/Atd7bMjtVCt+qi5+HTW7n+X209YwM7FH+viEiuwcS6pdAF2OUJ3iA10i
4x6lFpSQH4orzu52S0QdwFVvQHtKKLQtO/CbVLrVJ9tPHmQHnx/u2Sl0yDmteVrA76EKb1F1SMy1
qfVrqoA8bIq0KEzO4Nrbd40g7hkK1Z0dr+n3HgnyisVL+J8yHYJ9ry31A/lD3TPR7x7If3avwE7S
O7557sVIdztzaLw7znJENXDm7grevo0YrN9dHDWHAEf5nQsRHyRzkIe/0GA54aOXq3NpRx0tH6x5
xEpaz/N2PbSibDtipk7XWRV03RdsLXPaCjOcxQYUGmNHbLcxa6atCDxWWU9UlXpDSGa65xpMyUUz
H7uAJmAO3YKRqt+Rhqm8giLULH3OJC3GZuzXlzaikyAUy8QlTIw3TRHBlFOflkOhY+Uf2weXjM++
UKZYul49/mqauIAkouhhB5sQ0TnL0uY71VZ+pzKW6dgCv8bMcl02WKdJsNxhR9p0LcHc0U633IAA
1jfqq5+b57KbgmfwdyXbbqRTD9tYW2w8c4a/Nf2Y2yTGzphZixOfNEEGT1YBKKt0kpyiCk2IgQ4G
1cR4wcObbIIE7RLZPVsn8ZycaL7aFEXs7LqKW1cdkb/1qaDZtTSOIbzEjX3kBEtcLGnoDNyJjl2R
2JEPEtitRszajU/yF6gAvDvfiHuQYUIYt1VL3dBOGAU6DopG/Ij7zj1z6KuOViqrLXQ+9SgHTRWa
10lQ7zBgmVIjeJCBmnuru7Z26ZgsYLZ8EpGCLJ9FXCLxlatqY4dOczJwv3VQs/W0y3zCWHWErClG
T77yueZdp7HcMahwqxd7Hjp7ubHk11BEFcLNXNuf2qo59BrKwAcXlCZINnzMzz4tbgRZhkVCzuzQ
/nKwzXMU8n2DUrwyZ3tDL/nhTpn32unYuzCRqm5yLAIPDD69o7ToZhFuFCmM/Eaccqp2xpZq7Tb4
CQ6k4iBDruYo2OFgGzkCz8osEe3okuDdSpeo+MYwHfM3dTT2MyEb8RKKVH1lXkmnche0FCbXwmLE
UKdiXtXk3z9r+kOO4aQnSIluAmPcDSMoXUbLvlPJN+053p2r0vxXjlcUxTSK7vqpcl57wx64HfdR
8Z7SlnhShcN/lyPVtKvc4MKEcZ0Go0BV7mNQub6C2+6Y762KCLU13QAJmZaqayZA6VFI0UZXY3bQ
dmNjZ8Vh8kJMsPuqSqt6YYgU/iiioiI9ToeZ0fLNk28qs6PkJHnQZTL/CEkovZaRxasJjLn7aTWG
fEcFdt7yVrfrgaLdXWhTn4NbmtXZHrxtySNyUobjsKVU6bbw9PRlzT6FPeg2a7Lm1Dq2vlOsNcTf
F8Mt4qM9CX3TjGPwMzWtbC08etuE9pOTRGaWzDE6tVNVE77PiCy8APiif/plF5J2qSSH6jmn+4AD
IEFHQjG7aHCf2LzK30PZV1dqR8WeYYNhr1yXTBnHvHRtZsYbnY2CTAc2CrQbEW4GM8r3Q5SlpDqp
71qx7Ndbu1LFlXFZxy0vQu8itcehpLQK9ahJIAb0oOQ+X46LCOlYbbp0pOZHZ9RLpVfcnehVUZ8p
h7Sa0Fdn01hq0si9suB6PFHFJcSmo3rihgWDZKiT8JuzlG6qPdfkyVoPVs0tuipcPFxlkmecs0lu
f5hpM94jWI9X+uHqR3fwqt9u3ec3pSiz00zl5BcACx9iq1KXiKZayPS0d325fQdJ2spGZ2UMVf9z
6VN7TZum9YDreA1FUUlNolaPjhOudGnLA49qsKHDwXlqXaKYq6UNOKFKkig3sCjnJSLD+kkC78UM
UEXLlhPJoNVMSVoemROKe51BRhv1e9EGNJ81aKf9UqjDCoP0Ph/aDlnPpSSx2HEN4EvG2M8Bw5Bq
Fqc0rp0C+JkpmDdMYXKrp86tNi5TV9aIqCS0CDnnHKfsX1ho3W43zjWPTlHSRbe26PnYE3ZkEK18
Q9yAWqDrnkfCuhX9d6qGyNPalV703jcqhI3UtK+OqVW6oT00Pg4kfh5iflH+zvFb57llQKi3oqi9
T45GDmGRpNAfAN5HxJVceelBeQX1AUyMtd7xNKftPsTlzALRtHTVU1cm3/oqoExIceQ/R6E9Pstu
2dkCSaJlNlDtjdIMThEN8E0DSoDJ8UgMw654Tzgj8QkYJpgUGmBaFouOPTHH8X4S28k/m2gMkSw7
F4i5xipimhe3Q8JkL3AauSf87cQbDwXbWiVuw8DD5n88md0w0KMAsbjcqsgumHSYXtVtnThBOmvN
9CNsnfzoOcmSjY06YW48sbQr52H90WgiOuvJMdn+Gd3oM6UBRAXHTr7ONVMHhhhc3gpKh7NDk2f2
Z5p34qwbp+SCO+ulU6WgbicjvZyTw4SuzhCIR7I8jlHPoMxjmHaVAXImM8ie3aQN2485xb2JOmk0
P1IvLjbjwGmiitWXPZgBZUlOcEpxW13H2aavnY/dnnTTNjda98aGWS13fJ3tAKgAPmTat+duAwWK
W7P6qv3BJrdDI9419t27nLnv3orq6CkuCjtZW60xHdLCjIcdc3vKqFvn3a2EfjBk6nyQROpWYF8v
2jKrz96102fbi3PoY2MVIP469Ss9N+XFgLNwm4PaeogM66+MGIvR4p8tL4GAjmSzcQP2dpzFqPEH
x0KciaUOpPaXOz3DU27MVw/ax13eqYR9m6Pq3UDl+LMYBrbS/94w4fxXdgksKExBceVivPmTvwdI
svQTus33GrzhXSBVcxialimCYGxvj/Te0UPM1kpKb/gcZ7aUpu+LnRrI+PT8ZjPVArD3C8ROJRLq
NhgwlZO0dyPHeObNlnkto9FGlimkRxCscAGaSqc6jU4633RtQvvewKjCRRu0cWrl637MZtYVTsDs
9TnViX1m7QvCBKsEd9BGUhC36htypmJ0aYjkcuCO2rzWifxIy8pZG97QHeqlsC6FG01fXLxYpSbf
/ouv7l9YMBKrF5otYQTbQh30/mRiK3iU+PocTut4KLk3iKvjEAlbw9w/liaWpVHjzaBwgl1JAzxO
2l7vgnzLKWDxGIywoxOYPusiHojO9YXcpoE9HEUForeaDFLePffdPOMAbKcAYdPM+wtjzjeH4U+P
3mIUD8CHLBkHf3HO/eHRS9hL1BA0wV40ioo+GL4zdbHzFJ9no3swp0FuBjZn0J9tfDKF6H8z8eqP
jVjceghurkmDpNWC//VLfBt/8Wz+63uBORPaF4ClAGfqn77fCA1PmrII9pmJUMUoMgougujjX/wz
f+LWL/bA5ReJ45FXgKX9Owbyhy9BMTB22lAFe8afmkJMyzMO49j0m2nK5S+LCzxrZKYoDgpLAiCk
UxMOoRR2j3V2xrMT3OWE6bDN8LIotyzuOrsXVIqHM8znRDypLmtf/vuvxvyzpZH1WpiuK5YkmI/2
8yebZp3XM4IEz97QUm+0omjcXXsCcTANM7qouIa8BNldRZ/Zz3xGPWP+I9bxANVUk6TdYGbQn3Qu
Tn+POf1/k/ZfmLRJTNisnP9nk/YBQ8dH/J7/27V5//zdxn90av/jD/8jvBH8TWDDtolIYFWFlxf8
L6e2B6eMF5WNGeiL+Xfmyz+c2rb9N8ultUV40vMt65ua2QIZj//j3+Hl2Z6HEIMfHEfx8r/+Bx0P
1r/Y66BVEhARrrMkSPBQkyD544phcQ5WqBH+vkQYorO71ZSTBYgXytD1h9PZdOWJGKdC7cKsWtoJ
4LB3G29Mw6Mla+tTNHN5yHhsN+BV7voCBckpuvQtbzJvV82SeSZHyvqj7vAFBG3dQkDT0a2Bq+nB
Xy5EVV9+R+S75hP7BpXQces9MIFIxm0slPMRMpBmDuPIeAd4YaeD/iYBZ3xmKcfYOcruWM/RUUrG
ebT3iF2igjssTvVBBVH/KqM6+MwM2dsUe2mMCkbY7+zSRK3MwVd9RokTvjEq7k8zys7GRZbe088T
H4i6QC9hlLFvp5r2Piu/oQnSv7NhX2y1lVaHKuYgVut+6X1Ggk36dr6OKEW0X5Lq5sQo9T7MS/xV
c5io5wFF53fCtnZDwat9qv3+aW5F8MOaW/9qezQEo2UBuLFkFdorRpXUUOYd0ukWM4qeV5o5z97X
NEh1lZW9svkI9KqpO5WZ9cHxbrihxDq5cHuhhsDzsYFxCjnauvWwDOLgWkWZl/yKvcn4wU3SP9dJ
61wivw1/Ye5j2Du1rvE10KFxU2jKI0AqFzf8wvmcLlSVsC5pHRTOLZbollmI71ZrXeX5FvXna3Ky
ciNljGUqH4aC6oAlTpzbH2MxcpqlB6rfJTZQex54hy/KKInFWOkun0MuNtjcXrG9kaKUeX0IXEZp
qs/MG6rE2wPJ7nozUo229yPQ7hA03NVAlxOjFOQgjprhi9/QD+pS0PdEsLlDBEOB6ebY/jlplR16
i17rwfGKuyTPU24/fozHZeg4+FjM07yw3Y4ZkH9rlM22cOPfYN1CkLGlcm9Nc0iPIGZW/NLFRXWi
uIzVHHwiS0XPE1fVHk2qeOE4n5/8OJRPY4kEsZrwEV38gcnFqIR139a2KKn9Mpwln0QDiNP0dME5
7R0WOmNt9pHa9exat7OtC0w4crqNp5z5s7R4ahMuL885NsF6MxHZ3RkF31mQmvSrN2X/NjO+OBu+
rx76QnnnOVH+Dgm9WdlT+lk7LWQ2uvgU/teXTGHXzAp3WDX0V3L9SDejy8CGS135bPo6uI35dAhz
xjBvRTiaMXOPNLrtKhFdbZxnmy62OZtrc8bpWY7c6FsbPxCODKwbml3JQ1b88OesDWh7M2pY442z
o/Ddx7C1XEGrj9acTn4WpmtDjBtUKmPXVONNMYDu92uIEYGQTzGzThjq1lGVC6fGiqXxF9b+P0HD
yayxcqJxCJIRJmcFn0X5j6te6KX4MVqWA4Z5VryiCw4oj1K0Y/I4luqCDWQpccTU25av+ZST7arq
prl1ZjOxV1FY9uduHiBhgBrflHGZnwOiW8UavEJ2gTNRvlZ13uxab0zsrbRjp9h2aMQhKv+cPQTf
73P2/W7bMUn4IzkGRx7bZV3AUwdpahxs+t57x8je/rBN/RehFG9hrf7T9YTcBLoDx1ygh9jLxJ9W
fG10RPqyCN+ZGz3SugjYIrMfKa1/wzsLIRA5GG02qi8I2V60hvoFkGeYANvXjcLaZERuY27dOa7y
FTYRaBrWMoRM8+E35eLLPW3SR68eD86UH2t7rqe11Tdv6N67Km5qur/aE5RBn3a75KOmIGfNs1Vc
sZE3R45z9QawBgQekxOqVReFAxCE4uasyexjOTS2xFMqui3fo7UOR/TBQQ4UigVTce29MXgDtlC+
6UEMi8mh/GVBXrp1I13f5lET7+LRpFm4G71XwB/hURZ2eNVFMjzwn96umfuEWb4dn6YBE2MQdP52
LvD7jPSi7is52hfLH/UxwrYKS8XpQip+reiRqjm4FeMctWt+7HFNbCPeZRj1983IPShjk93mlKR0
7EF9sm3asHnp6GHYRHagXlKbZsE6L50vib5MUXuWnXuEC9qJ3fSsMFDJdU9P/IvRudZdMPvGo92O
1oEyOypycSFXv+u0ml4wockX1wNQH4d1c/UzdziJmcI623TiS1iLhhmwcywaf9MNsb/xqqZb1z72
JAZIJm6+Ea/qtJTEDWPZ11hn8WHGUBT5jWAfSnXdPPYW8A1hIerElWn9cpQdPlWhUwXUrzxDyB/h
M8zuiP+unYs3rIDjzWxb3WVuungvyEeeS7Ajl8LP7J0v8+TiuRpNoWHKQulzqklfUp24Fs2gLljQ
w7vWGNW99Eav3kNdoYW9WJCVjl1umwYGFRec7NqPcXUjp3lpWy1BBkW2Ok1Q9u6x4llH2lU5rnhH
iD1rID0URYLwwR9cjznz1QhTbUujW+p7jFPZJtaYEa/tsmZhX3V24bKO2ZEZ3xezYXz5ywrHtZ2K
7QYIxdhYsJbwypZt7u7n74Wx/14kWSmcTb+snM2yhlKMzTpDA+nMQhDjDbGW9VYvK++0rMGNRctQ
iQcUXcqq9WsZDv7OGjUrulnVDwNGyfNMU+6bSw/AploqKjKjsXbF98aQLnuEt+wWZm6C386WPaQm
724cPGsmFdN9b0EiUDEd64bu8PabtfcEst+9Ix7hhJtp2ddI8DKl9iszc/et8JkkDEpRDMM+2Tfp
vEm/d9BSRf6vUaUuWwXPNAUqVqLOKi+496sOV0bF9H8fxjj8Ns33lg4Wj1+sNmAlQRUadib6XbOa
W35F3vepQS8HCIOTxLwcKfzvw0Umx3Rd9p7LEJtzh+D4GAZxvZZFjC4c5r6P57GfzkVOIUEeGNMx
5LKGk5m2dcXRZzP4RXpMe0YmtBTFzgZ7Gt3sU4V4HeQZg0iU4qPdVUABgdH9iCvp3ALp8x8YFtI6
2JDUQK1vgt/UnFnXKR/djyHHa5e0OnnGU9U9IrpT8B2hZB67KEbZChuDoZFwkjtpBqOPwhHbt9Kw
MUgbjD450+GCGx1LLugly70WIL4YNKnituvxua3U6DW/pmZ4FVKpxbFL4XNmC3dXhL659/GAP3kR
Hzzl1nBsDEVtaEyyCWifD7kH6cbeUvBoXMGG2keUO+exSCt5hTrjUhrG1mUWZP8U3kImXaLJj7aR
pN2mSEBykAOjoSYyFdJPMKXtjcRyuJXDGODmSMSvKZj7D7sqFd8xhm3kdl603TgC+1lJGdHwSxTC
+qG9xN3j6+QthteR0K+tuFU3vnEK6oF+4XSaTqlnyG8SDAOmmlbghHqfn+bkX2e4H09MIkkVgcHd
A51JTtjH2okvzcfRoq3sLbVliPFJuDbqadH9ivAlvYGFbbfCc1BjqizEfhf+EgB8tvxELo7SUp4t
FfDwG16XLymO5N7gzo3BEb8ngDhOgSu8hM414WPgFC+RpLFHVDgtgSv+FnSy4NOpEgBjHACMjRIk
1fykq7eoMOK1amEfD7rtb1w7GfkevH6LQS3lD3vz0bNimnfH0q+3Pgf2bcMdYJUH8oSM+EWg45cm
BrBnAyMtGYRVefQa1+dtp1RvVaZ19ICvS+9ZeThYh5l4SaeEgXRVvJiOsl6d2iR80efqB5pb+oOh
QPM7433fBFCPDkM3v5WBeLFljqM6RZA8uk51Y8nxLkWG4NDPOKifJrnNYHJiD8iXOj8x4MxZ0xkv
xblRjjr6xELWIszcU2Dn9mHuVLo1G1f/TAyeU4FL/TyNBk3CsQw/rAbmY4TBd1xjXOBYP5d4hcep
n9dT7Hz2fRzuA6c2dtLU1oXpaXJWGvTeuS+NikjXYD3F3F+mNQa27veAHzJd21nrX8q6ZLUhqZE+
ku5C254hx6xARxc7L3XUvqlsl6OxgupnhC6BYwzjkr91SN7zZHBWoaeaE35xkmI+3YTTkC/2Nx/b
tMk82ueDauqzCGc4XEfuMtnGh7LxZpwIebtX4TxxcbLtFRQifZyAjO8Tl38fb5f3WnASTLbUxAU3
RQAN21V2tbPN3nuL68TcW0NCmMk3cGgWFEwxSdECfbSEfLhSVXtM8/ZngLtg9sTXAqPd0gxsvneD
4d0Fdcj2qJ5aulcpTou79sGKGB3sxwSrVGrPvAax/1J0JYfqnr0d7chEkG/GPUG4lgYze9qLXqab
ZMrFSxdNuDxD9L9N3QwNS9LQbSLHgiLnhYW1Zivh+c4hNT4hT8xPEsqTWpN86deAhS5ElBQJAD7z
Fa+MdcOkMlwZYSRvCEdY9/2YdFSK46gr9wSFjUeXrfpqm+X45WS/wnapAleTXFnRHMs71Hrn0CQZ
xyKjvCl8puWilpumzUOPrG26l0lfs4pgVHan1tgU7qeW9GPv0PA78LA6L9cjbIyNGsILLcnzLQfC
c2eBlBT9q5+9VfODjikMdzpQCaWVfqVuRDFjUe78Rol7zw3rnzxfbF7MDe7G2YvOeVzCLB+GMVqR
XjbctcE+uydy2f+c3ZZZURHYP2lKdn/IVFIDL1rn2BoiPbETxBeZh8baj9NFS8+ZFhoth4o0OnYN
FUHgGL1VD4/xHmuMfNAi1G9urOgC86Pi2MwO0NkUw4xXQrs8kLKBF6s6b3rtWfLWqqxMe8FexYfI
cYtjnoBUd8x0hjUWTI+YX9Ue08m817ie6K2t0oOzmHggTdIBmdMwPyTmdOAMKSiMh4fhrBpbhFc3
L9XR+ebRkxvdZpYZPzcJJ7/BYozVBH19YHYVHCh4xv5YJRhpkhAQIT8DzvWomLeD6tLXetAEobop
wgCdFA8RJDcMkmTAdsw4p5UPbJGgS/acG1qdwHr1+yxUHMiyeN5RlsKdn9nYE9Pwdjv3qjqlrBlM
4HWumPZWnkWLmzFC+W0z3sCMeAtvf0PkRfa8WfwoFZa6gj8xdAVGvZChNqNzwpLO7H2oqLQPccYK
EdpFu2k7eHUQM4kkWhgYurJsVqafpcT4KlYzwJzjOsrcje6z8GyZYXhDqSlaevzLRZhJs8V+yp+I
w3NTUINkZZO97ZnQd4XvrGNIydvcnfUJha/ccHx44F6+tgKG+5nF2IN8WVjcxJlFVmscPCrdjXlL
MAPTlUV3+6rxs/zM5MvjKwjN49hUJsjfgWGu1ZZfccgsUo6QgXxbG+vaCE21skN4gCXzhE8rr7Kf
RK9oJ64zK3xwjCG4KTloX7mr4E1KIIAJLVGWXNnaL6nhDOsuStTPQtrF2lJ5dYbZmHL/U0xSRwrK
BK1Le2do6ktpl+2hxc+gpnJN/p4WF7LI8272UnPPG2Y/d1zXrp2RglMdvGabFGgfccCMVEQ2VvTs
XFnuaWoP2uf7JEb3s60xO9Sx/4A/N9ino4cDXuTOsc7y/EJeBlYer+CRPr9rRGCr/6uJz391FWZA
5+NBYVgg/lwtRQGcFYaE1vcGA5Gt66Tyo4H/DibFLYmqBQTX13Y+RTDwSjxGTRbQQ0dfo3Gfj5n+
Jb1ZNdvcceOtBpgMsXbRK9F0YFf3gegx/ccz7YXlt8IpJI6blT8hEOpK+qeE/iWyY9wQjb+Pgf5v
q/b/L9XXSCgnForuH8SOzXv3/m+/v9Hst+/F7//491P8znJBh80/ifH/+0/+XZD3vb+BhETu/pf+
Gt+Gs4QqtNDI/qm+xnL/BhnF5w/wLDieXABM/5DjLfNvASd1mm2wdQtXSud/Isd737Opfx7g2T5z
O1/w1zlk6/80IxOFSCOSXEQqTLgJ67yHSrpCwEeAanu35+7thvIHZjeRbzD7LP1JbYa/INJNZG5a
3I9cjVQ9PI5iDOyV53bujpWzuPGnvtvhYO0eqlGzmn27h91ixpeh8+QQ91V55gcqNoVTjYcx6OV4
o11/nC6Si8JZRSQ679y+p2Y2QNBKNstVMD43ntdaWxh7+QPhRVev5kLjw6b90KYkAZM8QWCPUAUn
4QS+YR9R0Lvy05SFJSjdgcFBmD4M+AwOtTYIVZpT+eqW1RSQBTP7Tz6cucbDRnxbRnaPm1W6AFEN
ANSrkWD9fnTxfKzZGUbCHmVh7xhADtGusWsww8k8OhWJEkwrSbf4V7JvL0uE60WcrCxcUqHffpcU
SdI7pBSdCNIYaVmSt3MSb40lRHIMpbT4rYIuHRAnxzpdhVX6XhM0u7SIjAL2AXbQ82R5Yt74ue5K
mvkWH0/27empFntPNGL0yb89P3Kx/1izYX/FzuIJwlalLszA0SFG2M+rzmVIsurbgGitq6bsYC4W
I2OmADjlvvNBuyE+YJhPUb7V9Wi8trVDGDbE61HtnbqVV8NyQ7WxnIhBNa2ac7QOqyF/qux80CvR
ia5ZO8xlKozIvvklFeIBXjzSRrNHJnzXG7CwOSvPsHqTBsh4rPDjEn/JSK/3oRGczQRVwFTlsLGa
tr4qbSiyVk1z4DJdP8SpL27rKYFhkM5pAYYc9t82cwv1LoDW3oohtXt8ZxpfIczsExYmaytJLqyD
SbE7Jz7i/qxhK3ROXe0q19S7mFDYD0+H+kZEZXBo3ax9mVSV/HA47kMSWJxtpPF9zuHd/GhW04RL
gQuC003DOuMqfpeyw2/zzCXEqriJ92Ye7Hr+rr2Xc4UPzXFpQ+n8DRRuwp0tP9I4N3Rfk0m/Id6B
uyUkSW+atMRYRRzs8GWVe1fExUvDNQyHpP0MH40Es7TwxpH0qIczk2ee/KCgsBYnErrv4NrHJOaT
jr3wN4mftOeasAPd6Il+5pRCgKrvp5PdlUyrvJl+OBI0xAk0WpNZOHz/bOrRFVF7vreBp28osZ3u
eNbtvbJSWnfiyi2/fITJe46D1ibtXfNxjsb5BbupPOQeotNuTGuOGfakyhcOu9YPGgDUC0mH/qsn
jvLimS5pML8/OBl/d/rtYGyzTl61VdQ/a3CN9+XidaScmRFQzaj/0Up6sS7pBqatpuhdTrqsKQz4
ETa3o00FOZu39T7O2IvYz3FxWVYd3TlDnm04whW/pij17nyk3bd0sWbG3y7NQbbDAy4N4PvYZo5J
UeWfXhsGVAJ8uzw7w9V36bf3M1hsoMyJTPys/vhkM0r/4hw2AoYZRf4818K718V09Spo0Cuqa4pm
7bnmyOc06mGDFm3+tHGxGfsedxpXyDwPb7H39CfNGvEQTkn0m9wO0xM5TPpH9m12bVmaD2TuOEGm
ixs2ayocd21AtH1FSaV86r+ts32fcELP3eiBmE75jqTI2z9A5FhVi+tWJAQx1rhs0UBNf7q4VtSZ
62ix6U5w5DaQ/TitJ+G0xSGJZCZ5BhrKlKj/ZnqCBxC7L7O9Wm2avJHmhjQArHLtY9wCq90DryQ0
RQSCl0RBsUjWfme1DwwzwfVVIO1XA2PLxzSli51WmvoIq0ueEQvChyh3nJ9hg5WxFHP4Zozto1DF
dMFOBgBaCZ3ec7vOikM1kv4aqGdHPbCj/phNjUVs2tDW0TS1fZGZ393kdUZ4wpRBfJe5U3BLPkGQ
jJ+NfmF0OPM91/loPFhJh6omsGXGQ+S+WakxbgfaEs+mH4t7uyQYljiBvJBdLUAT9AXzCVJW2yyb
grui1PowEHo7UTdgNLxkA3og/GH4pR2HfgPFBvD0epRBfcOrYD1LxI57Jo/R2eoGedJBWLxPbR28
G7nd72uw4ah1tt18ml3n7aYqsZ6gdzATcEpv63NwvURNoz6Ijo/vASCNjDp4t2OyYVDwRUxibA6S
kyFOpy5HWDLLr7CFAo7x1PMPvUFmbKhtQ28st3WPXThVl3REGCcMtODcbezr3uhWu27WmuThkN0b
sNXkmlhBoZYSRvZbXwX1bUCbAG5y0yWPEI/D+G4wsKSruOAKENMAgi3PLfo7M+vJmJMYh0w+Fl55
E8In25V9osEiaShtAR69+7LycOS3FUX0ZpF6Drkatrpy6MmgyEFmt207RTtcf9UpRv+ghsROrU+P
DCjOSQvW+RqRJDkHBE6DnYUZ7Fl6efLCnp0la/C/RAm8oBreiKO45zz31R5gcPAcxI1EYmi+y2Qw
dILg6I1znjC6PiZDWz7ZZW23q5okwHmuDeGc41LbPyoFB4g++uaYtFJyr2lLWvvasT53/8nemexI
jqTb+V20FgtGI2kkF9r4HO4xjxmxIbIiIznPZpye/n4MlS66GtK9aEBaSNCigWpUZ0a0Owf7z3/O
d5gaH2nWkGc3JOeCMMauNYjXIMMy3i9VzwdCy1S1aoL6DUhA/Zu49PImRpyahW6rq36BLpQtQfUY
Rq3LPozC3Q3Tk3rTErTdRo9YmGD9uHCus65RN2mSpLeYMvO3GlvSDQe21j2yOWeZ0vZhcQ2vO3gn
uzFtplT9EC4FLLPKpx2GJS7n2GXlhNy2Yuxzkm0l7Vqh0wA/xoTnv2RKG/yhBXHoxKOwqorF+Cp5
dII+ll1zCRM73CegBchPLHI6yQl3kEprOh5mthlyxeuAmj6kBtzMxsoyMubpOHzMEvwQNB0XA6jj
5+/B3JEjT4wTQPUQwa0zm4RJ3xbDF2mVcG+AGHUcjPaiWQVlp/9ZsXTGYcXlb3TuXWwdPLt0EBzH
cHiy/aF561y84YPbsXT3B9YKSwYe6zhZkL65++PiKeUyeWsnMaEtDMspHa2h3NuOnT7KhR76s7G8
MMM5SHxjX+G6/AGvaf6zwTxDkJanuiaRGfJUz8qoN2CSSNNucSXDn4kLv9/yNYO+iIzX4+lv6Ppq
8foSjcPTP0ten8cok/Z2gVZ4n80Vd2pY0zpez5Z1r+r0uRCxD3LUjZ5TgXS9rfECXxl3NDubvRs5
KVFbX41XimedZ84pK2ZevXXcHWKRuESMBud5pMOBj/yAyLMh0OHdkA8V16UY3f1YdmiRoWARWyXl
VWljFsCuH9/3gW52WObAKKX2LTD4iA2sGB8oEEmv86WwD7mVWvTb27xjN2MkEzxj7ejvBtoNDjhx
slt7mrrrmOBwTrIg8cpTSQvuTfdtDO4YZ169wSskcbs6oS5ghuR/waejXwlCqmBHlD9+bXnW8Qab
vcfGH2W2cwynxIPdVgWmECsI6dABlf2SdUt4O85zch/72iJIjPcOrXaelnPQDe2PHusfXCU1o5H5
UbNxq0G99jA/HnjY2e6mbEXyzg0sDs6Mi2JbWuQjuWeqJ3+Z4psm9yAh8HvKXbg0ASqulfwO1VCy
8xvZPexyzptXuMBZbNCQEfZb19e9ODWllgend5BykdediqfmbFs7QxkaxKlCtpQxCNx1qCCxA6Wm
99M9u0h81uhxNPLiJHyq4mhhrcmZfdeU2AEXvzDvta9oRkD1qm5M4G9b1hN622cWR5wZxipIf1W8
9/nEhJa4wPvvehrvKS9p28LbeQldXyziIiJG9gBjY0s5E+1aU2O7nDS5lE/RIMO3yDcMOoMfheUm
97lUt6XBW3+2CowBgPNmdmJqsd/6HmD0kYqC4BLO4zhtMxmnL7UVlPNDWXczal1Wu7/7zo3rY0PA
dz5EQvvxRvhBrHdFzMWBy5EE7aYoamjWQWIvvPSKkHxdMD9yz4zws0o0eU0AHk50Ul6ISZ86U1YX
rLjuG48l71GxvUNBj8ILYDH9NM15n3OaWt5YjVM+EiaIpDx+M73tEkEAg0cSycfvmf9/t/jx/17D
r0LF+o/kkcvPrkIyyX/+XR75/lN/eRWDP9aKblJsCjPgf8dJj1+9/m//xXf/wBjtsVPDMAKp/R+o
sjY0aUw0QnzLaP4/UmVtqLKrvZCmVehiElLOvyKOrJ6cv0kjHkBruWoivDtZlP2TZ0dhT2t8Heo9
hyVyUfOdivLfdlAdBsDP9AA9DHX+GyhS95+ohIH/zzKhonoeZjxmesWoKr/b8f7BUBwnnsPBuzB7
FYXdV+T6RPuRkTpc7njAriT7L16guG0QXFJreZz6ButLMSTLbWoTacCNg2svx0ShgEgzpdbBjNAq
XQnFKZ2J18Qx77eN6Ofg3i1abhIjhuTgeJHcJmDSjosa/LMVa0qUmC2XTTXzCGWRhNdMdXdjXKid
cpzPjOl4Z3JITqFjb7UFA9Nvq8e5LNnZxgJ4tRTct3D03KnLHp3JVsxD0+Dc2rVl35MWym/9HicM
a4psvHWCbN0s8/OieeqPk6PKB0rC93mTXTPb9Td5w0fBXthethGJDt7eecofHuc035Z1O3w6ynJf
tN9P/bY3UMhSNnLXbOm9rZ3i9ZAseEjBS+AfUnsZNrssfk1HO3xU3jCxTktA8BT10R6leZgJQe+i
mtyvRk+Ot3nnWgdsQA4GosEK7kar17+jSYa0kdUhXrI40+Ev3YwIVPOoLOK4oXiZxNLzj5JrbBc1
TvLYk90mS+bOeQUSJ846qCDzujsLkot0xHhBn62uJSeYrQPN5HZKS/dOpAspV5nP3j3bQB/6di+u
0+9dKur4/RSTndnSTYpRYWl9faaVukJpa8he166Zrgdi5IfEiui+6bLwkKV6uZBabl7aKvDNtm16
K975DglNySlpJzXtdBs/HxtG1IBip/tYOhT3JS7pOK4Dqn12Q0Vruts3IQ5IWrtOioQQukQiltey
kCKnEsaPNcaT2YYb1hTBfMf/bmw3cqzsL8/yPbgcTEz7wdPhfaJGMqJiwOy1NR27cM+29JUh+wp7
qKpxotKwVhO7hdt5pAtjanZ13Hiv3jywMF2ymR29GtgNRpMOaMPoehpaar+ZryIad3sIgl5zwyZY
f7CX40LKW/EjFnXyFWm/+eSTSR/7vArv/NxDeG/nYoaY4Zrkh1thVtikFIodZFZBz1PCHu5xSvJT
FplgdoIhzwaIJdjH2Lj9WbFTm7YRagO7MCjF7GQce97LdJKHrC/mJ1kvzmOFPITP1JYU1GWcRdb4
/TB9tqWvmO9jPEhDZIcffVAnb8wwRbB3g66+QSkAXRSEsXodNJX3vsFItTfYQn6Wte5fxjjkeCWr
Tv0k7E7FUOPz4rbtDsK9KrIOqJnd2l9Wn9pPiW7K18HLogc1Of6PyqyAJmLZoBbl6IjnmPI/Q3yI
heXeVF75VCt6i3v8xzgOACcxfmOXREBzDDpoikUt43MvLNLrky+hqSm14KiWwZHwlAEmF7OxGKCl
nuDowcVL8qR7RI+hkiuMRXFZGKptYG+0fXH4KFlal8VoAQKaewoS8yB/zWYLzwpsmUyQT4bcIkSH
eqY4KZwY0dAciDn5M09C6V8ZKLnDRpmy5o7PguzeKovkXmrfM2wZPT/fLqzhH1KUtFe+UrgNDbi4
jQoatY9c1T3FzC07t3FHPBde+YARA0RFw9CHsjG1P8iOYUiceAy9j9jwP3iY840GTWWhx/g2eQo3
KC2i5kMMpSVGXaEsJiinhQT/SAhaT/ymVqPPJlYI5PyGIfPiUPFYGCKkLvxWy3A7ajW+FgIzFLCV
Ao9eNISyOQnc/++p7gdvS2jOa8jaWxXlnbPIWJFLc2+RESZBPXkw+WnyxLo0Vu6PsVyaX228dDRg
Jih2q9nXYqksu3ihnipZMG0H3Rxf2ZGF+dl3nPyWE6hI7jGW0QFN2sA514OKk2NfODo8z5BSMOYY
m7sLJG/KLr7NrJ9jRHJzO8dQ5Kh0qqJDX/UN0kbPpth12qzYjc2Cxknnl+UiEWUd/Kc6J/Ln1laZ
43MTOBSjevbQIj1ITnSieIA8u8Bcdz0NrwQIlnOYDc22kUF0w5XUffiDBTYr7/xXk3XleSiH/LJk
ggex4Gx8UsnMGzSvzPxWBjYPvThIx1tX50G1L3Oe1EuVY5Oa0exbIqyu/6sGh/M05RJPNLJYucFc
TTbGN373ezZD8tApp0m2aZVhn6BbAQTISNVs38BFpBLyrWIiO8d5AFst83ntxGrtM1PVcillJYiZ
mf7ic+vtHX5zQs7ZLb7CaEMYbF1r2Er+GUdecetGpoeuNUb1as3CVMXa1PPFibDRumEwQfRTxPCa
NkbpfL6u1QwPOFBD8iZIWPNFB0WKtWiacFQ0Nv/fSCjPP7BxqGcev8096pk6xmKa32vez9eK4m1U
u0JSk2Fw5WzsfvEVm0aFrg9CE81VGrsFnEhVLbehJbqP0Xj6nuXCcBtNtJEKv/e+mKpwJkTp8uJx
I32GbKEZeoRKkbWKo3RTQqRBrSMwa4QOfi3pEDdbryWDTqGvxWqfL00+pBgFaMUAP2SEzAuguIP/
7pkk+b3kOGDYd7YAXu0ih5loIMJ3KZaACSTHMrkD4euYXchsw/rg7ZI+KNtOJh5b9IdMGzzCS7Gr
dWNpgVpC8yn+iLrdusPiTleFX8E3spzOZe1lvN3kFD03wYzK3FtsY2QY3dZD/UZeGI9hx1yFCaPe
pmVPRpSDQbtsjSZJeJkTVz2pxcGl285rJWYJSOnQJJPV7JCYj9B8525vGotekFIGn63UzqWCVOzB
RLbjjl1K2BNHtNS1ce136PrtCwYA988gZ8d/8gWX2T6ErYTcJzkkbFzm5d8BUFk0IOMPhggZFkPh
qJhVy+AwcmHGjqB4En3k7nTMylQYnY6LZigNTWkBZmLwpJNVX8zgum/04XFFlXZVcRAqiPC7gtde
Vwhq0wPEqnzDC97+3eURrB9qbOMfaVcNC0KpO92pNCWpI+Zy2CfpHKM5UCPqXEPPns+IoxYwuM7g
W0Qqhs7YBWsCLtcfTjuwh6Bl1vqILVWrrdPP2U/I0DwFQlki49iLZT8BknDdUzw0nE1cexlfxnzE
64rx0+lpGqXlZsMlwLibZ9kc38yOcB5FVSzBoWCDx+i4FC2oO5S+K62k/6uMZEe0OQJUlBe7rm1A
wGlbHTy6/d7GSQIssRZObF1E3ian0HcziLWIknQocIYK0NJG29bnbMfNu/C2LCgxDLkWwjMuaoDT
QXlwU7g8fYSSZVjmb6EzyjuTBTGPBy/ZlQ6eVhYNOCSn6hSH3kQrKETVh6yxLJQb0u+y74q9H0Yu
r9wBM3nkseX3TbDgMSo/w0Xab1yJDkz/Ptt3dOxyh9V+eO+brrvOEmxz/I2F/7jYc4rzTkMEsWa7
vEFJ5fPjpnidUJrQsR1nqY5Bn81vFBn2zz2OarFLF2+ad0bFvU0otTG/Q06Dny4JVJyLQb+23DqR
6Lcl081vJ+iHDrtQkjxjdat5xbIvvhkBkmwILqxEDslVuMnZ1CY728zj79TyKVdc2vJpXHiobJoq
aszOKjF5biJiWxwqtZ7kybjOxDYqn+azy4XIoRc3MHMAb1ocY6wZPHd2El5jVVvclpzmy12OCCiu
PNYW+9hW6VOTt9ZjPS/xfvEdMkOlvwRbIF7+fsRzv63DDLSp16Ivb4pKWee8iAbe93NajlzEKsSG
PrBtc6KZkyAvyqKFJTAU7q62Wwhs8aISdHh2f8CI3JmP1nfrF1uXZJ9Tkau9yRtxmYjKDiwLVgEp
Rtx+Q7AN+3PJkuEr9wkQgGyBKLeprJIjoq0oniOHJOtXYYBZjnimf0kas08IYVNzBWe7+lExGYMC
crrsZ+bWsTgwxnp345xjpHKsqggxwwn7EsYDx8OwCkFqNlUQOLthjFweDq7NQpHShvahC8YMu07J
ZQheb+GATbESfaluJ+6lz/rrUgSwRw5k+8WzDwp2M1rFF1yOCe7OFOB+7Ww/guRBxQQsbhXbZ4X7
5LZm94GPWI8hppQyEGe2PlxwEXf+lc687r534oYtVO4iArkeY94w0UCc4te4GoPYa7ZWnf1SPs5T
KGXUpzIlew8qq9jaEKsZ2/qqlHK5nZL8JVmwGGiGr33tjEcS15h8a0vvpB3LzSjVXc8NcJdaUbAn
idZs4e0K5gaOH1099GSPfJ3vDbGTDStz8GamMPg4IQfmDjzvqrWrB7afJcbqrt5pm1MjMuJMzcuR
Obu4rulrBzHGLILCyuFiyhSkeuhXVV2cDC82IgAjGMF8vK9UJ16B5EqkRLZiu7Lr33Dlm61OpXoc
FC5sVj44PSuowIk1EWfyjDrV7hReRX6Ezjs2Msa5aIVix/4gvWB/Q+7u0oB0VVdUt0lQh2coeqO7
raExU3kVVF9UgR7bQPS/G4BU9/Ew6I0esErV1hCc/UQ6PySO6V8BL9CtzwdkugJInXaNaDdNGiXe
nr8xt+4X5cBYm5xm4sSb9M1z2Wlxkm0UNJsxnO3n1UdwKUgyQeWymhM+/OGl8dv8I6JkFo+FmEkD
Gr/qP5ycMYgDQDrIQxVhEz52GXg/nqRy2unUjVnQoBD+smzdXc92wslySEJeYNlE+cTGbuZ8PBQD
p8mc0pYHulCC7GAHrTkYb0SCJ+UJscOkVIszZnJS2OXrO7MJmtSjTSvgQRWMzpjvOCP1Z0zpPHY0
v9q7hqU97CaDH5Fst8VFMRBN8ciIMCYc6syp8NTVvZtvG984ZkPsU31of7S/Gi+V0c6VYT7vgj4I
r8IhnEJIzGOP4wstlnewU6ivIHYKaPhDcunHfryds2nxt0IkHEyNneEWK11db9y4TR+QBeqTNo7z
6GrB9iIOBI/EKACQhX4cz9um6fGap6B4PIwVJELpva0GyU5NimvgJ82p0AOnJx0k6LM1XLxP0mKB
Pv5/ffTbBPafRLp9F/eOJEElHcU/SPb3/5Faev3z18/8b7Hu/+lf8JenjFC2BJvPDgOLGO4xFMS/
hFP5h4dmioKIfEq+GhbI/8h4+38In5jsX+HvwOdf/WUqcyRGNH9NhnMicjxmm39FN6WF6W/KKcRe
10eT5D9/Tzm61ETndq6TUzH65cHwy6tN1qBJ4HUvWzwg9MJffKsKjsYB6S80ptNaBmw2B8X4w0zI
Yq0KZo+YLAD3V8K25rYPg/m1yco1S5OSlTx0eZlzdBvb1ema9Q9+LkDj+hlvEl4HS81JuIlj9vEN
pvZ9j+cYNFxGucGfA97X5mqoa/eGeJtzLiZ7/DlEc/Vnk+Rev+/crDnWJdTGzeKlYbwthl4JXq5K
fcCEZGB16nAipY2pSWxkUQztFZZjLNgtx3zIYY2dtecsUOkD1RFevM2Wrn32GP6e2NlMhCjMEG2n
uVPvcs6JIE42ntqJOiSAPdlSFAdWo4li+kzEe5vNOWYex+rSLQUl/uNUpaCHvcwZPjPPmhh/S/dM
mDd+ZLFd7dsglU/Sy8ybiDqSPlZSPpK0VEfyl+GJ1S8YbjHhNLOUH10P6N47jmSwrmL22RJnSnBA
pSkNWqVJPlcuU3Kily8J94VU4ILKfFwujaU4WUbD9CSQEb7SseTYFQGFe19k7t6FayqXVsIs6iCq
ZfELARkqpQG+6PsEuiMPtGyiNGRqUBpMPA/HvEhjoBPxML5gXrRe2zBN8N6NvngJjA2iOFTtnO9p
sBD3eLrln5k9tsduCdot2llOilzE/T15GwgCdVOV/r4E3Hxhoa2vs4r456Z1uurkYzjpr9yyhfOc
25X+KF1s9uT6TP8Vl9H0TAh8HDc9rmXmINTPrR+Z4KZuOjifWBFXIiAIkGPe0ud+54WmaPd6xjO+
ZakLfXq2ijq9wdA/pZtyBvy/z4bKcg54qPyvCr+Ou0sKUOLbBr7nsodjUNgktAlL4b/rmg+0neSH
kPAP1Xryvyu9yaOgpSlnAtXkBseTV/lG083SkZ9J3ZI3lRkMv6fDD5p2qTcnjx7TMFD8XsV0szvR
b1z//nzuChl95ZHSJ/pnjP3ZFANHScwP9nB06Knjkpo8XR9wGyT1/QA/79qEyaqk4pW4wujRfxpF
OYPVNabaCSbcT8KhvXVtUxmf7wdjwg+3XpbsngWdQjCcwHxn41y+tDp2f82gw96nOI/obAoJxOxw
69PcQBDwkAkrd7dAqMarJvE5tCeZQt9PLVyvO8nJnfN4nWNPGgArwGEQc7NJljn4grGu5I7Ut70P
/AIdf5i0/wDtpr8inNsPmwLp4smCpvwnJ8P+LcsScetOy3LwTK9rtK9JBZumC4eHdeH6NnYeJ1xv
JPK4UC4+FFQh76cgI42VDhHt9jLUKZTUxN3Lpir4LMqavS8DRfM2kxAgz5PjySagQconI516VRF7
kRs7chY8lRUTA66gOtkkrL83iChqj3lyYFgrJsb2DDDZllcvrqW8mB9VuCTBAdNnE2Hsn6djC9X8
aDcFNQdNjqlV8jW+d2G+/NIWQEycFoD0RKmtG+Mn8U2IWzHZyNr1H8eySZ8GwACMc4Oyr8SolhOs
mu4xDcbhro+l0qseT/4dKsaPuk78/bCMCVU3UfSsDY8cGOjxcuD8VWAPDRtOs1pgmVk4U31U6Vjf
ZUXn7Wn1BdgcThO9Et3yy8xOHUA4JbN7zPMa/K0aZr57Zp7E2bgj4zFI2/wdgUOORLxsdireREST
Z7h+4duZ6C2aY/sOADu8Qcwx89nyppHQHEEqLL4B7S4AQA3YwN4ZCWoWWf1n4aFpcTLlImyFCZGg
xzb7sHG9//DacQw3bdsh2UrjYlJ2Fer9ts6zvIKK2wGrko1oKB6ws/wRhAOpDo1ecE+PlQtP2qqE
hDmH5LYb+PiXvZ9qInqqmQecL8VIpr4Tc+/cNW3T3eCnQ9gC9k09mM/u57Zr/eJPmp+T34nFoND0
In2OMbMWm5A+RlQRFKxj1tLJAW+thsCBaNVs4wpMEv5QE++sup3OSFpTsnHmqDibcVALhPSihG9S
6/pWZHLod3bcx7shiKb7sSEKv7NmKz8OJQRzW0eGBjBTuKAkbW86tI6TXSP7EDmStXZOHIqT4zDd
dWZa4k1S99A5O9y813PWsAAoy8qDce3SwtOqMvuTk3tFe5hzGaeUoERWGP5UzW/40ND39+YUwUgx
AicOrOIa1abP8eHSkCfoe9Z+fea28eo3Vl94gVzdMw8ER90XrOdnnMEMluFFr3p8lgPWhJscFufE
GW06U7KuzXdpHxED5bFT8RzyrGNn490kUm5T6RKIYflV8DbgRZ3q54Ja8Uu81NN2JtVKpwxA3AoM
EwmxAkRZrJ0zlKSffjeq3WLQ1JbRiSnM7PsXZ/KcE7l2n1u3wGqgwQ5/tWkYDdu6GMJ7Y9vOIS9G
M1G7EjRnO9LlHgeeOUUhZNONg6G5241pNl0vTquvq7hmNhui/KbweJDvKcBpYaBOMV0kbmBbWLyU
HeWAliz7iPLCjnZJ2/yK0vf6UWZucSYV7FwHKOaXJUzdi0lM0KIymP5HyHW268mRfKo5khVCs9ve
uWVBvLgUmM21rmy8yKBGWPHJXyEXzC7qmV/bLGTjVSypiw4euyfh6eZFgOM6YmhcruuwTX7gRvUR
wGW+MFGsPV10D/i3VR6qTzsl4bWndodin043H5rlynbRrX5uZd9/TgR875VW000Fn5UhLied3nu9
D2TTT/DTC9jpFlYZzZlL+h/l4mTzlgK26UW5KYq9h8fmK0ra5K6MLOea4k0y86g9GB7HRlM8p2tj
3gd39vc+JXtPlrtqaPSmxe8+WhAp4XSYPizUmI/cuAjEmc6m1ybM1DEJGv8uFMo5h9PILh9p7d6P
+xncsSF6u7B54niWduRkhy7Qz3hdWH9m/ehhS4rTgFmKQqqHIO6CA1PW+LpQknBgA17+pJySowZx
AnJ9uo9GTecbnVdb2Trxka9qvLbjGB8BXOfuIe0c1a77JxK8eil4UkmSqMW+wSBNoDmzTH000Dui
q4ahOmb/N6kCPnhi3/ZN475JfxyIavYinw8pew973ZQQgQK1HVzS2F9Q5QA2aySesEvgswn8RYa5
HorCPHbvo067bNeliUDBXoroJoWdC3JTq+SKKyRctjVG2Z8xa1dEEy+wH3MAAdQbBpjSAChkBvNf
Wby6btI+Nm3RE11iHnqkITLcDfaAaVYKH36dF9zZkxFfqd0GxYaroJJ73ru4Zn1psPzkZBCBWxh2
3SlEX1o9CMVX+zhdmnRnW4ww9wF03ugwDp578gsJszonZxfwequQsIgd6OFGpvjxyF+WZAOnsPaP
ytYBVHzZtLuFlDys7rBwf2ds56iACS37BXjM/DOFF/orCApjsBgvvMnJU2jDYZV8BlJ6OzUQnDKq
bXqdbBO3iH9T+Z0+6gXs9Rw2dnrgjEmk2Q1SJMW6ezBB1WNd6nhEVX2gDnA/uHBcCiL2YYJoGAis
E0TZ++gn5QMSZZojxp5TL4tAwPFesZ8aRYAvigvrd2FoEsGt2l1RWLVa6AayCiz0iXdjkek2Lu/l
HVc2Cj444vqnE7ZABLKB1EY0qGnDf5tYYBTNvK2aepQb0aBiQyntwJqUbUKFWe5eOXkQ3+WiLNGq
4AFDnQBGuxDcpKxm6/NXxi9Z6vI72Z3TvDajH/S7NqRNvAY18dg5BQuSAnVzhykV3Tazlp1vJr7k
brJO2uk0lhanISAiOAFu5pgsQlxpvTeL4Fps0tzbeDCmfyaF1V3yaWE3MdnLQorUDn/Prg+uiyYY
f6KFMrWeBwtPAN4xzMyxH+SMZMyc8gg+LzrXXNOfM9wNalFcOyb9usbbHZmGl2DNvDd6XeZNaxJe
WL3ZDi2VOnQKTPu4k+1efWfoqzVO72ZJtrEEEfsQUYzydWL3/NLu2XWk+ME5oN2HWPQP+XdS39MF
cjydC9EmHNqC1V+c7iYKDx8xYkC0LL8JANE3DGDFAhDiKfZ2s7ICPIo/L6IEIMAJLtpLmAKcU2Er
ck/uobX1e5fGjA/ZlfrP+ZtHYKV2tItXSEHc1/4DC3bIBUwH2XlccQaLVYIXWREH08SmAKbuuy2K
5MFLO+5LOflkt5QHIGkFJbhNEV8wROZ87mAUqJ0Lk+20whXqXMi3tlvYMUIkUOsJnYV/gt8De63r
YgTQccZpdoU2eDxiTinH0n3+zXQYqTDmInIYjju4r3QDrfyH2FmKq/qbCiFWQEQN4ObAEU7dq5Uh
4S7fNIneuq97CBOjAmNBSxTcCZb8+AJ48sortXIp/JVQwa0XvSdKLjzaIkMII4yBd/bfgIuiEuVt
tVIvnAjM8vCNwmiDACyGowRMjpWVkazUDFApU8CSIcvuuqKN550nSmuXrKyNqIxnMjsrgWOWRfqC
CDzch1hVPrl37Xv7m9mx0ju6MAPkoeSM9G+Nrv0mV9pHYefZldeq7AYqI14YsXJBSs3zKv0LFgI3
pKhMsjMrSyQKWtyXK19ENqrZRYU7XayVPpLTckZ3qAWWgE+8VnuP1MBbx6su4ae1xQH2En+n0MVT
JIvgWSeGzq7ZNJIwRjKqQ5tTkZA4crqhLNMm6MbJBZuCn1TPdmlnB+UO2X3tyt8+wyBvZXYXPXKn
pa9nd4LnxeuTQi4W5o8FO6JXItYJ3+XS0kVnhlr/ysGXbv8rwzkFGJAuTs7scaIpumnaCZXV+Gnn
xLtbeKUYACoZa6L/I1Lj/1U5VHfV9v7XXMjLV/ez+CeH5fcf+cth6f/hhHYQhjZhtED5K7v03x2W
LHUIfoJ1lI7rrHLgX0qhLf/wBRaIEKR/4KvQc/5dKQz+gDAscFjaoE4Jov6LNEi10oH/0WNJxFVB
jhXAU3ErOqRZ/8ZFCw2BmxzNcE+knFdDzWLX1GCatgRlzHXFbMmrwsiLcpb6JEpHU6bT5SBmy7Ah
027pN3dkHY1omGQ/YA+PHmp5VV8VkQ1tPAzywIcpp6sD0JbgTiRaBUgEakyvO6+tP93FM5e+wiR4
NkLhUaIgzQxknaKe3B7IiHyvWacAFkibDCIVNpBdUhbxL2B9iJTBgEa7CxzA7Fzma8qBaXCqLiMW
vRcCS1m+r3AcXHuLiC5L33aGx6pQb+0ySrzWMnjuE2u8g4EH7GxYfYKqEvF5sANGWMj29MtxHAnP
0s7pMKU9lLYdi5FmM1BJMJwlL3DaXuhTtc5qTuSTqLifD3kepgWcSEz3a1swMwSHbL+i8yaZorvE
782y95KFIR7OJZCWHjDVeIe13e+vpWIWY59NoH/b1Lnro8lA8d0AZsM7lmYlvOyR2BBRmRT+TTp3
1zXVPB5sSrByW4W4jANhzGb2t7J0QNvINDmwsi006q1mrTWGkPjQtJr8M4ce0VzNtqFUcO5zfoAL
xeUHA0F2l1sRscvKd5/xIwynOYrmW/xA4b2kAUNv0jDrpn3fi/qFgyYRX4KfU3RUVLWdmw5NEBtH
N72KJvcfsPqpT3YjTrpHGvAAipqJjyaIAw5rIwU5e3IavOBMat7YLrqA3AqXHmSKqYXh6ei3F1KG
1RMNaa3Gp9UysTJ4WOOVi0ZKbzF1WFD81u2L972JMetSBnG2Pnnroqb/3tkM6/qG9RSbnDZZDahU
5oy3QOwSVrEsfWKOLjRNrJugaKGxYIvRiw1RHy3hlTtYlG633zskmHNrIwWLpfZ7x1Qq4VBmRnkP
xZHfe6jxeyc1f++n5u9dlfneW6EX+u/t9zYLN0h/7uE05xjc1n1X+7374khofqvvjZhcPHpP0u9N
WYnqNODLZ4EWfe/ShFNFD+W6YJPfuzZ8e9yD4/cODqM0+7hYspprC5X/Mt/7OpxwJDYjz3Q7bIgY
qzajmwQ5pyFdPoVhGux6LAyMPwgaEr8EO+bstSHhQQPitK9MN/qaqGvYXITEe2R8wqUzTNiT6EX2
WslRHF262VBl3OU6DvsC3w3bw3aSUbtN89Efb+aw0vaD3aX1azdCKxrIP9gcV8w2dMAL/Rt7Z7Lb
uLJm61epBygekAwGm2Gpl+VWcrqbEHY6HeyCZLAnn74+nVMobBTurWZwJxc1SWBvI52yRUXzr7W+
RWhLlxeV0AdKycWwz2KMT0fd8KSwbco7uw9TZEAw1SP/AITFlR1baf1F8Rol0lxyojU2Zd3fUB2b
zy/SCynyNvM80C4l5snPma7bBb0ozZBhYtRZnn7FlknOY1/6X+zERCpR96kgGMHMLA9pXtDX5vCR
6emsqYGwIX1PeEeABIrwyJCwXx6IP87EhS0re6FjMOAaLzqJzDlhOIBSkrh9wNF5ZplfxW0S4kPO
iamHFq2P1USVTxtmW8wIG6jjhipHIXDf9ABhpOSnXf2zrKPZ7useGqKe6sfWHTrmkHW++3+ybf//
l6CIYJP/Z5v73ed3Mn/+0/8J+fyPv/pvaqD7NzQ4j92dfZSlPISw+e+bPEc++5qVuKYr/qIGuv7f
/n4cQCaEcsFezwthS70Sn0FMgMUFMeH7gZAh3VT/EzXQIXz1HzZ5oJ8+SiV8OT8AgXqlWfwVfpo6
8IKo/Wh3V8gsJaoN9lGnbZIHnlv7JZGd8xpSQQWch5vtbYpz0LlB6OuOIZOzS+m56UNjIGRBUJy9
b5nm0fNSdhF0nYoB9i2Wgj55oaE6nlcWvcgvIB7wQNeuu5ksYWMZL84Gv9CvgJIx8kT98FCX9gs+
rsnC+jI+p7LWz2opy+9eBuKhsXV2cFkXsXIvybFRun/UFEoT+w8k9NC26HS9Nom1YJydqc6EKMni
1qFthrZDHBVD2/wU9TH0gyz1i4qN2pzpNNDLeYharjZ+suhLbYeYCeg8HC6a9jecGd6Io5u20qvl
3XOT4egqFMaVgLH/TVVyT9KLvl/qLajI6m4ZzkfRzRC7QUDcwHObJ+Dz9TcN1BRYKKr9BupDVPTN
jHT6WhxQjweXTmTAsAEbhspGy9+lUYQV2CJUrh9kGJTjzWLJ4aeLAybKE/vdR8GV+rnyyVrTRhY+
uR5mgjHLSIsKYd3UVlLbe9rj/K8ZCNtwFAzE2eDixqhVkfjUIiVTDYZ4aKqdkyny4OwgqBOsK89e
W6XvzKPVd2+s5vdkt8G9DlLmeC3F8kCoR+WtoTiMpwCpb08qDsAhsTy957fiETeR9DUWrRkY7Kf1
cpBDDkfJ6dStAECSfyw8HGeScBbLNuNMuA9sOFyLQTst2ORXdTxjFrEZ5K3rnoEH2FNuYIK9SXo5
ZdiUWZOBoc7k1ivz373maZlKkwNM1RVhi1Rll7AlYQorG9dZwc+NF9dfM/NwCIN6U/VpX8OaLfnX
H1Xo8BUUMw+5Y4OU+khqTLX4+pmq9NOXcCobE/xgHbJJqg1B/nRvZ0uXbDodpSe/0+daZClBkya5
lXKWT0Ego/emKdI7hdGPns55SfamC0IsIi7xidy2ijeOQH1PRlpCXPXRWdU68FxN+wXpP6rowJGj
sCVFVt+0JUWkQbjgxZ8L1d4i8abUgZZnoHr2Nq0cz+y9rHNXOGeeCeoP740XQGWqsUKtGanJZD0M
gGF2YRWHaAmxXj7peOqTV6gFSbpOpwR8E7ZWSiImjk7j0Q6QC1djvwBGr7SdlkeH1h21AqaXvNG2
izCmHYUuiXo0TLdmVrSDJfkIK4uItUh2Xu67Zs352Xlo4YcFuPLR1WExgMTkcBdY8T7WvffqCdB/
99Jrk2aXyjTpdwzgqBf0QMjPa6CfQu7GeZrtTTbxRq8gsEP7YFKkyuneo/qwv4ONChrUYa6mL3Sd
eOU5CUcy7XMQO+Nrx9MVrmwknGkXKyrN1+mIxWhdzuh7q3qBaN4l6BB2VsgjUTdlLjmVSSGidhdl
f0aqk24HsJB8sNnnSxjHTvHCMLZ316Ay8j/F2EUNF6S4qVdX0yIjMxkUkH/tBTNVG1qc1cveiYcN
bfQ/jCDMWvtiVNs4q/P2yJOJx7JO8fM7UeM9YQkt78tSym/fmkr34AEuSm96TzZfIqJresWs32ww
dnHsJz6VskhM7q/S95xfxtP46+yc7kWGhVj67Nqo9XWKzpEBN+96cSKJqiAhx8O+WRLERY4lLY0m
vanW/Ih6A8sltviiIJZRTDkciqxsxveB+e3dQPjmtQoyeopGOc744V1oEI0gYYVdadqyDilrQ938
SFF0N95R7xg9kgnmvhhmMFIyy5+e5ATO2ktK96yHkqDtSNCL8BbSyzHGts0oBNvH0TFzeuo6oqvS
wqMBt1e8arIWOwabuO/LyMdNOeK21GyRejtZNkBSRc25sChgZiJtqQXL1dLv7bmPbuuqs9bQ9yD8
AMqk59Mr6wcLZeITE/70QcTMe2kTh5I1yGo7uxniM7tlGu6NE7TPlZNNXwZn2zcxsfF5bPS4G2R5
iViWAHmaIAJSMlSXDEc1yA9SajcG5D0FZ06gDsBtxUYTBdnTVUjIXnrdINaUc3DzCothoUGp8N8V
lD+z6QlinHJ/Dn8iwlirMqXvxo4j+yoP6Y8g0MTAKq7rIwmTXmxpLw7BlRTVAZ9HxRSXkJ4EL0+M
sOoYGM0OPzCKBAY3QvG3fZyJZO2WSD63sxYEd9tmqX6ZYqTGNZ70Nfc21N6x9vqBShS6WSm/BUu1
wlCTfki0+KcB6fguM3n0UDZ0lmF5DX+zNTe3IODbd2L82CvHaapv6ilXJw0wgtcys1BJMTVnndKT
gDlxiB54Lbg8RlCkudNiN+1BzZ/dgPM1Xom628Q+TVdB9scP3QJgBLXOY6zT7p53r3y3UUhgPHRg
mpuOAaiLuSel0o2s2fKY4OW+5+QyId6WmngBQwoTWWlypD2IUYTTNww/q4HPWzCJjQNy5cmurzck
3Ufzk9NbS32B32zduF7VfLhOyQOmvJ5aorgyOtyA4BtGIhxt9+WbwSMEVg9PEwBXcZRJmb9Vo6I3
cPY6bMZ25pVf1dh2v2OBBrJqp4ppQNvGM8ZxbKTZblBDcIm8Gbe+kEVwU2NvSVYEjPiTcRwWEr4b
i5ltBcGA6zWFResavpjHnXzyMkiHcmxZmXlznRfSgWW37YjfUMeQMAOpOZhhuJJTup+XsfuRVcRd
Ih/4b1sk/Y8cu+EIyri+Hf0muJHcmZ7yqqIwtQ0wO21kMWS/Ckaa+8To9pQmsb23/RhYbQPMFZ0h
LfCzw4IEjtWy2eCzHdp1kA+8wiHhi1c2Z3RoMt0Sq5jF8mmiMvO2ZhJIOrMV/+7aKSC31g7QhVXo
gctxp6vXFd24OfHGc513+etUbmoKAFaMQcoHk4fLmYNpsoHF44IcSUNF4rAv8C3xPdXejbLqIwII
w+dNUJHNbTt1GHeAkuqkqd/LqvPVmvlI+UloU548DBWfou/b7RAj4nDAs+KTqkCorGoH33PAS9oq
1sx5nQFYf+1CZX4vdmVmPGeBvE+xjhBoZzh2Tqp5uqagyucqAo++apoKT3VIJzT1D7icSupJxBYc
V/XIqj9vmiaIlgOHHQR9mgPVr9gpruvOyDLZuhFISx054KcRVnIsYVmp12KazUeYZmw1oRUtD3R9
So+SjKn/7LpKboMka6u1Nnn+IBAZPQQP7SBbzx6+OKdAn+kah4tki3n3l1q66BnpKA/X3ASIKM+J
TRP2BM5rCibvzY7kkFzyqY8ejUf+EDOJCMnRWmwf13gd6TF2Zvhas7xJigqOQsrw/AATw+rWOVbo
qzZAqtBOo2Evu44OCuk0wRONjxa11eXoXnx2nU3tq/4lWbr0ImY3fKQUhnNbQuToqXA7OezsCOAq
RxKLRtA1FnUgWoPyL4MfpQ/ZQDXoihqD+UEKQx20msQZpwfGLF+gXiCJSObxg7S+WfEQkorWx8wX
Zn/wfdcbjkLyF+OcytlBhfHPdj/6wGJJU62jhJI5/GBQesaZRF3iV8F7HgzLo7Yb66uCKX6xZ3Tg
k9t2+so5CH6oIk3rW+j/FQ2trdTfgknUyzJO84FSwOEU4KRPN8z17YwGlCErdz4W33mT0iqWHIzR
/gHbhfXLV3MxoGfW7R4vZnfSCBnrYE5tYqKyFltaxxrKOzE63ti5HpM1br75dQmZ1VZJhpIYkDsL
mIimFL86VX2L/xOmnqXSZjuWCkadanGe6P5tsjsM/silG8BzPS/ENR9xhdzM1gQ7P2GikTY1K4+n
vKeUYc9WQmgGiTvD2bNZvIguJC9U24UrryGfwFPIRKqNfqrAO7S+aI4TUCQ8kF2x86xk2ocg+vcx
me8/MbnQB5LvrH8ziOpVM3E7xBOJ0ZOKAJInHmYzisruVVRVj1Mpk6PJavrfZ6s8OC2AX6OC/veY
d/VTYM04SLA/YjGDePuM81rtfLzxB3Aw6oPjTEtwJDmnJUtz2/NC5yXAmM8ECRBNFVOuQHdEHTXQ
YVTf3pK9Yqem/gSPyPib20N3dOiTAFiEc3M7lCOaimHihFEEL16RJeEHRlaaEEvjdze0roDzs+bm
1Bjorh5mppuI8opP3JHfS21xtoK0f91OuY3VWPqO/tw0ZDbdZc8VSO2GJOFWm2JzuoOmUW6TQIq1
KRE5oZK6Oyhg/lOn6WRdG7guJ99gqrTrhJmtVZtsE8rGpiQanyt1FP6tqOJnHvsn31OnYepho40e
qUAk7lAWC8kw9NbWwdzA20laKlcAoMySJXeJ1dECl8198UIEkdyiwpjA7ZMheFSaXz6a2Wda59Mj
li34OzZe4bt58YOD74K5qWLgmnt7aj2WN/zy775rP+R12zzkjEP3cdsdekc0nAB7dHwcS/0Hp854
DfRYvrVzNXzVS3unsWee2iLTV/AQpJBUC/VFyM/+Uhw31sThqh09KVhCO2s5DWTyrrPb/qIT/m0R
Ggk3wO13BriQ4REFIqsX7d5XNEk8dwFncwbcsMT7wureyUTIm85xh22peyT4WbRfYUnAvIiC6SSj
eLzEStKpGXb2bvRCdjcckTthOf5rWBrcOjQiqGEzNMNibzmNPBY8jWaLJwanStU7emssg3+UZpWS
AL4bUJwwOibBoONhsussgU1Hc3jaJBY+qKAgBP8cqCmcMNWWJTeTDm9cx27y3bgWFRt5oSnBXNLy
Y1IN44leuKTbAyur1aPOavslxprM8RtPMykI98Olee/BzQrnG0JNRVTOKzRDc96HY8/tZgegi4sE
oJ30JTfTKAlG07t0IbFQlodJmZBaUtI4lBea5W1Iagmi3gzHCeMp94VJlI/kDF3/cB2QfCppOciS
C+NPb5h80rdexx7WlZ11cdqZnt9xACo29fUlKYLuEwWXBaB19MGV6UeTVclJgGIst0Wv8o09Mmfh
XlcQY48r+WyCuUOIWIR7p0D5tKQ1mqzZuq27BHsKmiiTF5MFVj28pvNe8Bm79r5m1xSk/IrrkVHd
QgbcpWOT8YvoInq5QYPho8qGyP6p7am/D6E0vdqTDpBbZhGTiOuC7C0t0+aGCU7JxDYzxPhcKB83
VpAJ/TxesZPMswf/VsMXbE9VMsH1WpJZb9PRGtczUwmMEMF7pI2Otobr214wnAtYkVKbxhhHLndc
OpsPUIBLtRtHHMW5Ah/O1cx6rsM4vLX8pV1zhIQN2cNP4yOXNvcs+b53Mr3OHrC3er+LrA9fmcwQ
W2Q/4iRdy32ZF/U9ZlH63BoFCQsrvbidsE3unCgpvjOavuODoa4DvGzSQIpwFuJ8aN66kZz4GBgQ
w3Epi/HrkdIa+AfjXZYzaeda2CvmEQV5XcjGdUfari37cVVjC5CEREluQVS/ijwpZEWOw1kywxbF
HCsOLTexjAKTOaTwORjsTZPLLlh7+JrfRGyuR2Vgeew5MOaec8aBEshI0T+UXF/4vxpU+DrRPJgr
9uncvzHEfj4hGcE17xMFb4WMHScctqg5IHO3Qi+absaovk73nfrV1074tsB1ngCDJFgbwkLMhOnI
Vq5H4q27cAY1t0sLLD6cxIvdsNQonfHct1zvqPkymMc7rE4yCdWHZ+Z6X/q9D/6tDD0uXTq0dh3h
dJrJQowJzD+sTeYW+cn3CjyuKWeet6y1KOdy/B5Jy/jiUZMWORSaSBFPsCjOpUUh2hgLQrEYxM0A
RlyBzwMfgYcpu0bmWqP5kGhKP+rtAOrJ7GNXW7jPxi7W9TGLmrjHLOpkeyxi3oQxN57eUVxBehGU
bF/6mRwq1NGJwOMYXDPlbo6DCkLfzABtIEP82ReJ8wywkGCk14U+54RciRN0TlzMyLjZp4uCydwi
nSxnh0kYzJ4ewPDcREG/vGZlz6WLxxOeWK6mQNKAa09kkqEl7HXp+jcMRIJ0h12shPNiF99wTNw7
rLoIpUV+jW3pNmj8h7RXHXEEKi7MaA+g5uYYNMe4hKSRcyvAkQIfxCHfy6Ny083xgimjwUmz6gcV
Peu04TY/uSw/s+9kX/jsEFZ71zXuLesE/hRCmDUPaA5D8RhOpin3KowG/LR66JcNltHgd4Ne9qvA
isRljOJbXCEuIz3gjsEMbc5n9shdwMq3ed8QgCZNKNQnjp0ANnBzLYOJsvCe8g64GBg6qHUIMmWK
FUZxnMF5SY5uI8uOgFlROgxsKMYx9mZIh/o+08U1pkG+9t2PM9pPcPu980lq3NvGtvu9qlXb39a2
i519tAIRbSzRqu8YREaym9w+47AXl5Al2JZYV6ZyKvQvgivezRJVC96zvjP+emSbpJPcj8a95wMZ
sdyWKPNQ2/MtZDhEXW6Rllqj5xpCukVVZFs3SZcnQoV5vYefUhLlzSMcaJiaeuoGvPhunKx4XDdd
tmyNnaE0j0hXLKh21Hn4vHkNKxgcOwsjcn87j7I062sxy7Iu5po5WtrYDJPawGcdWJIovG8XinZQ
3XPNFQxOxybOMkwKoYB+ig1d4TKwR8WwaK54wcqa2viu7UsZ7wrt/Ay5FZ6bMHCYPGaAQzyr6vDC
JBmd5zIpKC3E+dqU25ZlU638zlhPOKmW8MVNl5k+qCHlApN1hs3FGawd13ov/fFQOj8KDmRym6Vu
emaKC4Sbg6sBTRek5xzUzgFSIY3VMGSDl5qw5GmZB/WS6YSTNKH57LEwxVttiXhbpUGQHzM2kW3c
01ykTDfEm36Ky08EHeu7Suv5OcNHhxeqgiexAr3TzaeCrbBZTWGh6V+m/vmAiYBZdj5EvznMNV92
Fupfiz0RXqogIpG+tZIby0FsWnfw2MwKO7rAguUTd00K749jmZHUwSx2EwOFEyMdb50J2T+29uxe
E+CVcFZLMC4HwYN77sxYnylI4ROQ4bujrF65l8a0rNkdEcbnHKrWdEpMX+8W5itqt4zBkKy11TKJ
curWX3axBzbnEPL4wjWqBnFtU07G7J5hAzZagiB4n2uoYP6hxQWOPJN0oYcrw3WO3ZxcIHvDryTA
9QmxeCsswN+U9EBEMBh4fyPIQJ+IjPvGmWyS7G1Z4l9oSmJoUeVEYtPGV8+N64TPnEWBr9hRAujR
RoqyOLYZ80oSpvqBWstZVDTMAdZha+s/bgs6fI3jpNiU/sSwH9cCREF3IlWhWeg5UTa+3v+vPvvf
SXA6mFAdkpT/mUT7L/Bh/+/FvP/+Df4h1EbB3zzcVpENcl8yCr/WRP5DqI0g12HbAuvvOIHz92zm
v5mx3AjcXeRfB+cURniB+xeh1v+bL+n6jfh2AWHQwP2fCLXi71i5v5ixQltEUSB9D9+qS9+Hw6v7
q05Lt0o9p1fdsUkRtw790uYPoFz6bsOZFM7kNPVFBtayrPtVUDeMZ8hj9oYZbuIerdDLtr7jNscl
KaV/59icuFeMAfkTGkf6TlNohBk/JP5IfqpRN0vlgzVnTyE9MCLD3Vd4qtIDsIT63S9swFmVk3KH
BdPEmStXugUqy0/w0iIM7pwugMzAZHRrzyO3gjT0uMjNeb6N+WRiXmQsyIfEZUa/XsZoJAbeZ+mB
8ShoEpexknswU9bsG70MYmUN5RA+CtfAPPXq+mqblY66KwnTPiESYCfPDecZwidjLWlBMS1H1FDb
P0lqV2w1bN3dxvMs71wmMYwBwM7qzXhcCfdhGM+/hW91j3VWxJt20mWPXFETmoEuM3wySpuOIBA1
3uDaT989y28B4QKPWo+VbVOQ6BMhQdSDbg3ejeXvqg/TJEJO1BlJaWE3fXNGFRKdXdwYycWu0gPE
554Wq6XJ2XXmTEt6GwJx52pnZI9crJPQBcH/xUuXe5HCfbm4zXWJbbzZqJ0XofO9Dh1cFGa0rbMt
IpvqlKVUrtnPCHjEqArVNenRtK0EPnr9veRbs4gWFaYIkquzjcqIq72cHiq65d5ctJEtxprrLys5
YkQouaHV45Zv451E5NH6k4MPJR8wlWqtg2RwHjB1AzQAl0ypERT5zRXnAd/Gns5dav/QDzlvy5xa
zrF142PFVXZt1bG7aozj7qAmzeuBY9l9FBAk0IJzyLx43S7NHXBbitAj+7U/ehsR9cEFs9UR2p0D
AQLnGcDTXm+9LL6w3qp7JuuvLgIsamF52/B8wIeR347W14LQ4zipck8+Ve+hFbvrCQ1mK5auvIOZ
V974PDZnLWrr6E8DUw7h8aszJtxrD3h2VNU3vW9uEwUHyweUTXVzeEdQu70LPS7O5aDNbcG2zrvq
Jd9olsWe3V6/Erop7weRy0M/uIBUAAivrCjpV5JOhwd2GPI1RV+dA+wA900JD9HLJaC8KKBydUrs
+JcqpgszLTyLxGiPc0+HpuGYeFP7RPTSqKLEcoKAggT5hT4lLqZy8p0qFbu8cuOdjy9565VgwB16
R1dDHK1Tp+vvMH0RfMKYaLYZ9t/nIqkfhxoaMyBEVBjJmLjJku4hZvS0lssMM1mmggkpB1jp7geu
HuSCz57tFGiq1qUs6z8w7R/z0elo/sUqWnRQBcusDR7QrNQbE+qexsbYWRnmb28ejG0WI/GMl3lN
vzEMFx1/k5XZOzQA0Wux2H8ox+JJr641XEG/cqj0XsFBq+jbmX6Csjv1BObWZrR452tqipiLL9Yq
JnsGk5MTUiwbip0Ki3gXlPZlrlq4Ooyay5ZkK81QEzcbeDUF0dc3i9e9y7IYEl6Bhk7mbrwLk9y1
16E1XojAXfwuzm4KqWn/sIuBDk4INKE30YwlpvKpafFZOgEX0Br/yP3SYcLe0C0gDwnXb07I1tBv
/MwVmCe9UlG8ZRjf2bE7v2C0J2Ih4vE+ijhd+4xmyZ1I+bszzQ/pQLHB02YoLo0x8zOX23YO/gyw
z/oRfijIr651yZuJ/IsoXbmzJbBhIpWypNuJEBIx4vDAk8BK2Fk2bUazCV/HyFXfdT6M6X8BRfWv
puO/WoVDnE227wn8TbbrBZH4D1bhirtmQo43OYZuS4Ucyrv2oYFUM6RjLX6NVeexxlVpvhmFWTRW
iaF8Lo01bxuKZb97xQ3/dq5Gx9nmnSRSQr6CLpXru0+bBrGk1WiPAf74AAP+1qWuy+ao7CRH2etw
fJi8q3mvypfxhXlzfp4hb4mCmYU/yFOdLuHdsoDzTkJcwJ6pYdPbmRCESAkSflnCvSKqE/81Z+K4
BvI3g24NLHmNVPLdQWX6410UI9ePYzDv6QgsTwu3iV2RXLM+gpAp+djoJpqvyqDLDIkYCcTRKO5e
IuYpG/L7jLb7CI8iIagGRrckf2xJpAjUL3yLVbiqvIXCjzFa5kPoNxYC/OCMQ7HHXkMF1URs8kCG
VerbALlrS9kCDJZ+sP6EATHyFnTTkWwqV6XGs61znvv1dqo6+UBGXTy2IlEX/FnbRTT5Lk1rBjnl
0mPoBEb1oCMIrCFx9QcyZfK1tGpwQ0xNKVkz9Q5/NoBOe6ZbCIf2TqjwksiwXLfyo8zm0xB1n6jN
e3oXUOpaqlnr7GsYmjPJrfCWBluHEfrSbGj5ac+JnUdrLipUvQM8KaHUsK6MnnUgRZt+Oka6W02g
AgfpQDy1PLtjn94noOQwXgnyIWlyCDwC7GwrZIs7HydGUCOzkEMxxyXo8UvPdTswn8TFwLyqfMtA
1W6I7n9NIzz0pvEg9C8R0gHP5oMJjHNJCYoEBPDOFfn8HzH2QC062aqdRXQJSN4i4+UY9o6nbkpm
B+V3MRNZxgaGQh/m2PRprxzkfb3Ug8uiLOX0Gi2T028ibdefs+vn7wxfvOUioTaictSBmdc+PpN3
BgLJfVh3pFsSXKZjRs9hXg8o+0oK62tIcnzu2h/Gdemgc2PNpsMyCZj7MD+5CAS236JwI+YOkb64
NOQl20Dly14WxMEK08u7YEqau77qkRHpFlYfUofqbHudd0ddEycCM7LP96Pa+N50rfywwmeTe8xk
UuF/cqqFZcvgWTmH0TbFDVAPy+XddBLkEy7dZ/KxI007YY15224IGF1H0V0GNCDjUsliV5tdjh1g
o1ixiHNRqG0AXs7qXncq4tfpZmz7qPZbh3HEGXVTv7K1eH8QUsn9ZC2WJrLq3logaFBWn2F0A5RY
HmrMO6x+YUogbGTM8+LLLL/LQXLcV54ezogX0RuTOecZDo+1M1zizouVc+QRMEkvvIz8meAa765J
2ZoWr7BvEIoG7qQeNTYS7NJtkqPYr/HkyWv0od26jfs+12V6kwQO9l17zrP3okuDtzkef4a6x0Lt
OMNwANiPtpiydRFEpfs2n6cPXCvAwuKpv7bBYCj4bO1kuAAN8N7iKfBr3lFshCvVYrLC1kPnAW3F
4mPBHL9hU7Le/S7NzsTJos+6NdOzw/j0NsPkB/CwdJm2cgqXBy+zB9pKbbjFf+9t36WAqsFDeJT3
Wcx0toLI3rSVfY7vzKlSNa5RJucPO2ys+9GuSQSU2AjIt5ZxfrK8zNyBKxwpdHWHb1uTwucz14av
Tmk3WO0j1xKnisYbbhqurd7cfgTiXNQgkde11TQ+Ex3bfQ+bRl/kGObHMY6B6gOn5bbce9am9eIy
WmO5guE5DoDVWPTafmMT0wD9GBsN02AaXRhN+NgPZJqSrzmr3BhIYzHcUbDSrYwbX72BedBi7+SM
zdQO4wk1A2m9E2MXfANddm7j1O9vkgwVdx8Id3npqN+ut07ntGQAJutX2crksfPL8KuanO4yOFyh
pusjyeUJaykPAQQUENZZykfe8IysG1X6t8tQ00QkHDg6EBOvUeJO6QLzgKceOxktz52dQsjFNOiu
ArofWMUXsqIdpVL4hMBWkO5obXlPVpzpkyjEcEc5bv++UBn+xeh6bnc88ubP3KkcSxSAcyo6jHor
cT1EuzwJFBhdz/tx02FA5kXb2uoOFXlj0gBctjXgG4HNZV7w4cDwsspJb0mohCQg43AkFhlisQRS
Qc4Aa0N3apssesjCODrz+ymB2zqcOv22eddmhOUBDrbcNBxealLXmCgYTDMp0mHHyBizvdw6iHHH
xrNGyCWsAJtMSicjYlnxPGb1VD2QRkwf+tRVEDMF8ZnRU+LQlPTmrovgiqIRWd7BOE+9oNqUTRe9
FGWK+UFWwS9G9/MX9xjcTQxNPY8E8Uxxp4ZQed9gEHTWaRdNj3Mzvrm2fRmszjwjudFkhBW3eugL
wMSPQz4lh2Fx5ae/WHQ79HPR3WMhmY5GUopRT2771hvR/kyKUp2NNVbhpUL6uSzgcl7msWAnYnKe
kDzQyXClCiQnRR1ovuMgbN2pipHQrkfbPSYqgxeciuRXM/juzVwKRuB5WtjZnmEdvmFS6eM9LaLN
QxBeBevELGc/1dNKBl57DPwhhL9hTxeq4GETOQxOj1yVfLVzgJ0eS86bzQ7whr5CETj1u+5cBQ/G
gfe4sRl8rJdwmPe2GcUnpRTNkeExFArn2jwdBTj4MCKj9XJb4gSWtA25lshY06PVjIgzhRx/B6AX
vlVNQSvo1lA3pCGH64mVdeKT6yyDdK7wgNqlb4CNW3Q8TXKkn15l84saEReporjyoCOweNylSTi2
G5i/HH9xONAJqMAzbsiMm2O29N2zJ4vM2XiUHnE0K0Sp9soa6Y3C2noXWt60L1BEsPD201sNwzJ/
0Jb2eYbx6uG7TO1ZbFjPxcl0E7y/Om84BQzchNP9ZLyZ80VQLdeW7XpL2tSttgLVioe5iCjVhYTz
e2kWcWpDYsrb0MB95PSgMBPrJmxObVYY4FVjPM83zFEtdQzJpCVwqKv5o444ttnM1H9NJjJ/JCi8
o21F5auE8/ISUZQ0rwbXHvejbTlHrLrdnhQtLTxlEgLfLPuf3BlnbsSCXhAItQBs1qYNkaSduN11
E/QMtiSzgU3HPc7mMqbdgGu+Ypiy0iqQvz2gCP2K9I18XiKHIaPLJVJRKB6kg7ebi0JsyzZaLpSV
2fcF05mNa+XE7+KWPGg6ZdW59aP4N2kvF9JrYy4FuGH27LYlq4Kgzn2xE+l5YSi1a6ekePUiWMJY
TKdnGvvKI1fHNuM0W9kA/ccQf3TNlL2w5c3AB/557jj6N1YxHxT8pfUMQOmnws3+IN1GPvPYcxLO
QGWlrThOIDreVDd4J03QCfsXFcWJFPCFVVIijSAKubnBmyYvnMmbpzGY0MqU8m6TXlSH3E/9d5t3
7isWuEq5A8kdukOziRcnvwWQlD62iDOMqWCWtFojGCEyowS76if0kl/xZBUHT9Zb3RRiz9kO0Cj3
zO2/sndmvXEkZ5f+K8bcZyMzIiOXwYyBqb2KxZ0UKd0kKFLKfd/z188T1T09kj7bbV8OMIBhm92i
WKzKjIw47znPmaVqzl3VffYHoKvkbse9T5xqG5WwTjxazFaM+V98FqzrIqrGo2rjd8t1A61WEJ5s
EmxnklmMEv1JREF8cJjbXQUejI+uwH8dWlNGkf1YXC82IyBK1UFR0DJ+IOPXHbokcTdGByWR36fd
EaICpeDvcdb5vyd036f/Hn4r734XE/8GrPMOm2DX/s//Zv0S+OQUZ3sEUmzmzbZlWY4+5f1QbWGw
/BYjC8lRDLFg26l3aR4OqpsKPvm4poWBO9cl6oJbQFY7Oizc45jLYPqrFyJ16uQntVO5VLUqra3y
P9LTr/SHV9L0QQ0Ix52O4Nj2yYDZMvLluNxXg+23t55HxO4uNVMXF+ySjw/DXHL+o2S+s7bzwP0d
2cMnkMAKnWyGn77LdQcG1egqr98ctbj2xm4N9VJ3Irvz/YB33pHZq1cTG5EXQY42ZuurWzCmXsPA
q1+QP4zd1HXyUQyj8d5EARvv3gufXZMOpFVUh/FrF0t7xRJnX/uU1oUgm80Xrwm5UOJouq9LJ/E2
KLH+dl7M9MqmkWoj51KykZDh7Vg2tFaDbH3AXjRfGdMkr/ss5HFYqAwXQ/YK9cO870R4ImTorYUW
LV0tX1YXJXOYOlZIw0hFtEVyVQ/VRfYMLxKoqwRuhoswKuza/XA9x7ubVNo8LCGNQSASsYnWKbv8
FbOrajMRVBP0kHjxIdawF3xwXKfZZXdvXXb6FIGw6ydywQkgHtL5XRUNa6dJkDe5nBPoxpQHbMXY
wdraF3t5OU6gJjlv8cKEVaW+dzQC8RyquT9WUwNGKUAJTSmXYuDtl+7K0GcWnNAcXzx9ksn1mcbR
pxtPn3OCiITnlpxk/pgQPl0Bn+NEpM9Gnj4lRdEYb5oqV3tRN2iUWhFds5oYX7PLIWvS5y0aIJyv
vj6DCX0am+kj/1ybEUc0tByOa5UfieXRUW36WYmselPuYvabYu7k9JI5NW+SKjN10y2cL/ej7aCF
I6RXr01AWODDiCgk30bYIr6DvSjrux+GGf/gfhUX0f+n28Q1XaYSQgnmExYpsp9vE8KJySAjHicx
e63rypjCcznGNc5uOuMgC3nH2sMGuQ76MthOTXnrYdE8R3QXYipwxunEmLpGTVtwlqMA0ENZQBJ8
4NRTEklGJ31t8qEaoPTI+tEemZ9XgI7QAONx67jTbZ4Ft+STwbFA1x/Olpd3HQOFKXgvdJ+hE1cO
eao6vRfAspH0neQENvMRmNUtZdt3PiO6M9ZApvpUzVIM/sg9Lm/MfLnmYOav6YsxB1Y8U4HFVkvP
I7v2HIgQ2j/VOWxQeXaYh6FyM9gUiXknS2uwt6WtwifLpZI1JM65DafegH4lS3KyHNvaGxaX+s5r
2mnXspPpNgptGW6FLf1hq6YsPS1UftTrHmcFkqFTFR9u32qOiNezkVTdHb7c9hNNqrTCQfhb2wpW
vV9PAxBo6sw+R0wVPk9qxrU84sLYBV0a7eOcbhieurbLzCLpdlRhhIfCU9xytjNiW1ENIJiZcAag
c0gia9qegz0n4QJCCf2/4I1hixTAxAf/4JhNcE8GOfqaW3aw78CYbPVM/2FCGUEpiD06BdVwyhJP
w3spjENaXLgq2XRmkOCuUh/iEs2lsMNQcDDGeMVDGidAk0pV1c/4erkDQpKpw9ihmTHJiXZO3/NI
WzDjzm7dfR6EFT8ZUSs+1fizDwG2fJBtQ83SNI3J/UL6agMRV14pVqk1SW18qcwatiOkojs3spLn
grAVq2jk4xv0eGdOMYXcGYcYJzjr/oK9g0lWk+sSea7ykigyVi0g3uwtL0+iJWrte8doQtiOeBiQ
d6AMrgD9dt5dkeoRdqWHSNZlnmR1U4/N5TJnMvXIqUHVXdZhpSdRAU7XduXHIMq3TiG+Wpeplc/8
SlwmWa1UcteL0f2UXSZdhTAMgOnxyOkzZvUuNqxu1ecQdS8+SNuxwpulqixzq59jH3Y/TmSEJkLa
bASYtiVECEj9NBP/zclA0hUJ2/3YZDrogKnqWIu6Y19d2xyue39BaiKMlCYH6KVYW2YEDLVpQCRf
yV6yn6gvmu6k5d1UWa/kxRlqd+ETrIFXTBPcICJhMuTGpzpYluM0+O6usspev+p2pxi0Xk0RI6LW
KNWhSucWpsWf1It/sFBBq/j5ae6SPKcmjzSrAy7QFj8vU0B0+hRJ1D36ocLJi4G/OVfD/X8+CP/3
UshPZc5//ocukXsviTzGqAB///nL9vev2TfpYvmfvtheptP3/bdmfvjW9hnf+vsOS//Jf/df/lFV
/zRXVNW/feRxARSPB9B792MfmwThwXv551utf8JPJfdPb3mc/e3m7aP/B9/2R/4YGrGSAIRZYj3f
syXPiD/yx85vwjIFSWKp59TS/QEyIn+zfdMnmwxcD9SF4hP7I4DskT9m2u0ziSbGKAGw/Sdz7V9r
3BgVCAAoUih+mjDFL1PthjBB70xOs43D6s4KcpJpRv2FVSMkb9zhBE9Pdjsth74ll/rDO/UPLspf
d7s2v5WPhcCVMN1BA9r6qv1hj1mIvuuz2MZag6n4WHbh1yIuHmurepVaUFXFsA3cCGxfG39pMf78
fr3+0902V/7Pt4XtmUS5lS/4TJj380b//AJwyJkJQw0IU5lBBkRnUgzNrGgmQFEd1HNGWomgSWyI
9n1lxjj4LfOd5CKdIhUWbPpd7RYnGBnimwHREn1pUlc4RknksdE61Y2PtbBp/WsZt5SZN/NQHgJs
fTOrNeyipnLvsbmq9LrKvRhypPMkI+DrjBD5C4E107w+keBk1pmZm95pr8M4p4w4ThnKqG7ZZXTs
MPfLWnnj2ovxZJk1yxNC4nJPT5E4C681ntwFALQD3f4WcuPCYEXa12FqFvsYd/xzElNbRY0CPkbs
4YAcnX6PL09d+biV9iqOp+Ni27ZcT41h4LIlUZIebBejnuYtQXAz4n48YqguOfyDbKj2cHOCfRij
PTRG4KCZRbP3xaPXBae0qMQDSB7KbNrc77T6xbvWyvkwD0l77sLGOIxpHeX3GMyHb5S/mJ8Lu+V4
yw6kmNdkOvlW0CDjKymvKMUZPeaPhWxfCEkrwkOCo6DorrzCvvKRhA5h0rQH6ITxPqmNL05v+qAq
7AkCWz9R1da3vViladKTIk7k1B2WfJpu+qpe+LDS9GrwJvLUgG72AiBKv05qrzwXwhXHKJvygxyi
8Smk+g1HAyI+XS0LLjTP2C49H3drpeYb5RgU/RVVG6x9N5/2qUEz9lyPZ3hg4S6tmupaAiEthauK
lRpBOrtG6zEeoZ7E586lW6frrTP7vahaY3J0mQ+PQbWrjIyPH3vGzu/JDOIFIP5sCH8Hw2vZOF3f
vtAo4b24aWoi1VZc06G68qwa47W+zjsgYOsaS8010rj/NFCsS0E1ZpYRLP5WEhhg6IykgeMtoroa
c+qTKxbqMZRq0kcvhC68GZSjaPUhN9JGm5S0Fl6WNh6/JF4vrV1FdpByENLU1MG2Q8zdYo0q3dnL
ArhUjgKUTB5jsPAKV34t7KB7gJxCRY+bdNl+BnT+OMrA/UZQvXl0x9Z/7hi5MpCPeuML1r7pHPe5
/SRTx7Q2UznV7o0dYZLe0txXIjkMKiCvahj1HoYT0g5sVSIzU1oTdWWmP36t5gk9eUiEOCeN1Vhf
PK+d94ur5jVbfrYK/uIkX9upye5GgCSbOuyzpzYWingWZHNk04OXjd+XDjczSdRxlxaSLHvpVh8U
qyaHOVTxdU3J93FpYFlaQYUJNqzlcINiUV2ZKq64qRG8n51R+O9JIIOjUTpgaVVGXLYdiRSFba4O
HAuxd9Bd2V4vFrrXjMn+RQbIzVk/WjdYbNRbsAzFjhRn/F1woidfNBb4lQfk09G33oAUO3d00fec
2QLewslrn6HplnsQ7ua5m8L8NUpU/Yl4gnx2oWIcoxZ5sqpmqgxVqtEBfZ+O+6pts4KWsAzHBAxf
q3knLVCEV5FsQgw6SebZz4KzDaVwfOdrs5AyT+boO4MHAin2bAJXsiJVLgcxGguD1ziZ2ZRi4Z8j
gsW+Wgh4Jj2IonVoAuNh/sCovSUY10AJHOI3rrRpZkpCEAD3rB+bGwP7vNYUYQJFaRkw0a1GjKhg
j/JtT/7KRzia89MisWTuajvFp+AZwiPt7FlfQMP7d5T6DMfadIOXVgKN2iQGAgPx/pGi+iCg+P5q
oAHlDX+rzul2/nhF1m781Cfor0cqkeJgUyfpck8CXufOJc7sIKRysEim6oZRBz6BKPf87WDMn+fR
KMSGbF2wL4YM/wYyzrc6mAfazaFbjq6gksrseyLzM5299cbhEPPKxU8RD1YsGAXY6An0kD7F09yr
Ggd1PVIYgyeo1hbqrsY8a4+V9XmqBsbIXZRaOwwbBdWMPYcGoxhbe+umlf1C/sd8rWMADyYi4Hvc
I/1Le/E3frc0OxPQwe04Of5HC13sxqwnP9lLRZqf1PESYAleghIZdKJkjz8Wo/zWpF7DypVP9JM6
EI9sbnrG6l19mJOGF4BRBCR9Hi0joS8Ltz7AHQAUK2qJOZYsvc16QcQzzmAqzmCsiPn0OTqLXKad
d2nbzJ3SM1ZCP3fY7pafePQEuDoQ6Pp1OQ3Vc6qrO1PmKDs+Mk5/CcWegIynM54DHniMj308BVSA
DiUl9qj+OiVJB2JxV1NVTsCO26HSFaKWLhNlVBpFWz8He5IMZOAsXA7rsBbFmUKbkdV0ia5yv6a8
PO2xFiDqJMXac2wGS1jEogfD0r2mI/osTiFYEPpGB5OxdI3YhqbvfZDl57rtZyACmCf89nszm97t
cmlRJdeFp/nSrerrmtXcHuwN4dfuHvV4L2EG30Wj5T8sQHQ/MZ9mki8AZwWcwah0jARWPd3sGiGV
n1vY2retq4tfka3s50y3wQ66Fza6VMQyPpynlaWRJIC9oMJIWzXX3hKBNiT50ww8kPu63dtmSf2s
K6KnYSLsTgajQXqz6/RGgEy8y+JMQpK3HHKirhE/INdh8McPcxUFeB9yem+HMnvojQjfWrlYiKxQ
VnRLLhvod3sw1AY7322qm3Rz3alL4wQ/j290dkOQu6euHGnfTR2xzqsKyEUlgZ7jBiGvGlFJxbDM
knRZXap8OeuWjEfp9+Upx/m+5KJiH8RG6Huuu4DnSy2wpxuCHcEsl9hWTHHwOPCCjiLKocaKlLqj
uO2bb/2Mb3oPu7Z77z1dCJN3uhxmaOiJcRkvnNNLeQzcXl0kQ4pGsbQqjBtkh4PxWMQO7owxXNit
pRdaGkbCq3buFtCqF5yaGyqeh5WmrGF+EC8jrn3cBBrCprcqzHIdndsxPc+Ot4lmtpF/ce/tJhg/
WdQhh+t6iNNT6OHJwlXD7mvbaP4bttV22mJk4X7KZ58QcVstNymMBQZ/rv2UaJKcKUQCLQu63HQB
zeGeADqXes5UHQOGfWAbcodXMrCAw12nRDVe1YiX3/xUA+wY6DG6liNcOyUviLt2EvSRXNB3Jp7S
c4/5DkNCWJbnSFPy0EsalvhEw/P4XADpAeAiYGA5NotYPIyqPTcX8F6R25hKmtAAyAfWGoOkHRIz
vQ0ByhWb5ALwq2YN80suYL+UDbHa0fcgHocL+q+nZ9ekb0KI4URbxuDtKH5i00Gt+6kf3Mxj22NO
7IC138mabQh5QUL8xudU9gSeRLyggTgv3NTJcLLsRoJVAFq4XPiFg0YZzlUwULvuaJq2iUcDUPOE
u3njxX7DlrWayBcUmfEGWCyeNoGxAJZ1TbZRyMQFDhPByWHYdabDHJfPBNpiBNDvhf6U5FNDBDk+
Y66HzKi6MTxmZdPvKO4wvplWEpzSC8nR5KlynCewz3i1ouRVjpr6GKcAIPm0KxyTS5KtF3ByR7qz
OYK0mbhabOoTfRV0ZwbrxDrUhS/Jr76deRH9esKTclMNYIQwvVCJCNuPdtsN6qpisC6AHf/FeVBb
1H7QUi/HQcc00d8RPGymID+fxtKgFWifRrdtgrZegYEozvzy2dW/PnVeTrS//hhahzjxmfwcdeFx
/XDqnNtlEONik4gJO85kQw9w2TWk4R3siKHtOh2qXKyEX0QfBY8HsRHAYxEWh2x8taZZEe8t+rNT
5R2CneszI4gxp9qmuDHGan4Vgo16nDphAdclcbs7aTpl8P+ZcN/+ncyBltiZVP1zPeb6LXpr3lom
N28/CjJ/fN+fggxSB9oK+36tAPwAhBNEBiyL+bxiamghlv1JfRXiN4yVJj1yUkjfRUH8U5Cx1G9Q
YhVEOJIBiAye/Z8IMlyCWo378Qp1bCwqriWl9Di72K6ezf1whQqC1FMnjGk7d5UYDg5cps00tPhw
l8j+HuqU7LrLUXY2EwNRaBmhLiu0iMxd+QbP3a3nJmRqcNWUr/lMrOIGuKL+E0Ur3mUNkI6iSnmE
LkHVTXNpUMxYkDFIGUlW3SsCDi+GreLw0Zztsbxnw5O1ZO7ijsM8pmZcLYUTiI2djfQ3JFQXIXZC
gKC+d6C7k9G9yFFFLkWkOGzZTZWqCO+YZlrfrUS3/0wA9tYcjfxjrXsmRRoZ4qZPlwECUjQyAV7F
Vp3ejk01npmJoUop3WNpwUI6sadQ3qZR5RDcBJfqSwKDZvrgpeIVkWi29jAq8KvWrqDZdwwgVUxx
xPZsmWiwOtuDJKZcXMo4BZ3KDVj81k7WdZjQw+nhatg1ly5PxpbI0+OQxMlty9AWqhGkJ6du5dkw
5UxoCpdAdjC8cExPzVSRVaf3k8SbxvxVq7llgLyaEs++Fx27yXVl2tDGeDzCofeYfOtqU0AY5dlq
vOh+0qWoHHTeVdPRk4onCHWY0yzmNx9+Dbl1Onl8O4tf+NucXTiEzV0AnqY8qqyiq5UnDL2tNGDa
D+nMduBaA+GCtZP1OC7B0kjIJ/OCZXbkuKVDByYJZ5tqF+MUulblrE3WROPQKD95abxl7BG8wmC4
plFpxiMW655aj2n9XUEtFxNHL2iLs2eCtFgNfkbyosSMdaCrngbclo2lfzQh2VXQ0nOqaz1H9ox2
OJQexOR13YZKG4bE4SL4/92ga3exyMbBDlPFkB1NTOPYYnJfUJflVo6g06+aCE1E+AMIuJNl0UW/
eVRSsRw2zUcJaHw6cdWxgTMvlcFD05ElRJ7wKXMy+2NIL0EIUMFdmrVpeEyKDIASpyQx5deK8As+
B6uHNBQB5aBt2xd8YnMTlidcbMzf4qpJz8jH1FrHDE/own7GnjHh3gxq4xjSSnDy8Cbjy7TyCgxB
Yj1QUtp+WTBeXvkqPQylwKwFd84Tj0EzwAGmE6ATT3ETus6KOBAZtt6s5se4kMtHHjGBG5TJ2JSY
QmRROxO6dFPj9hu3osDqeljMML/2SRR3OPPIxG3MZMg/g1+ob/3ENetN41e4SALTT8u1oaT9RAtb
BZdV5A7zJDIA3TZNC3UGBxCpTcVIkWnsbITWVS9ZE1ZtmNvXTQWoZsPmesa6meTxl84vsTC6Mygn
hixM662K6PSmBPhItYMZfDJoyEBEIcyRTyVmXZyPq6yJ4l0Y2DhzBzpwa2Ij7t6qm/wzOD3um8pv
u9uwVA0u/by8KnD6P1HdlBAtnWE2xJk/nbCcybuGKSZlDr4kfzWUSD2xxaMZ26XID0TA7WcrT1v2
1SNWW+bw/nbpuiy4TyeMMfS10wi89xHfmCSF0deJeTwMysgTw2oxqYqj5qV+iiEGH+mVxC1oZ0Vp
rCIYeCsbu0v2UamoOclm8SXZd2/51Fth8V5zlER2y+QU7iOeOBRXpy5bimwkoT2E401Ul8YxsAUV
1kNYZuNjNVJrwiR8plsz4tzQYnDMa+pfRVCdBqfK+v00I1jDMjOrZJMyz0rXC9Fac60QeF+GZHZv
Me+WbFKpgLbCwC2evaSFfUfapsI7RWE7G00SYxuY+jDCcgNHfcaiv1fNyOUZvSyxYX5FfsdXKMqE
Fuy0QUmMCMnSxaG92zkmFwLLmjod1wfHbhX3qC99lv007E6we30QS1MP19qyKW0b7Dp4yGfDfMIZ
xTsKfcQF4aEsJtUZ1qp7RoNY7XtTcG4i4mcbV/YikjdnCMrhgEuiT69tia5AXwy+qISD3Bbqhems
FjA7d0GcMlL2WOY2Q4hmxnpBCmdjKaBI6EYF/n6aFMdnn7MAzU8xpQerlneespHKdu5pEsM6nc0F
Y+W4LyoiAbM+wAkVVQ9xLQweALSS0FxSxY7mJrKDOFKkQBzJz2NnW7Ca+WvLjZnckq46cDEvBu5P
KzxOU1nF64H9QXsQRtwEu65W/qHIkvjDmfz6BT5zeW8MHWLIVMfLOznXjBwCQx6y3/AhSpzqcZev
hz5ZjlZhp+mhVUSKV3FMhov59yLslefpN4GRCYHqNE/uWmwabBAaKd/I1OoKe+Tup5mS6evSrMht
OemUtrQEs7T6vYepGNRGfjOh8z5I4AGfsBn5J07avtyZBmfgBLMCbTVe3w7XKSGIJ+gpHtE6lC3c
bGlTV4fJ6b1v7oidD3Xeuglw9FMriEkzo2oqHetVwQm33HiD660smJbBLdk6qEt2n1T+3ew5A8f+
0Y2uDdn4nykHUveJMK7qC7vT7fKHXuM8LXzF0SbQkE/JIrcJQg3+xLm5wnz4NdFQ0LhizRQMr+UX
1WhqaCjwf3UaJdpWZBQjG7xoeiGNInSkR3MiiMUao1tz4ZLOdkLrxtgnSEdNnqyHiZy4URfuyapd
k5SVppzmmneaZQk1RXQRMZxBC6KUXKNRgaSJtcsBmA76YDkZ9RI0K1PzVO0LWjWyoKw6WjR1ymg5
TLnZo6UCHFxhTpO0xvCi90lYAiHwLNitXRSOV8YF6Go6Y7el1wzMKx0u7s2g2a8oBOEHEkb0OWrn
J+OCiBUXXKyrybHxBEM219oNWw+dlMc8xyoJ7E0MR7vonK/w6sAhWkUmjNMAntbSnFqkTu+eYQH2
3jS2nvQo6YuyaBa4kUk9fAfODPA2dFPgt07H4XwTJRqKq8SSrmF3VfnWvGBzSzudvoYClu5o08H5
qQzGIt47pVV+1Aq7//14gfCKxCKhY1/gvLFv8TaGoY8309b8XhlqlC8VksRrgwvi12A7R8X9Bf1b
FHJ4rC9AYM60lJ9fMMHlpJHBsqkfhrZKyxPOyQEcnD/O9yC9C5N4Z3SN6QAH1QVBHE1NtwctAr3s
gih2bWw4a01LAJ/lOd1dvDQYi5nznIrEiOkoG+WtSWnTiPFxLLfdRLcktYPZliRayLOcPchHY0NO
pnySYiJ3JH4CcpldNJRlwygALo/IeYCai8wp3lA0fYZjbI2e5jixP/qhliigdlPc9n5bf+qnDDyu
nME7y3TOzq0o3YwYSUhPimlbnxz2ajoZE+79bMBEStUDWXZ1ybWbOuKOabSq1xJp950HJJ4K1yEN
b3iGfOmC9k3AuKCyZsjIzIcirb5DS61frEumHvAM+XoV9Gw4jHguPjHrCJ/GSxYfp1oEVcpUj5yD
dVgfBUC8LiMRfv+S5u9sXDGEe1mNyfpP7MnfrGlxkDWjx0QDAQwhdchqUnACmDfDDDAv/ID0whIg
Md0nN/GFMeBfeAPGhT0gLhwCRLncZc3TfALzwiqINbagdWs5XfWIck/thWuAqV08xhfagbB5lEdz
Wj00cxs+cO0vhwWNCr4QBGrMY0vf38Uep3a/lcxhmJ7uhAYsxJAW7AtzodJ17VHjJerYJu0cveR1
hd/cFxVlMjlDO3YM0sTwJev+zh4nCAx4TMEJx9uaNtCTmftYnE3aUYd2oFgNS9iub5c0gObgNr72
QaobFPXuYTSCZR8C7nqteG+P8G+adC2dIi3pCfINZwOmKybdQ+w0XaOQGp/RgnrjRKoNKbuXufs8
ygH+PVRHS67zZijfzcxzYcvwoL0JbX04o3IQw3Hr+9NjPE9BtiuBn/ARquWzhOrwhWFM4GySMTKt
tcf7XWE9g3pny2b6QjMwIm5s0V8bR9J8YoPLCpss1IzNfROdAllODGrreefMbnZsLJrgD4NPiTCH
Bi84QYujlrYk0pZZHGc2bDJgqkSLj9q1EE76Mgmt9AqCFGJNDTgBtBoN1ecT61ZuKtNky81s1bBl
0uErt69zbtOM2UFER1bMtqMIDwGktmozRNluRNyXqxnG7q0w2QwRd8d8dWr9KHCYz7Wm3ISxkXCq
4njjYByLF+JjqfiiOh5g66XrOb+CfrFDmoEoaOCg5DvzM4qUZdMVIMEgxS3KEEFcdRyi3vqcTwWj
3kg1h7RimV+EpERPzQ5rTdoBhS0Y/eXKCwnnEYco1vPUE6UisN5+sY0aIdMFTesw1gNq7MGTDZll
pbsgyZx7xoZle6pJ3Jib1g8cSmfDwtl6OaOYFamxhA0lyF8iYRGt917lUUkVdrH/EfvSewQ58xxp
gjmlyI6/KgsSjXm1uDuJnw8+jOmd5hYDH8xP+r7g4Ny5A3EnOn1xg/BszrItVY3tAwozxt2mdzUh
MW7fkw62zs4Xftcc3K7Q0OKo+6i6ZbidwIVZ/G4msDFVhiEPaTzvb3Y3mpuMz4FOSXt5QHxn8p/F
ztnuI+ceShqjoSgYr8GeXoXYLbtVprANQRwdDqntvLfwiu5Q1FxyTsV4xZD8MRa1SQUkrgiGX/IF
Ev2HtirwHhNk7534A+UwP7YB04AsJnCTJ+yQGUzc2LlRnXLV8oKGsrrzeAzv4q4Jv7CnyPFkxrPz
aKdvplBqCx9RQ64KWqNm+H+WXZJ8LMzqMag6c994Q7Nm4dyUZSv3sBjcjz4zLJwdjX2UVXpYCo/g
jdOnyQYNuNgleSMfG8ua8dV75le/sYsrBy3yrW+qgOhFmuc7v5vN6ZClpRNuWSTH96V3AHgVqaWD
e8o7dSlOC2JX/O5rxpT1m0odj9mKU6vz3MvmUE7s6VNHunva+MYDGHeO+0OV3o2enG8cxWAHn0E2
n8dpYFfojd3ybU5aEIwpO0gmYLn3NCvHOc+C5j6nLWzOxHQNQzAwN4Kd/LfMmABD0MWhHyavtd/2
JPhK1V+3DotoR5VVsq6YAwT7vPTDQ2fNe8qK033R4SSwZIX4QTq2e2a7WyNQMIdZT5czx1SFm5py
t++ejPyjakASj3OyfLZgzz8U5dxTDkYocV0LGIkrIqtkjpDRmSNEe1zAx1GE1Z40s3PbE6LkF5o8
A3W9LNjsGDmIQEy469DtFEBxzqe9a9evY2NeuSAPwJcqVz1kPob/mmn+fQZXczWZTG5hI6avdSbN
V0hpFc6RprkZKVsl309uBLavBWd/3FQF1H12NOouqjXt1I3jEwyoVS3n/iAn98Zjm7fG/G1fzUpY
bKT8ZUPPek1gpFOckRH6yQEZW1yl7s7BwY7TP8zPLFTJllvGIxhc6/KYpq7XhWQEA+ryiZk0XNfY
HKYnYi3tDvsGKaHa79UtlHePnHrizNdjZpDVwX+EC7fIdgTa6tOyhJW4mqykQnFX5XEOovazASr2
iUhRx5iyXtrnZfDZ7YWpfAEHYu7hbpp8qot5qBw+/6YIu60LFzI81dOYbc0xGnGFKMU+Z0ndr1OR
vTmkZtcTOWQATkv+DUBrsGd9KB+oeYJsFQfGTSZBGtoBrPiEB2tv5QW4yKgq92pSwxoOP1DfzL2p
VAATouM40K182E0szqOKr8y0KY6u2XjfzE7eEfgY1y28YTZkwXzn2LOznYyOrhgSsystnCSTUe6j
KelATixoU3O5OJ8ckavPKoUx1EY8SUIMQW7dVXvafbOtwRA0vgkwFH/FOC+f03Qyv49Nb3Ae8NUd
aOp9QqahuyHMlY7X0UBfFX9XdIA4/17jHm+3xO2mA1vv+XvkJfld2ioAK8NQbxvge/O9mTKt7edi
N3idFazmuY3YScEOFWyHXUhhaRKTIMRu0t+bMscqoajOogr+opVrn+X/DaDgrPzRd/nLl39/+ofe
zB+/4+//nsnz/6EeOdcnbGMTtvnng4X/VXy85W/F396Kj7/dxO/l17fmb8c248v2x0HDn3/TH0gj
+ZsPmIEQjTQlcUHdVvcH0kj8JvDiogX7wnFxYDNP+D8Fc/I3/gkhKByeNudNC1/kH95P5zeEEdvx
PRdAgcmfsP6jUcMv1TN6ukA6xpSMPHAZenqm8eOgoWXrjB7Aah4RIlolKv9aVB6BKddtVxHuxF1J
ZUJHiGC9+HAurFYjWQyLUTNj/bjUeUA6XAMQpetgjD8N5Tz8VRDp10QULxFxAsg1Llj4T/4vL5F2
F0VqMmz2Xo4miWcI50SEiW2O/DPp0jfOXzcOoWXK2lseK/AMfviU/w2Tqn6PeAFEDwRvFZuPXzyi
QJUrb8T3sQ9CXgBWlGFdWRnj7jjYRnUl1j3scjzi3Qn1jKZv7va/eAnaBvvDOOjyChxiYeSwOGYx
mPrlU7Jj0WTsiveIwIg5lvvURyDP6+L8r39V+xcv8B8/yOHHQBBhRPrLr4qrp+1muq72RYlPtQs7
f+d21WsJInUHAJLsIEF8XKqkTYZxxKYamMXZmMQ9ixGWmADjowSa99Ymatw2kzAfZGoBxOHq22vh
Fr2snEFK2enWqKBM0E3sbhWRBNAcAw+SKoQ714s75IqM6483cq6dz23QHs0GP6Ud18EpLAyPzpZq
3reK8/0cPHMS5WrNl6fS8iiun8bpBhfDd0su+OmH7Gth4CnLmuBm8fxvyM8PlKC8/Ot3Tqd8fv6E
uCVMZon4E1AEvF+MzO6CYo1KWu2VDMADT/PnJAg2ng2jNeBoR99G6K/cGpn4X//cX2fZfGJk88CD
esTmL8vIz5dGXvlu1fpesmeclW3BeydH11u6g8BnS40s/aSxu9DG3gh1hWWp2hUtVlDXK/hAM4qH
syjc9V7LgIfzNMAskW78APWuhFWyz5KgA+UksH8w8hbbv3jtv0w59Wt3YLn5Hlc11mvzl8saTcxm
MxBBA7NEscG+q65w9FZrOfgPPOdKCl3xgXZ0xt9UE72U0jqOaXjqM0pKgtw5/r4A2dOuVGfHJboD
1ECu8KK2G6oT5MrJQMdPcnn/16/7v37WtiPIBdC2jqGfUcPPbznWGsNsOGoyZUQjsElM01Ttp7+/
0Y1TMdfsO39tkAn8q/vzv1xl/GQbS5TJkPp/M3dmu20r27p+Ii6wiv2tRJGSJSt23MTJDREnMfu+
59Ofj5rrYtrOsbFvNjawJrCA2GZXNWo0f/MeuNBLkEQ99Zwf0PCiW0xh78Rd6378fG9QGJfPoknh
4H3KwxFwXj8fjKRcQ/Mz86PZKnyrqRluBtHzxxex9fdxHZIrGBopoaY4cCNeX4bmFbpjCfI6pcxe
AiugTDVb0PIhYG5sk9nkjgJjPRiwvy7EklKzZS8i1GGgwtExVjvgYJ1MCtxMcAs2FFLkUN1nLYs8
TUa5bVQlRo3avldMZfZU0zpTizYHeD4o31KDo+6TOZ7CeA/BZFXu8Hn01Yn4ZoiJRgSWJYh/8mOU
9uIECbDYJD3lphPw+3ptg89kmrqh72yjrIV9NyzocsPAAtE+eHybyKl0T8r2cepAuMsKxZKgS57z
JX42Eu2WQjy4Cio03nUteWlkX+7bPgKbiDSOMjnqtjdVx8uA8zZhYMP1J+bWGsAhQPksOMH6LlAr
2Q5V9swEZaLRHz7US7UwiHLuIxYHTIaU+9Zui9gBVI/f406T3RMYAGc7rtF7hon3jaYTQwK8v1yE
5eQ21bkY3sP6T6HOhGWJX0E2xs8t6ueuVtdyG5oZExSJ9lCzCqv1ufw6lAzIyE85iBdT2VlZ8iIi
HvqCr8lz7jfsuq+NTP8wkxhQc85O4TgO28EmcI991e5SDhD8pRagmI3yZKlVSzmM2QKsV1xDbS3Y
9nobecSywk+N+FnT+RxGbcZbpeUEzmCDbhCMOzEKv0uEc1/DLWcbNp2bBnbkk/xoHCzInGcan6Zo
G5QeUFjPq/4LCYbP+Oy5Udvm0PYMSBWG8jtn4mvmZP/bpk5MEm/soevspXAauQFEBth1OC55+pJZ
heNPKIW4oc6DtmMOzVy7DoC3M5EZbJdeyDkNSok/FmcAo7zUlWhBuEHFOscNTNnNaMhuU8qw7Tyk
L0qosGL5srMVvjC+5p/U2ngc0i7hi9tYhOs5rtNB+ILIPosgIloDOoPXHJWnyYIpAQYepvCSP+Mh
ldFaRovCHBT7rpWZh5/AM2Skco/8YHM0A+te7TKekfT0ZCY9udX6YcgMzq2JG30qODwua3cGggyU
zWEmGWQd8NL42Q7IGY1Qu9XszPG7OXu21YGimxUuOrbGZeHCIWLhF5MH2IQOSm76TIvvK4dEJqrV
9J8tkLPChNBu4WfBOhhIPtEtWK6LiY/VI0uwoe0JPjavNNzsWUGa4POj4MNQpS+xtafReULdQQHm
GOBWZ7No8bd/vtw4t0sW0xcL+vucaY7Dc0ujhzDijI7XdyrxuprYalZUXZeOU+9AHzLdmZ10t9TW
QVBUw4QAtou8CWIq0wDBF22xJAVqPnUBqggEMKVdA5Zl8Ds8B0s3/ecD56pxK7P6qazYV+aUvNAd
djZBnTxfwkVvpS/dRB5tQ5PdFEnIBVp4kAwonG1lzmiWQQSh1cdLpBggH6JvDmbPsTaDIfbwq5JT
hiOGm9ZEJQIV5MmlejJkebqcTo7KKlZD3oABS/UK57uXWQ2CG2ygvJwkaRubi75r2qLyjAk/yNn5
XaBIvtEkKxeRIag5bQzQAZycrvB3B2Jtit28S2HuN1b23JFfreFsLngRUWaeL0GpNwgvUdc+JRP3
FqPCLqE17OsMwyR04fxYsFXQCniesbvf2ugzbLKBj3upJqI1YTFjTQEGyGItrfPlCYG9v6xboo6N
2/UosEx5iyIEcWv9BpV0znEOh1gtQHGm44l+q7FFQYhlg9wTvXAj35WiecIQSpyMJnlJqzDbNbgi
IELCYrxEOlsnmKAff1/OBhEV/ZQd0WT80qI9TxOB/ZuwM3cwF/gtG7RMlrbBVbd+HeRhQFAuJbYz
BbrhCftwqpbp6hKJYYOQiJlhho8JNB3OeJyEFvveyiAabfgNkzuxIUNjMUEWwwcABownQgmdCGnt
+Fw6uNDaBnQRJl/0xlXe2OVc0VJuql2T59Q0cO8Ndlg3zb4W0PNLZ17kusKmhWAcVaTpRBrAuryv
sWTRNQ6BJ6tYVvlA9EEsofA1h4Ri/bpt0mCxwA63IqI+VRC6GyF/sB6oCi7xN1ujY1BHBYYGAuED
/GH2NZJh8BTi58bhAmHEqjZ6NpC1pCfayvTA8eDYJpVI3Us63McJ/tJjk14rQTY/wPsv91bO7tYi
kit1Sp8va6Xo8ufEjl6KZboPVCgjKcO+DaZ4qrueNoFDXEw7tkAA0eYaQa/UNRVTZbaIPKDeYR5k
SKg+fVXUHuJeId+2ic/j6u1Ld4b8HGWVpK6jfYart8txUp9XRYZjjETEQR8LOFPM2TYTTH+3Fwva
T/1o78rSgSxSd/qmbMcZlcLIUPdNtYTPkTX1Dem0HnuDoKXV2XHrOxYi4vEUv5R1+RQwF/AmKqtf
ipMudxouk0e1wKMirLq7pKhDnzondmUgxBPDPxy887kgI9YQ88bMEHoLPTgEpzxjoUwaSvzrGEgO
5aExIHeLPu8wvZ6xSBxXO8G5Lg/2WsClEXlyvTRnTUS6hwOBuFKd8LlXMuzbLcTGsRjQtsBjUb6C
tnBcGrYTmmvP9lrmwWxK3UigIcnxDm0ZutreUfL6HBsZLsmrux5YAMyJmPJuQc2XmynDpHSokC2I
clwWYE4G7iCbP8lCwtYN4PxEXWQYYtKDlJZ+6Jz6KYNvAWQB3P+gIfs4aHgZpbbW+pVoEOhJ9IDL
IyXOOJWuuej524h2MaESvdf0xlWGGUeYheOfFO7NPq/tAFQMk08KqF+VhVlQOP/qJ5JndPQIWohz
AprGwUCpOwDoEqBgkhYx6CZ12KAwhBZpIGMmGbG2V5II1dR2VMEOo4yrmjfKyIQVPX2Oo94LYTrv
7JBvGoJxGJtjXBJ/IX48CHW8QsvA3jBdqwjlyp/KZPExMk53chISjwLlp9ERdZNaaIdu0W+hxshN
0qinRtFSt8CyFsnMHr4lhsH7Oo4YCU0Y7dpr5bPgrb1RoY0QbOMXMZWOF61mVSIg0pRFND9onV6v
XxhAY8YJpIPffBkxn9misZ49FnWvg8ZRnwZJqFBE+4SRLilVWjfYCyLWw0ncM2OwOj8tSYIjesPe
mJIxqdRw6SZR8HK6xHFdSU+ayjkXEhyA2XY7BTcgsIQNv7VW9PieEA40tikIgpZDRtxqk42EXAEZ
pclZt+W6RCmYfX0cn52ht/20GG4jmxUTICm5UQrc8RaOgvU+B1u9FXQf/NYUlIWc1huHNBs83jPq
sU8qGiJAc9TbdsEaslNxFBujdroSIio3sWoBZ7cApmbjqZrh/7V97akDvnetKpuHXkm/M4Y7hx1S
0HJ2rnAe1DYSRMx1MnI3NlkVQ9WO7HoNp0sHZi/Fpt2liVt5o2Hfa3H6XM35iQRjulmsiXlRrV1X
DXkN1CA8Q2KTuhHmbyeRhIVRege1dTfIaPHQxVmlDRomVmMS3aiNqL7HKu++IE3eidQ6ZDorrMpY
DSiHliRYvNM8Y9IW6ZaNVVTRHEMlHu+RvcDkp2G5ybV5FYczphxptJ1t4lrQkudAuJ3OCiqsq4rV
GqRzqpVhqMi9227hYckx5TLgqBInWFs25T4LhR+ofXsQTvJSKNFLyGnfNJxDbYHAgMZ9Xk50KEx4
GpPuICYEcYRlcg50iK4hOQHFtdwl2qzsFG4Yqg9nZjGX4PnWqmWZaBBB3k7dPmyeSrhvjLv68UtY
saUgs/Ox8ZT2O3xHrmY6kwiUZtOX1OzSr3WP11+uip0SqgMsQaxPMyr63eWUY6RanOJBI43SZ6at
toMACoZwbiZZw1OkLT9yzYp+N/GE/InFH7CZpWydsoenpbCaHLgZP1Fc4a80+QuaG+pzDv/jhKLq
82X1U2/usNKIryhWX2hC8FSZ+dXG8dF05C1Gq5R6ASdXUil/1kaVoS/1vg+d4dqo+SJzup6BIeuz
L+WwxdxvDQphdQuXHNk4MCTbSABXkypqOTFhjGZkusstie+K0V0pTCOIuNVxlsh66mCrsCy2yVfh
Sm1iRX5ZyVybXgcPCeJIuE5EV4rVzhHX84mGQr+9nL3OxD6N9OD+48Lf+Ft7wbRNqQrkS1fs4eu6
f0gGawiTOfXxX6MQ12jYGl33VFc0BRN0Z7xFESlPwVfuFijOkcx7Qk31aNTf7Lq6V+1YsIcpdNc0
o7dUBR0c6z4dwhtAMIhH5Zayl1mD6PWoFttqHG5MfC1caXckwF0IQJBz8FIjIez7G9xd9GJO3bA1
OvMWYlDhwkARJ2nOaPNUU35aRQIoStak1KIG6pieUy8hq650BrmXoiJDvhZhvdDsrz2UPiVojgWK
SwAn1ywwQukHBGnmGqEdHFIhPtXq+lsrBfEIVVq0AlVHe9ORgruD9iQ7BTM3akrbGoMroMnK3pQk
XXlqPMaXwEsff5v2bDcBUPKTFvVfmmK2wzAD3TLY+/RzX39VzbZrI5Zp7ydWq28w/4r2eNtyCpn1
KsiVgHY1BxWqG/J5Hy+od7YMtBEp31ddDY2AQS/p9aXZ2aIHU4WTQA2ZzCCo4xqviK/xaOYuks7V
j15Ngh3qOGAVjeSmHPLhzqmkP2uTePr4Zt7PU4AHqZawNNtCC1J90wfuJQjuqBxTX1+DwNowAFxN
Ct1O64gV68aQ6PrxJdfHe916Rj9eoknJeEJF2eXN4yO1o1JuBr0P1sHeZTXG2TWyQTuRlfdT2wyb
IVJGtxibbB+HQ77/+Or2urb+fXlLGroFV2WdTaAdL9ft/i+qSgTcyFyAxftRFBknB8HDU6Q3ljvp
jkdajzLfmE7U1AW2WJquGWDxxmAvhFKc9VK3vo167twkQ7+HIPClNZETrs0OT4aR0ehIkuaykttj
ZleFD7APba+uiE+Fljh0BnMqSYwEPNx3SXyGxlz7BLcItCaHpC+EVyZt7SqlzN0EieR97gx6tEWR
cnT10MD6Ezj4YUIjgOjPHDasdT/HcPKKvplC9pp+wRxPR4rY0nxLatSDoolPZq0kmBylIfJZhvQW
BObdrLDhkUX8QySVZ7FONsRY97fzYEsPga4E/lw8XgNzhlxmoEXb67hsQCkIKLLTXLtiGAisDv5v
4pp5XXhFpcdXfdIgZp7juU5ECjTk22p7j4B5fMLFAW1z5a7q9C9hFEtX4SQ+gqBY2GqL+NGPEMQ7
KzU+6T9rbwdRMB41QddbsrJBwdtvYjeS2Y2jZI6Nm2mCuH1ASopoLg/RqnQRyEgTmatfqhq34gAI
MgDMWd9hy8cHhOPp2k0HoCrpB3NjNRaW0Vn0K5OJBvkf+mbqjGjAs4B2s2LjnmkLmg5FU3gkbPq2
Wt+2rSFxMqNXfnLWP5+U3ZcukveGRWdvnEy6dgba3T0iXXuZtPYnm/vtycWIRawzFpORBb3rt/TE
oKsEYI3Uhn25gCOdN2zHTzbz2/hxuYTFNMdA1UdgXvN6N5GGGZZihjbNmQQ/5YGjbmgG2jvVQuOt
AyoyKyjlf7yH30YQLopBjo4cG6RTTRNv2GahAmvdjBrLq0tcMik0mm214E8xhCloQI3ySdGM9lCi
PLzVu7T9JISIt8eXha8OM21pMwYihr89O+Y6h+ial5bXmxWE9wmATyWxYIPuwAWxLz1UTmf7DKfu
1aJMfZTfh4ePX8Fl2vAqjK33QDoidcNmwLoO4/8dxtg2jSUb0M2JmSruMNftPgf9CEBRbZcNyBzs
O3K1/YnUanDmRerncmLCV3TSvoMCvLjRYDXbFvqR1+cLjPNW8irBMrldVHl5GjUgmeYWTJPF43SR
dapr3TxZ1Vg/ypAOEDLi4N1Hp7vRrBBs46Bkh4+f0ZBvQ7XOBNk0TU3TSBI4rl8/4xx3pl4zk/N6
dtVpBNvpqVUIZAn+ytXlIYBmZjf4tVmrXoDYUuQhWrPg9Z5BBNkusb64Gnq8Wy0Kwr0TRjZ450Rh
X6stjBn5UtH32iuDSbvexrQ3pjcMelzbVU08ADeK2j0iwnB8jMX2zcka6CCAjFm1WQzwa7sMgBDd
1HLtZxSKl1cI2TQBCjRVhIFyU7fnid/0KkiGmygKv86KoWzNYMxu5qV6XJpEIwj1VwbA/u2iozUf
1tFwLWOre8Lu6PfHr/OdQCokPqSrTOZXFseupr9ZMhWipcho0gyDGwE3ulearZUMJ0Td7/JcD7Za
rwtv6QSmaOYcbGXHYyZGZe9TGxkRJc7wy6GW32YO2ywphuhYp6H6s54T4M6Lsxz5K+ZpQH2T6lvH
97XLMfwNI9NP1eHXAqPiiPegiiI84xGja3WvlsBL80Y2W8UsH3uUqD0cAu9zDn83XZrik7ihv4tW
ulAZhWKCacBXBeLyekFBB53NWmaGJwYObxs8yA85jRQc3HjACWrLXV+imtDhOog9b67Q9Kwj+B3Y
k886luNJFCA8mZX5A8IctNJitl26AADc2LipeHKsWJhmqGBFKhZXxXITRizgQhHbCWQ5G6nZZqVK
YXEhpH43DtqTrggsKBzrLoji32PXIPJHLXDE1NHahzTIrsMitm86y5E4zmBk4gwZ7XZEg918nFCG
pgHi65RXHkUgC33gkpODgPPHi2cNqa/CDWuHLFFH8424w5Hy+s2hOxRRD7J2hsx4Adlh36x7pekB
XI4iHK4/vpr17uTCuRYJX7IIQ5OO9ZbxnvcWkNweM56e1rWbUPM/0cSPjugRCSS1MHzU1CA5A+uN
jtLGfZtKvqZM4KVPQ72yI2CSUrl9G5zghJ3jdbCggyzoqE7m1RwmpVvP7OshYbzIz26ri4iRw7ps
ULOHP89uVi3rpWzr5VauGj2iXoY/AuDsHny/oEpb7RRa1dzhZRp6EfCDB6xXmq80VwJXwAq5rVCK
2uqSnhjQTpwUsFHaIdE/XNM4dw5Uv7cdWKQ9Kt1EDsDl17lZWKcGJMv1qBKWoYikHrzDwKU6XZ23
8uHBmFlb7cAxgyAJhmKGtBKvrDt2YackZ6mWKu61hfoDGSpIE4OgdRBFpeI5K2uoHUKcLXiRm8gS
5i6iv0gGyoZYPtlof1ktLBJHu8z+11Py9WppTTNLMRcwPbuhAZoYvL+mMjicSigXlsGG+Hi9vL8e
FRzTf1IsgEDGW8STmeKSqADoxaMzJwGp2A2MKJwD/V17Hy1G/cluEO8TS10Dz2DawgESYFnOm/1g
M0qAZoBtHT1jDdg1UzghbPMU50bnF8iaHicH2ZOwNb2q7Jt9Axoeglut7cqczW+NBZ4nI3rfWFwl
YHA5qNBBDly11BsaQKLzq5pHic2y+Zq3hGujWA93AxamAaLzxijKn/MaRkKsSZlus+hMkf1kVoRN
l8kELiljxQ0B0t2XNofdYtrXGfYwcAG0l7qEhwiX4iW1sp9wTuudgnSPN9vBchRooO0gF+c0kJr7
dmGtC4XIfzlaq5RUq7HD6InuvYbMEOAGwUCVfhy7yXE4JSOWIObVmXocO4TrS3M9TfOUwXtFXpJi
6brtc+yO1HWvXgDbTd7Pz8VCfEsH1vlSs8TTBhE8EAicPSlhF7Wl+jGGSeXx3tDvbrihysLxAV+R
xXWUSHGXuYYpfvnXjPUez73iNRa2vtC8x95FiBXzWto4m3k9dZNItgeITRabhXARi5F8oJuQoRNT
e4g61b7GWgi2CrJhB6cL7X2LwAhS7fyIik+DWwT4A7Ylg3bm6xAnwrY5x4KObdEFJecCj6lgZXEe
8Cdzq0G0OwxlTR88mHMA8c+7ywzbzxbzwZytXzmzUYxwdHlgdw4n8EvajgjGKjZm28dxlJQlJo2+
bHfH5PUx1eMKEIVcWHoJNta8f+TOOz+O+Bwf7663wXjtV6AgISS+lBf05+vdnNOH0DrEmf0axV00
dnTECJjBfbKH357Nl6vomD8grPkXZCcNaAom2u/+IuA59RijuU0y/VDm9owuwfe5Q/Dl4+cSf3sw
jRPNBhImgEqu+ee/WgHYDYd08vMO6cekPQYdGLO405sDXTTQD6N9j4ggk1oVwIk0w+d8ymZ/mAS0
qRDzRPgav5fs8eN7ehvJ1rdAXmJSVKAq864fg0ZiEztqRVsqTX6UlTH/+WdelKLmV0IJPn98uRWY
++pc5wr0AyydWgSNPGbZr19BL6negiJtfRvqZiOl4xYKxJESX2JEB+hZi8H8qWfJQ6Xmh0y1HpoY
rvVAc6CX6e/OXnUcYCR9cv6vQOZ3t+Wsh/+68oT5VuNVs6dqDjGp8GmBAG3ImDeZNd05pBnpMkt5
QBmdtk3eftO6Cm5dySdSohwUlFI+iWYCy8HoY5NVEoOKskCi0tTOGA42G5LaX/hxGp06uYtO1x5F
PK3VbiVjASwj0EUM+2SndCEyDoAbrCWM8LUEjrkCdRFuDGHxEn301bQKQjfjaGq0DZ7t+VYNFASn
VvTHinS99IKTRW0+qYrk+3ezgq8NHSi249jmWwi0I4apY5Za+Zd2xmxgjmRBMdhkYw6UBA7Ado60
mGl7DoNxGNTLY4JG2upZjfTlSrQL0V7cLkmDcpTaKztDBVg5rKOmBVcfr0V78ZopfrqhdJKbMP+0
BfhOhJ6WI0I2crX/gxZCPv5m2Q0drdGG+QwNBM4qxyaACw3WkNU89fBfkDDIT0iJNnCKLZSVsthr
RiRKPl797xc/bQv07KQE7K7SUHh9F1gcaRUc89pH8PlKjrwYyUqIC9o9H1/o0lT8d/rM81qgsh0L
ULRF/fUm0gAcDEizMDkPCoA0MLg2ArVyr4aN9pItULtgQbN4V0BWPfUl7Cls4WXvzFv0jUN3rKJn
ydQ7HoFokhrTX2FqyvtNd+U6Zi2YdwMJO2EaBtYIw869gtLKJ8fA3z4amFcwwwZtF+Md2Lpg2CvR
D4Sw1OZiJVYhl1tMaLy2DGpwbSDHHfvf64hxTkFs4Fz2Muf2JxHrfYCkesUhmbpAo/XxdvVjwNta
lRCVr+rlHw1pjC2vgYtlDbax82dXk29bPeuHo4PokF2ivoWO6OslgjlAR34rKyC/4yp+W87uiuRd
WhluEQU2wDwxg1oQVd5IWw+/5Ev5VCJ6cm0i9bLR1fC5ssV8jVUoBm2UatQC6NfryFtiXUEtkGjj
l4/X2vtzlDtGbZsZkrl2qd7ccYOtJPp5bC1LmWO/bKvOxeAj3fUqI0eQR6o7qNknfda/zMi4GitC
dRjqGMbbnYSloD2WtSzRTgULVJc4E226CZVaXBL3Ud4BQQqLnCFwf0CVG30ZTd5eYDaUlMqODgr6
TgVT9wBspdulA2KZhiauQCMIr2YAVGlMZSPI4a5mdE9yYURxgREUglmjpP3poQtENIsNIE4rYlGX
fXyLcC6rs9SivY46ih+mbYQGrPaQ1XLBfQgcbEW6CxMwx7PSWudfwYiA9Arqpdy+nUagBRc4YJmh
qghM9dc6PDbjjstNsPVF8EPDdGVbVe2IwTzL8ONP+dewYWpr6Q2MWoXm8Hr1VfYSR41O2AjnLrpJ
c5C/gomfx4gDpjHQH85A5sKxI59BmtHwN/jQxVjb7thLbJ1MxKcsxJL/ifU5VrSHeEbDd6O3FY2+
Tn6/oIH1SjjQZPLmKgchfo4SPsLHT7Iuutfxzya+Mu+BpIFm+8UL9l+ZVhPqoJYbq/ULi8O4n8bC
Rf2VLaFHwzFsHKoNdCO/63ZguRpKPJ+cmfr7TA/hEwvtBqTJVCHeFoiOPdGsx9TNVzOAp6VsphsE
rrqdnQEe02pHfywqI99ivpYeMIdUXVi/DOIVoF/0EBm1pkhC96qVu8iFsER03mltgZk0Z/2HKnpk
SconpWVOe4HsgQYQKBmD94YHGUTNk1GtADoDXFrCiMhX8xUWM60IqKWKb5t61B/VDEkj1Tk1AzxJ
w1wMb15pInnovPAfOEF8+P7okGj9woaTklogdD/+SH/JLGzGNoKilqqWgcn6Fv/1leBSU4yinOTX
4PoumLpc5/9oAhBlFbMNly5DcCXFDkJN1c0SkzEE8SN4uwoVGJCLGN3ANWoQG+K0vs3W+Fab93qy
xEDJq+8FIHjY4sD3LDWf/Y/v/n3cs6VJRsG+V2kVvx0r9mhatzlYBR+7JF8EFH5rqEhnCe5iBXBk
Qf5J1HuXPFusKfJT5phMVzjY11v61/uKBGq7TcrwFDQY8mlVB917Bbtf4Ivt5fP24CiRfVrJD/As
+hU5O3S1vUGCoN81NYqaBvwPeLHEnI/fx9uD8nJzWGJp7LfLEOj1zZkz9rkKPGAqwlpbu0egtUkj
+hWYnK1v5X98uXWLQ+7RBMXEu2MnrWCohww7RmNdtVZ+mhUSKr1l7VA7/neI/L/G+3xl5PF/w7mD
d7bmwf9/QudNXyQ/n//N3fzvr/zD3LTM/9CcZR1Kjb4U4z5WxH9dO7T/2JyXEGRMRt8ALtjY/2Vu
avI/hsBYjszUEIYpOWH+S9yUzn9WdAI2HxqrCJCA/J8QN0kTXx8BOhk/DCS6uUys+J/+ZlIYhiFe
e4Us/L4f2n1DKvBz1RhGv0kLbjBfb49jrc5uhirLERoCfGR286GZ7OToqHR9ewrZR7uYjd9OA0ym
1i3Fg6eHNeGYTEdWerRDDtDcNND4r/Q8DjfhtPw0e/0GE1ZX69HmMaf8qCgZ6nDQVTdWSS8fRPFZ
m1tawUv8KEv9d6D3NNGN/Cptq9qXeSaw5lbTyaur3tpCBYh3cWKJh8yISXTrNMqutEUvrrHAWb4U
wsp/9WkJf4HC7XmOZbTneuOXyqHJK3UFEZ7K1MNHCWZv2yhDtdXnHssxnMJxWu4zjheuCk0hzOmV
ZdXvQdVQRKrL8BvFLqYVRam5linQ+ytyOswpolFz1F0lYs4PY2NPX0DW2X4ZGajrtG0poCwSaW7w
fpj2SmoWxzIc+69z3hoISxd4T0RdIh9mHFPRMENrJdHCcxvp40YGA6E0t26kXgwPHbj8P3UWg7A2
R/02V9VxUxKGEaWpV5+NEgNEM4jvGIvKg4NXfWIN9U2EqNmdhvwD5XrQHzucV09DZBePYzCpKACo
lA1tGGMaB5CyrpOfI2oB5wjL9XFTx4KkpByt4Q4d4/xsVdGfAK4PQ720Z1Rj1k8mahew1ubqFzzQ
lzmZ7cW1nOlbJKt9GhlXPS2KXUyxcDvYmHQygklvEmt0nnRUok9irvSjhsDFoe+X7LfOjGrTpg2S
I20CWXUuNOWMbCEpIC0b41dl9NSJQGUPGFrOOFCRWuWqHpzHrKj3VoaIZMfJup6D8rqerT9gqoR8
wp5W3akcuHetkpdXmcF5AJzdMjYy6VGQD+cw3OYo4ywbPkJ+E5plenaiBfC1sswP+FeILwX6DdtQ
L5E+apf5nK2QZHCCKnoX9eCGaD9syZlGcN58IKTupXOd4w1FEV1W7V6NAs3tiwGJEsV86UfdPq8+
MTtmb45ndvWEu7qcDh35HC4P1kMIaRXrUKPD9N2yvXZurHsHh0KvgtH704ww9zTbGKKiYSrIu6Sh
2CUNR3q9zLO3FIqynea+3Cozgo4mZJedvjB2CRGGY8BRzntZ9xZETdpJ+YImIFTuXMNEDhJodR3g
uQIVwWY6COJinip/obFR5fWmSQLIRjP6+LJ8NqLZR9g+PobGRA7fq+lthZ4/DiNt46ctAHq0fzwU
akxfYmJ+tKVqf08hueJKp4LMFXE9fjWL6rtuwh/Hp8BY2lNbWL+SoTBvliC197hR616DEjrBZ/2L
uLpqTLrGDKTB17HVv9oinpkEQtiq0Vm7C+E1oicOYjzAtQ234/w3av/nBo7ZzuxksRW9qXxF4L3/
BtxKgsTAjbChn/SFgTQI4rkQRxW/wStoc/qu7yrrT2engWeWpnbd9BqbCRTXLkC++Y5GJm910sHK
z87EVGeokastF491XOwoN0eYf0s1fQshOB80K4l20D5aD2JXeTWhtru1qLD8oUzmQ1oaE9bfbWti
5xBikNgHy40dkn2GFtC8QEPCBmM3UP4441DXGxHzB2SchBKBrHZqpCYCCxbh3Ou+7On5QFRAnjQR
KIvPaTmjQIpCU8544QrB0ODbXKBmNpRpdcKVYrhS66m4AszMlAYOxfNoFB1iOQDYbSdVv7LJ0aWI
IwuP8HHlzk1y1B7MuLTkFvZWtUtxsF8h75F9RobEtnHNtDUvGZJsMwVm+Hty8gdtrOtdRSmsZAJ5
NtAgmV7ijoqQ6BMuxLd9O4JK5ckD2uhDjH/7MBvhZgFj8tSE+YK6E7PbZO46ryxx44T36aDBSRW8
03DKAE7ds/+72di2SDj6XWGoN62V7VK1hxIewmosgoEWl3XqE6Pf9loUbiHVHZOFORw807tiGaaj
UXJ2M+TRu7tIMWM378ffUAhSgNqhcPH0uI6K+DbRTN1NEzRxkf1utjEoJg+DgcXX+qDC6oIIztBh
2U4BwBtgHcMfJ+xuQXo8JMjXIKjIH8AnAs3vKiFs0AfME2MP/EHftgsjC7UDo58Fjd+tIJJFDeYf
KJkaX1UzG4789S1Gmnv8Rb53KVE/i+81eHcyD3el0uLngdHdru3AbhtZoGzp7EVQAdTkin6IfrAS
VCoDnvwbLj3a91bD7juu8XjnlNgzNanuwkxp/LnukTASw4A5eh4V1RPCpuGxNufuCx6n1bFUrO5P
7ugK0MhpPQZnYOhpDqaOTiOsndbBmzhG0on82lR7uonDOUjyYz8my1nk4XWJUznHbFagjFd0iD7X
Md0HBPQDdxIq0og1Ssdae9KQ9MwnZEFl1Amw3ppfZomPGBLQ9DpBB2/tkLpi6Q4N0tHTZFfMbRAK
4qf+iHZ2DA9JNN5i1srmTgvH+lQhRTlp40tszQFSailu5oEhj0bX2IU/jKBdEGYau58LxxB8E9V2
q0nNKFSjatjMJhM4F7zGAjwCDbkUxIziOnNK03vM4hrsntq5M1PWa0YmkWt0eWOgPjWrj4SexMVN
ZPLbGn+HUc6jr0r4q8uq3gWXKdnOGGkAC4om1ATnJffNEG0dV4va+wqV3Kmt7S+2YvR0x23lEdnd
hYk5KUqoVn+yapruqxzhP6W1gOroGae3puXOra2Xj2BmbspiQPe2iM5d3OAIaa/Wxv0TzfiHZskp
04qUctlwSq9witnj2MMTOciRk5nVzHpKjBaxTtKK0Eh/JZHuYy68X9r42MXWfuyY7Y2oOIZ0ufMw
Z2ehsRsi95bhRlUmRukJtd4j9XSDzuvXVI1+caA9js3wuzV0Hwkg41yFYe2FwHS3ZkJrxICxyLlL
FhZEsLZNwLnmMl9XrQ6tps0h0cx6fQ6MyMuMIIxg6lgtmHS9P4eqjtNIVSM+piBagJm9qt0Tfu3T
vLR9TDNe0Xek8MVBCLJOPcIHKY2PytQqgEH/H3Vn0tu40mbpv9LoPS84D0B3L6hZsuRZtnND2E4n
xyAZQQanX9+P7vcVuquAKnQBteldXtxMDxIVw3nPec7o7MEXmY+c4uZn6g2WLTEc74F+VE7CxW83
5QArJlefNG/0Slb67BddcyREa8Sd58FM6+xubbYQC0n/3HjV1rR3DDzMjTI+i9lv9zMh+bsxnNmi
E+lj+W9UDE9lWjcLVthuTOhDMVx5DIPB3rfNCCMpKU7CmOSHLqbgOiSsf/aQZw4BLaKLQd+HT0qG
7X1E6ms3Fs1nWGH59yJ16+wUCbRR/yAhlK06iWPeV5+gh711bpNAmwU1V31ZHBPTMt68XITvtRiN
TQ6X+bWmgZsWVVpePYhuq4qX7ofAothwovQfMaalq6moTQ/UreqOviyrfS/JJODU3KM0+byoIr1L
UgNEXMgmlTbVmhmmfmuzXt55eag+6Hyy1iUBhjDGpmOw8DgkrogIba1EKp6dHPThLJIV3nNj6wfA
dBdQZLt20MlrPWfyEX5quJYZEGFHtc7Fp48Q8aganwAE1G+UOHd4+0fi2Z43P4HzQkLM++p3Q0n1
TuZ+/Sdq22Q3ja27CiUn6DYo3Dv84gszNaMWn7mdZ3f4+AsvZhhpnxpzzp/TlFMeRbwyv3ZgR1lq
EetsnaQXCvfMXeoI82IF5ET0kEKUyLrukCzC2psBxci1u1gkSwMbg+4ofrtSRxeD5s/rjL851j1+
Vt/R3Qdwz/SppByKLq7JPo6Y5dnyrHzgpSe10XIT2PCJYQLW3TbXOnvsCne7kOTjwNZ1V50lsAe7
abwEpNVX/igxT3d9dyJdHGyWJPmh7UvBYGszf1tXM0e3iTbfEpfChzVRWIJY7DyNCwbZqbfkiVgC
PorK9/Zz73m/uLLKzYIq9tP2QP0jLoAHRrXNvZ/m+WWwsnyPQMqB3K3lsYHVw66Bu5vm6ZACn/yh
NMZ6oykU3FB4gspsWB6V3RH+mUXdCzOz0a4ZKA5BL47hUvZ53NrRoQ8s584bVfmHX1SS7GqDUxng
HY+rvqEeqpr/eMny3YtyjkOTkqR2DNM1w0gr5rvAaBywSYIOTU5Jll6Gkno2aUVnu52REUOwYR2g
gDdQj/N6XKoPEn4L0aciOLcwHYS3FNsa1WzV2N14ul3yqSKsf+QIwiUU0anpo3mTKLon21kW1wxj
NzZ+GP3rjM8c2Sa/jwGg1WutlUWlQFMCpbPr15QDfMJdbrimKIJECs3nYk6TrZtscSDsrBKaBjOo
x2L010E6srjMHMlNcwt2fb7MySK3fUoOyZmn+8Ltvng8p7iYRHHRwBHX3kxAXvYy4M7tuzu1WA6i
p3nD9jk8qIhySFMF+Lsq+1gy85Kyfm6AWzAPkGGOtYmMPH4em8TVnOwBkVVIs7l6HNoqX5tZJ/cD
TWM3S6bYs1MUR2to61gOIrzXeLl33RKAnvPS8xA4zG45jabHfNJAJCtEs3VGZNFeW03SJTEOlDeb
uOHkhitXVuTJqqZKVw3lWisOvntoBVQzjbFOhxF0UBFi+jOm4bnzivpDJDYfHiezkm+V1ItBtDaY
qph4MIMCIAOPQllULbue6MVBuQO5yj4zqcfgjb80oqwvRV9Yv9gBFUw24IVLpvjBixKtEA8OLWo0
yr1rZ0mutqWpvxy4t1BGR8thLOppPtQ4Dnc+DZU7oET+E4O58jjDXT14c+M9OZPr7vRgq28izZDW
/UznH6SB++9JiCXu2pYP48DiyUuDS1NaFA7yQ+4J983x4Lvk7puuvwVh3Xfu0uN10Ll47tGtL2XA
2Cez6gZTiqnuHd7TR1vY/DCgbq+pPf60NJJuuAnlx8wcrPvZ4k96oqubgMyAbnDrs+5qw7pnt7U2
lIZB70kyAVPOuDMKkyonaNJEf6sMlJQ04gosK5E/OkY4phd8bKE8BM9BNRk4kmxwwHBDz6YwN7Za
wpWZeqxYQ5rv4aeXx0jho4p6oiZ++ana8Ux7mxEXY/4bthMsIkln/KCclTlPso2d6a3j8gOHM2ZM
OJ+ZyP5qZG0c8yLLHv8W8/6rJc3/jyB1bCT/MaLu6bP47Prss/5XouY//tU/Rc3wL1J3AYNMjPZE
xtAn/6Fp+tFf9EPjkvRuHvFb/cz/0TTNvyzMShFYZqZmjIn5X/8iajp/Qbti6I9Mbd58Rt5/RtQk
BPhvRE0LYT4gEgh8LHBgU/4b+wzcenLGRt9tTeGLamckU5ecMRhz2uuixj/UIYJOzDi283dRUTTo
Wj7Ty7Xg8nDpyKZwybHT8GQPpbMdnckhrkPN6oqbDt1iAW0yywqjXi1XBdwafRfhfNVB4ZAvl8HY
76Dpo8QRfF02aeoZdF7iPDtrzC9qnYvaP2RR16qN1kK0O+gc5ceST9PI4XCCNBxyYlMIhII+BzAU
6d0UDv4X0By9SYNo3E1DFD4sOJnPEib3BgJQiVWxbDat1OXTYLfye7BN43OuqVJ/NavE/xJlX7/b
Ok0VWqku4Pd6oI63qdulaJlB8Vbht5KxNO3Bi9sxKMNdMIjpuTNNvYNZq2wIQFJ/zFSUrVsKAz6c
EEBaPAKxveQIteZa1FZBWUPdA2Uu6a4iuNsbpC/8ImUhGQR9BrTcWW13IzO19yy8kgXF0tFH21hO
+mkyPytwBc0GdWZgSCjRcOGjEhT0PsLeIqffjxmdmxB7jGPXOcBjCOBpSk7hljqncJg7wtt101iH
hnofEiacK7XuER3snr7XO5P1qgUFocRWFvg9nF6XdwtxVtoGlfs7I1D5SkIXOwtRYApWx0nWx5bS
giZ28BVvkmpsr6Krq92whI2/Ep4OUoLGktYCc9HeNdNpf5WyLYHPLlEeob25zZPlp4Xc8BNM12Hs
q4e6ldljaYHF2CZzH+0zyFs7anLT9yKdAs8ik4zAx9xdTzS/BXp5Q3Ya1NHHRm2snJwY6Zbew9ne
G+5QfHrdQEtj1OB3PlkBuPHYQ4fnPbMGI0YQhrMth0JtktCHw8ThUDIKZNNI4n4OEDAjtqqrhgy3
rHQ1Th+4VMO7Io+ikuORSig36xPR8sDOOBu70h8RmRTVMrtRNIrb2Mide9NLQXLObIxh5xaRvuM+
Zt8UnPC1LDpuAxTaDaz/N5hSNIjlISl6p3rCrodrLOqcfS5958HKlv40DWamdhXhb4rSrLD+qG1d
noLASAzOAwrwQk8u06q58G7R3/pjnsy+uzInrFWKWqBNVDf+R5QWVhgLi+6nVaONFDvmAKZn5bSg
i4gaqEPoTD0WbWIeW5yx+ga5MBxOcWOfPtEmQmeGhDnybo65fCvAoH/5QKZOwThQUGQafPECjszK
bcI3MuL0RjQON4qZkMZn4OXIh6mbNj4a1VilcTRV+l7WyzjjD9LuUQ2uYousuLdtuaLod6/Juq+s
SLlTVtwRqp1iHSi2drloZ8+odCa64pt858QkIAFJnPPtido8aJlNHkB1zrCJMhf3oxaUsqepKcxL
pxOo9eykMwl4fEGtDUSQwBLceWhRfMw558wYX8yopJmCB/azcY2csovWSPZ2lFW/0XysbRGlzl3N
J5w7NEjbb+X7zQVblLebTHO5ZhGMbKYSjvutgGvfhzPR3hPQ/lxdUo6av4ybKaSgensFZT26C60i
feWJAggtIp5KKs6bLZvJ/EGiuLrINDTHlTIZIzHESe2dZ2H/3BDM+y6UO+3wHkp8dDPCRTYBOdGF
RWJR9Ngh7zC2L88sNp54KaMw+QwLI7zQJlHzDTg/HLu0Ld9zasQ0hzzMl4zuhfEmafi6wEIz0eDR
9+kAbfHxcjQmW8Pn+w4bYfObwFzE5VrmNrxzi9Xx6k5G0cfaBHG3ZXA2BzsihnzMqBwDA9LXi2Of
VTD3+yBpvJcwsSprbY0arYALztqFhFRvuqLJTo6X/0p7iwpwCpDj3m71ZzXp9lmPZBFtkqMxEB3j
2WU5E6sR6DPcsxLaUHwrz8S9vAyfXjQ5/j6fnPqBiYCtYrrLBiYevXcIKrm891XATMOiJWRjtU5T
71XSu/mz6YrJ4+9iFUBtgGKms7DawoRyDuVkC2yVhJ5ZjkbT+o2OGdw3unJ+GcYgHuzZarYOlrhr
Bc8tfxAZQyR+eM50jPfH+ldRiWkPrWByVnpsqa/RPo04uWrCDb1SqOMDJYjBC2Wcw58pyEnWekLI
X55yA7ygXaeyVVKkeuUynelX+ZR4zAiaQGxo96DHyRtmIjfekjxoArDmJsjpdlmHPdaPmOCO/0bU
wWXjLhMKIrgU2SKqVi7V6s9lFEwn27DtfaqH7KURt9IoKxw2ZGi9YwL75wMGG7XCqWiMDHwY5GXc
INoxYtJWNfd+5dz30n/SVTCtHV++NenABzO99TuRR4qb3EtOuaM0SbzO/T1lhXlIsygEH97KVT+0
89qd818lJYbgu4Ifb8q/+tQ14L7TlNonqUCMRrKGZpBO7ltfcuHaNC0rcZxhgcKT0Lijc3CJ6Tsr
JK+iPYxugrbnGU1DUtbwPYZP1ezIVRpUcJ8m3KI3HkX4u4EXlOFp6K1r1oaEfFuzp3p8LKtwuiw8
Pr8T36d5eRw46rhZJfrbVa6h16tghBSZxb7EY7+xB5nzrCA9a9BRa4hvKG0gMotD01fmJqOr8qn0
rGrrDQndIXC/v0WY23/CPOk/Kvg762mZuy9DOs0KacHN16NZNDp2vcQnEtn4cR2NNeh5iuiA0Sgq
0u7mojGMVzfLKwmre8ibVVhqWa9tmQ/LRYZ1DpWDByZdi7bI5k2a9I61GVQ6HdrccC7SYpC8qiYn
baB3aefdDrhjHqLF6X5CmTBI8iuafdywrQ5C0E61YkUYaDiY/m5RruBkL7WKzuPSRndmb88zY0Wd
fYm2c46eUgYI8SHrv1q7x25Gtdn8y7SDvljPbu9gMDFCOig0/t5gx2VKIDqamnMoDMRlJ2Yvmbg+
98XZUqENvax0glvhgX8shUrIsDZcbxvf7q4covDslGQCvjs548mlzvlYCS/M1rUdYlBiU5ouGLcY
l1bM4w2QuV5ixZ1jFfc6APQd43Hv161vZMvagmtEMDCl38BTVkgTBIvddhzVbffjgl6xrZp8PwAy
y9mr+JiucEmFlFBQKTFGS3N1aAcISLbnUKGMAFF4lLrYAxSXj4DAUhqcUlvNGyqtORQwH5rze2o9
0jPRXMU8n+6BT8YD8tFuhf+UdCpokcH8ngnIgAeYtdLmOaEQi9/ZqbS5HbpirdA/bm3kOdwRDqaP
XuqNJ53w8qySDB9szDLuXSn5Xlgjm2xumWjX5PLDzA3FG3n95sdWws6fyh40X5zSy6gInrQLLmDd
V58cFJKneZjm9C7EQWiCsO3n5WYFYowCQw13GEoO0goL9Nwzocj6a5m4FgMv9uh73czJqdYDJYVW
pX6E9qynsRyybm21UfWYLZPxSuVEdLUH4Gj2EEU/2hnMV7Lq9IB7nvEBWA9OO6yb5XFsCv3B+stx
wZU9Tcgi7IqdqF26uEZqtg5mnc5vTT4TFdPsMW/YTzCWuqVLmUZamUW5g1/InA5AK43yKa78ipOy
ydzHZO4GdCivE7Vn3iCOfjDQjdIMmXOgotGvttjOqAv1M3a32M0yOe8ShmT5cSF8f/I0vdMH7Vod
bKGiksZaR1X0Z2Cm8N0phMlbLRao34671NUt5ixb+dk4KWtnZkSgVjy9mXvMHSAyrFlFW8AfG8ld
0szZRMZno7qArne7unWaLZVXHLKaNq9ptQxcd9aYbJrwnTGBFT55DeeSXcSTBnKznDAZxkWiP70a
iOZM9d92xIKGclgFm9R2G2M31a5/cPg88WAuRijuiCu2ExNAd3AuS5tyYHUaOCxYcF7oD5QL3cgz
1X8RZ4KHCmpbTe3EEqX2HQFyI9llTPWrDXVPemPDSPedlUO9NDeVqvYUY7A6k1KeM+ysxX0LCRZr
jNUK99IXTp0cPasbsvtwDLR/7+dJMu6LjjHBROf3I+gFadyFHmcS6hlMm4YZOXsO0fYlyw+MFPPi
HXVbib2nEsb8bRnO3S+x0JRC+qgEcjFrL/l1qxBOEB1TK+CQRMo35X0fbdplhq7jmKkmmZN7nXNm
S+lsk1IkGN2vVK9GTVsZAOgk9+boju1bjqSO8VW6s7DUxvY6a9+YdrkD8c1Zwk786TmDsSdgKvuF
CeCgdcK4pkapOAPpGAOqo62m3/Sl3W2Bcw/Guk9HUJ7CiZKjo/DEbNsiZO+KalC+R3BisyQq0tsm
NiFCa/C+Db/qPqaS43Yrp1mcK4DWwcqQmUcBmT/2YXusTfhw+4QWmznuPRFkVzYpn2TZ1Nccc8xx
vGOuQ3CRYrxuEK8ZdtHiy+Iz3Dymup/Xtd/eOtZkknO16/zhoZBR9FFwuCPGOeMCIGPmBjRnqXxe
9lbKZOaUGUwINmHiBS5zgqDfBraCRrGEyjjlovyI4PlwIrfa9AE4NXuim7S/DGdCMK7M5aGgYKrA
6qnhspUdD09EqCBenKHYlZPfZus80fJk94Jtqs6M5A+GG8M+WEHBzQiJgQrCvsrm7zlVjnPoSP9y
YDUHWn/koJ+1JanR8lOH/d/DkzQ40nBjaPRPOu1Ym+qoK0/pxCeWU0uC0yQJqW6BDZIOX10Qanh2
WPF9diEFU2/mKgwFplMUH3XDnF47wra8H+FtJlLlKWKi71T2GYMYKQn+tYnMXg+msZZFg6OSrOVk
rRB9p92U0nYjWfppqZB299phIOHjVbTqUxh+fTAo21hVfpCAOKi6W1vxYvlxlXrUyC3Cc+69KnWe
mBW7u7wtxKFgsrp8ORYvhz/6gMv6qf9HNb0bpSb/vgmsZgOW8NCa9fSZdmZ6nSEavM0y7YudVVj2
cSB5AGE+mnG3hVb1kZZDAD2XfkBzFTSWKdYjwEEAarIwqkukNWadxUHt3xr8YleZlhEQlWWmpbFk
chzXYTJK9P8+Wncq8eW69/CPox9TN4ojPExYsWXk/yMX8l+tW/67FRy3b/RNOZLKUwir/+t//PMb
rz/7z3/1H5u/67Yf9Y+an346XfV/t4LQEnL7m/+v//O//fz9VV7m9ud//vfP3yKv13nXq/y7/78l
SMunQYEim//QjvnyQ5dG+ll//jv/8h8CZmj9dQPdY8z0+Xqsy4SM/unKDP6ysVa6kMQtuIJ/ey//
pU8j+otYEqIiA0UbrHmIlfOfCibV3SFKKA7tkGJvRjL+f0bB5Cv+GwXTJ2Rn+Tb1HHhNHFjt/9om
nJeAPrFipNvO7J98Vvq9ILixalJPbyFljj9FOMP+I4q21w3jJ6Ya3XbIfGfvL8LZRg1j2A0TAhMi
rjV6jx0r49bC4nbob166rOKcGCQk8B3KfQ5Gwpi/Z+36reyk2S7VVAR8ybb/6vLE7M4FyCYzVlPu
v/uelV37tu7ON36fIsHbU5CqgCicAgzWYNHHnutG6kUULBcm7YbpqFbIHgZMrXr8hnWhNnMdnsJy
HN59W+DibwB0xLwcOdH4OXD3ymfGJI2lpfpXEfykiqh4rUXgtqta+iOHsWqK4DdSsl2vas5l9yWD
lAY0ndXWaypXvbNOwrxGogi811qZwwdJooUWpiDvgcAUCbTqnDmQbZZMBVGfIOCVakSNMiaf+Q1B
vfu+qoarqr0crKHKzRNH4Zq2ivliIa3tc6sbvxtTCJbwqpNxV3XdfV9OBs6DmmLRubK8a2KOzl3v
OMZLVgbmjR1Ssiw5wXCY5TA+DpSwbZSTpr/DueIFT/3p9oNXDhs5P7sGKor/iCIuDYbZpOQ5YxOv
6i9ft96hy0xGnENu2vyQJNxiKFQNRI/Cuue2m9SrMpgJRTVFWjEPc/oVd/N8Z/thw/nVUgc3Axo1
dOORSj9GMpriWs7C2ZOemLuMRTpYt94myjiY4ZFk18v4SV1KcRznYDzzQOkiif2wNRhuQVpKq4Cp
nYrWw9Q169LECRstyt8Hhsivbdf0a8698mQZTfVkGIHgIDvJewJC6a4RzQwCb3TuM8xlG1xd6d7X
wjzxjiYH2+gkGIbS/CWXZTlmbpo8QKQsznPBg6owon712M22pkMivGww9mLDeZFyXI2RahARNAGd
chqZI6v2FfUj2aY6dD9zS8+nnII1DsU0n0JGiOF0dG+m2X7gcZljKwACx9t07SCHIvPqnv4yWl3y
ZzGNezUVD63N/oCf1W8x5S0jrWekMDTB5ZheSb336r6FXGrbpNlb7LQvfA6CM6WH/lNUen69N/up
OFZs5e8dlSAv3P9ABjfY+MMdfylnuj05IoXcWc3P3BjkvuSZupi8fLTB9wi4RIfzA6atFqG38cnK
FKF78UTo7C11k69mwfw7CUYiiUPVbtUo6j6mtbH7QvliEqB1GL0EtQVHmSZi3n4GheRIPH9+yFwK
yl1ZMlwGDYMItITpQzvJ1F5T+ZU/TWE4twT7MrFxIn/4aPOCOUDujsfZhNuJGI3ldXSGha9UScbc
2nqKbBnsw0XSFZe03vASRpP9qkUw7v1xmr+iKhcvc283ag9e3P3i+c7/ZP7gkCnzLOatdKRln1ZS
udVKMhFBdMmCgOG2rHEkCSqQnUI4cls2hdyNqUQuvQ05dq0u63su+87LwEznmCjPfi5F5+CBQwjm
GlX7D1muLbG2fWltTIUas9OmTu+XscCjzCFnxxyyvwPAJL4LHmHe1cSxrx0q+h3GRWeTWIA3Cenf
Koer8FLXgmtopeiIZjyZmODxabSP5JiePGso7qywpCmWux7GR2VY1ovh+WO3oRfc2PD5DS5B2YvH
UKXmk2tPdotA5TvZsV1GbMCVMNHU2La/x6VZVsxTu1VAubdc4X5YYeM6FtwR+MwX3FuRngdEVoP8
Ry5GST9CHmZHx6yy/RjVF7NQvYFn1DPWrQMkIYt6az+Flnj0i35ceXxwN50p8h3dYjlml6V+7gak
kL7LkXPz6H4o8vRcTiL8Lp0oP49pUm4tu1mOUlFrkPrCxoLpmV/lIsvzMGBuL+qk58bkBSdCOryH
durfJZGEmqqpUmYtqk/1TFUfzlk9bgIhvqyuajbAadXecWv/zcjk1g/1W+FX7Y6PfnawSpgp0s7W
RlEOv90m/ym6Ntj4nTFTkmoBMW0MzIiOxFHiyp2nPfcAI+vehha7RnMyCIXV3DaBZx1SIzmaqULG
BB5sbvrKmN9nsNUZROBUPdoJ81B88Ua7Ua69pkP8ZRHBtBXeEG6brH2vzNk+VG1vreGCfxXGMFZH
G+KiE7dM6NZj6jI/MfUybfvEHZ6swS3O02C027Bs+1vQ/0Qg5Jee2r1bw3euO0SMbuLcK+bJuoSN
fWe5/YLKmIUmg31Fe108UpG6bgJdnGxaSrjTM5/L4slLKjJGJn/UjSt28FuPqkwgWiUeZeBrXB2E
NKyw55iaN2O7H1T1KeYKIaDy9YeDfylCUJnzMx7bYVdnljRXmO/lE3RrtVvkGFaxckPOCcMEFylL
S4HOqtJ1Ny8wjLXh/Ajy7/mGLZ46AxdYGYcZI8WqPeqccVDbsQ/kdtdMMbmnulstVeF/102n7wO/
H+/zEhtvW+OFDEY2sYhGRGo37HPThPf8WhAAwXAUL05nknWA+zE2YKrH6YpB8HfE4/6xeP6aY88Z
EL/elh1BBhZE+ZT7CGUN90LicFM38Us1EiJ2aj8WQ758EAYxmbNW07Fw1N8Bv4Uw89jPKydS4zkI
S++rs8vkF3cHGadWP21uRNNYCCPYKqdVr00w1HukvU3VBbjglNAPbZGk19Jj2iuYG/8htFa9ox+1
WztYCMHd7Hn5vupTtR/rCJj50KoWCz13pthz3fqBPWDc6aocLqgBy9HmQHbNmQIcMSlOR2njaGI+
bB5aODdsSIF3tww1SUQ0wfCQKV4rL+qXb1t65j5Mb+FKxHOIApL7mbC8HbmMHWiP19kvF67MOTQg
wCyto9Y26LnABNsU4tNiciL0BmvqjwNYk9MJjyK3U3QPxuksxGv6rWGl+sYadeXRcKRz5ALkHrA2
A+wUSfNJO0S76lyOFF4nbpDz2ty2PWRbe7F7KOVh+EhbAiTlhAZQ1NXkXI9o4URKKMisahoVb6id
3LEv6aBPtj3/sSwqDrFQJ+a0gs7g0Z3aEW7woInbHLUuUdm42xqj76kHGrGDR8SVfmRXiZQ1vPSA
/l9nlwvulE/DdrSmi5lyOQsiEiFmhkM3GSY6QsYbTSchxzS7LbUFLGXZynGmD/4RqDYRLF8qJFOQ
FGaxpaSrvjNbqi55vbHVur6uy1Xb5sGWRl5346Wmsa+pBDgGSRA8tkxYYxLW5gnBobwH0VrdDFzJ
o8kA9E4gXpLOIStO80LpPfAJJcrYtpm64x4iwEDb3s/C+JiBd1LfO5NtXTxt+0etKu+HtuLo7Gvg
zvmY5c8OcZ6TR6J5jAtZ5x+GJfozy2Z1kEs5rjsZfDMWifZBTet36hb60rtW+MHwie6koq7rGH7f
zfXsFO0ZQxtDH0Xm5NAI7IXMJ9qZ1YPBRrpM9bbi6rSPFFZTwwvmp6QougWCkD4ys4R4aET10ZnK
+Yqru76fRPbecM1/ILNZInmGcu8Ebb6eS4ClKCIb6GBULuQ3J5Ka0jWMJWIcQcFOB8R003Ju2tQm
i7OOfNjiwIrfTK4yvMyhuJeaBY/zY/OOW9/7FdVVebTSmgdYdS4jSQQdyjM0PmoIsNljaqM5CO2j
59G88Z3MVXnrEZnjhBreNfTFYdsF7ONTgAUe1OWr3w/pW2gknDIFBdqaA5FS6WFJS0ApfXuwSOhM
wBEf2FEnE3VRNGvT09QMIomY9COtuWb1cdiO33k+asaXrTgW6ubxKobh4HiWdQwmREa7ozp3Eoy1
xiykvQMzBaZP7FHV73Ewo99p2DoHaKa02+RMDs2xUt8zXoETPsOUWENelVt7RANNBNUDIbypLWNp
Xj53dO8NL5x3S1aqB5Tbmlh/036ZPDAXTfcewgqm/NwuyNJaHccJaq32PQPOs4hMhs5pPj8nSd5x
Xiiqz9KKFn4VGk9FvWTfXMbsAzR8qpkSZKcBJfXVMJbxqRwWJH9g5dZHHTTGLwHNaStzs917VMjc
HAgV8dxlElx6+tB6ULhUVgkYgi7EHsOMJiq3YTvPwSoaQcVxkwPY3na8Xx6jwHcMMCNPFgJjY9To
MIk+OwZCNEH8oAGfy1SyWTG+/xNx4KeO5G6qI75+29NHXAOwYuDB8dQ8lr4yAaMLbJ3THt/xS6hD
vow15A84IajFqOp534VBup1dJRHXmv7ASLn/kGYzfC4DUmkUJP7V8Ozorpmb5BsfNNvnrGu9GpQX
7Xh78KCLITg7S9Xe+b0rPoIw0ZyNPO/QmBxpGUEa7IIzdjqrsnNzHy00Ica1ZUx3sq5Z4mUuop1N
I3ycQX3IOeo34TaBnPdtRpgkQPR7cLaqJPgVUWoCOtIMy2vLEWnTwjK/9Nhb0dSHfDdnCbY825k+
/Zq6DSpoayzoesYa49bLY8oM+Fh6y/RIRd4IA435BpSxwN4kEEwPC0rFU8R0/5O0Aqx6NbbvLfsb
S3znHILZFRu/HNU5RNVl0NS3PsEq0Oh2IpvHnogZludmUD8mIbMXo/bHIO4Gtzv7Ho4KRuhOg83d
Dj+qzpG7oLP/5GUdHZlQoGsj5TnkpGiqGplIXlk40LFNCtHWLTkJCl0WmxI6294a8yzetVdycl0C
TDl83MlcVs0lUYN3qZS6ub2J9a2brB6h5Qu7eyiDvr3ncF1gQEyJzKnCvtUYsIk+pY1UEZEorzq0
vqBowlrUc9Fyho05wom9sCN3jUsyvLNTKyUmUHevvmkAEr8N0OauvA1JwnyXKODbcbQMxWGsfTv2
unE5Co5nyLjL+M5UbHiJOIU+Ak5jN1kK5yrsKT9Gg1V8pYFmL0rG5eItHuyXsjXTO+UW1rnuBhlj
BgVVVlTewWyHScaLXOxmBSvN+xxckGXYdBzzU/h4ixEPlunNRfdEaymiDuGhdyH5prQXnIylszZO
Q4VwLBNj2c5B2Z7Zx9uPbEra6xBIb7O0LheDsKdoKrSb/83emew2kqVZ+lUKvbfAtWvzomtBGmdR
Eim5JPeNQXK5bB6v2bXh6fujZ2RlZAKN6lp0AwV0LgIZ6UnXQNodzn/Odx4wi/nf8Op7R79zgFoP
2sHqLst7p505YmW9ytsVTQf6zfSI2zgiSx4ie5K7TpmLhwUhd78vJuElB0Paqm/8gmSxw6mTzC9V
64PdbjwyEYjobsxb6783IwpIkhm7BdFqK2bu4PwcuMxR5LW0gL36rK75aORA027ag1nyLpl9YIad
gWnOKgQW9ZxCpE3FvOvDsLlfTEvGcSnIXRwvVCmXJAvNJhK4was1PzXHW4P5RxplxTm1Ico6cqrW
zmRjTfq/Ykn9byXtUuPANQhUw/8+aH9+r9Jm6P5J1/2Pl/1N1g3sP4CmkVD2UWjNv9lP/ybrBvIP
is0QaFzi8xAib5bVP2Vd6fxBxh8cORMepF/LwU76p6wriehbwNj4Gy0m0Rbw3r/L249/A6n8rfX6
H6XY/1YN5WOdVr36n/8DAeafZV1GJCzxkM8dlm3EZR8L7F/RFE6rqsYQebDPurTcz4mgcz5l8eq5
MjUY9uM1ro/nnFainQ3SdR0zL/5WEt574sZKdiVoz0brL1cSgtPJk6O+sjTSW0MUN19oRjdHO93L
qRZbp1Sk2pMuerGlX55B0R8YPmDuHvzhhGpxNSjbiogEJB+OwaHf0RlhC108Zn7GJbLIgEOuFPk+
zvWDvTW8lJL5xnFZf+bZJ6nEoRVHW3PuMnsi19bOYg1bqb7FEzNmMbm3N6rAdvaBCqanYuB8lzbN
r5wIjRfGGKrgaabZD04UH2MgxT617fus4hpBdD8/jWz0IZFbJlP2/CWI3YT2ULVwm0eXqoyovKJr
tmeEtP3M4BkVxySrniIwLN0IapQzBH9R+qanzGV54ZBE28+tXEmN7Wp0rAMz9Yw0fEDCHqln20mo
noqPCNfpvmyuYsw+R0fZ0KAiCMzJzPTcFKNa+0r8KE1yFNQXVpoOQhr8IPjFT3qcqPQYjSc9eMVF
F66xK0YnqsLGjsTFGb3bRQCBtVjDyiX9ZXa3vxNzVYTVt8tZrYtEVPu0p8Q9knCO+xaYHZJ5p0Na
tVxJpVgSGwc2puLUTAXuxWiRN6MO1S/RaaFiV28T3whOmhv0ay+7qDuo1lXJLpihZrc9mBsUnqV1
Q+3AW16BEyMEhFZCXMkubfHTba3ppaomDsZ+oNAsbK9t57WmSymAFz8HjwykmSqXrY16iAPb0atx
xBhEjWiWvvXK7c5L39s3r1kWp2sSLPYDdyGoZP1omKsOe9AqbToYSUGlHxzbUuZlznu/XgeZosoI
TBBT+tE2gVVxOxvHa9Z5UbIncj60Rz5hVkzUNY6XUHmtvDfIC33VTVqevA5r86bHnd1wlGoV7zlp
yONtWwlWo9k5I2Gn4AJo90BMAm8N3RGoB/mmF30Zai5SK/bheGNb976w37i3P07ZrXoIeZ38cLdP
ehvyRSfOBa1sbNr1VVv6I2rsp4HOvdm05/s0sPZOSXPSOLR3WUyzWl4f3ATimEbI4Tga0krN0LPm
LZMjmKeSOWwscusRT6Lxi49zWIO1DLR4ZKQCynTyL0K0VKePE0ZeR2xJUTQhP+qXtVzKXnMI5jUw
195KQ2YXdkbOHgluqq7LiTh7N/tgRnY1Nz5vB3+qSoiKu4Z6xAmMSDPDBhiRa7Tjx/vC4bxDBvq5
tHSyy3MvIzhlxfvWi/OV65a0hc8MCMyyVut5wXGX97XxbmM/W7UejooayofFqFPTgrWvfEHW50bE
wG2MRT6w6jDC13EWaeb+COb4CUdRGqa+HHZjRNOqHrItlhU/NC2vR5aOvJ+LvahNZ84b05/UnZQZ
USZS8wmtktwkvCeWvjPNjPHKamd5RNbc9qWzmbOi2Npk4XZtAMCg8YcdkazPAtvoanLnX3EePVgc
jsGKgK+3lf9scDr/hWkg/xiW+Osvu9Ofy/8/Lfe/O4j+wdfiUBO4N1K+yXzR8z3P+xe4StWg7WmK
B/dYkMUqKTPJ2a4g4htPjfOQ1ATj1gbW8WbjtLk6i3pK36BgU5WHrOBqXGljwjqJ4YYEYB1RcII/
NNjEU96R3UxJ1a8gttQavhEX6bqrzJ+a4byNRXtEsmFk7rUr3FudG87gjhnuNx1HdzMZkl0Su0Z3
6EyHxaJqopOeuWtund+rifF7ZWl/rzLqtuCAEUyMA9YIT+55LjWzHnoHV4Owja2PuH7tM2P2VkUr
vANXRpap0Y1/yqhB2OljZA93uCsitR1h7WyHNOXdBHEv7GREjqhOMsuTk4VCsKH4YyI+ECRhSZBw
LauAA9tgXfGNIA+xnN25VeTs2pam70D3RNLrVIXlFO2sqpJHayCGbjLj+tZprH5kR3EkIv3R8KJy
c5h2GSVyw9pdUmrfI1w0oYsIzqebsW69BriW5U/EGczxhMerXBfZyGUKzQp2OyRf0RplGARx9ZK0
wfLoRlyq0Mfv07rLTjPJy8eB+xEFdgz2vrMoqHXResvWoeeVC+eC4aYEV/qgG9qd4t4ZaLPJLl1R
y6MrmIgT3easzqg1vy+DlGxB3/UiI2VLQdVd6Uv3lEwGbA6/NHaeTuyffqTxjRpF/xgZkrSgF8c/
I26BDDrTdvgxO6xe2tfyIXIGcUnBOIe1aX7YRUTwdFJQAWowpStU28eCic8qdeSuYBy3M1vqHEes
Xd5g6JMfc2F2p44inQQkj5Jhil2Qm9t81/TOW4Las+E391rQSEZ9dBrxk5B6NPyElH5jPqOB4PQc
pn1n39pE0e0xLH/Gwhzx4hs/UaarBJOQuSMFfCSYHSYmbbTSPKkyeo1iUhBtcgAX/UHIGEtfcC9w
D3N5HpzttAyfNzPJPQjvX7UdB/TmNcjanui2/mT4e0CR746v1DHxccgrN08+5yAYj9r11aWs5XxQ
yllWWZOSFyiJvWitfnJYdEgnWp/avjV7l527xoyO8dFM05OdGUQiyxjfpjDvqzY4Z92COExBIGl6
Yw4tHCZbnHbRuh0UI2OnW9YARoaw0gX0blYrivg2+JRCTglbWDD9GZ91R6fBPO+Ycasb3+CJ0uPp
XJBIP8hSVneGOVMerUxKBMGQX+i5VsDGY6ZvOj0YPQmEeKSBmS47Lz26gSNBBYE4+kVrsWa6azZf
FJsh1lK6u7WHpQ5BDcmVVUr+NHXiMLPybIe8kbHDwmT6Tn8M5RjuNMtXbx56FOmuFG9k+0i4cBUE
hZpm2Rc6gSQqRd6eIFQMHIYrj2p2RjckwCfarjxFtz26u+3W+e+Nu/m9idOJxoZueQXxP//3Rq9/
b/rL7wNAE0ccBqbfBwP79yHBvZ0XktvJ4f/tReqvFpl//2+UALRsonl/2cxuVp0/LTj37yUWnG99
/97922P3/vlLJX+9cP35yj9NNPYfPhcwgRHGxWmCBfYvJhpAF3DBA1tavvRvZWt/R5uJP4hsYW1h
VMaVD/7ZP922bFvwSnw0JibO/xLb7F/IgzYlYpRREwN0sVqDEuZb+Otdq6fW1e0GR++arA+eIC/N
DxVqR8McJ+0+jGDhmiGCtvlPcI0g3f7VvEP7gO0izsODBrlHXcY/f+WBZQZzr9Y71x6ibdpZTvNO
AhZFNtWmTWliAzxknWKvfCuajJDgZNd4XXyvsAZYLKNwAWI2JkfPziq+R9gQmdubGFptc477td9h
kBSqoYo2LyM17Ed5C7yR1jF6boA9ekNT+/MHiJ2V1c9dhShoed9L8h7vcy2Dl1JkZbIh66cvM9GV
Jsyp9DulXLxSROiI8hBtyuGtsr10C56OZEVZnuy0plcIiZP8P1ia6iNrgcn0lg6X2qxDFdU/dUGG
XXVjdmHY6b0Gi9vSIG1kd1AOTfQYx0ZvNWI3+mZQ4JeB2TLqAwIRM7ho/oUkC7IR81KkM3no5ZSB
EEke/WTwtnoiDo1ETEeuWVE5gGtobFA/zVE+aaznKMUSfBq1NQhc1ZpNbOAKYdkPVTMSEyYYIS0R
h0DWeGHXOjSjuZBReg6qbgNopZvkO/lu+kQD+yQcBOakoPbH6nb0127HjplHG2GFx7ywo35ardk0
Cv5PNZJ/pMaHsePQL4amPyxR160irIoQgIYShyjgOkan1RqjJZ7HMfU2uc+cQnGD3vVOPBykUObW
Ti3nYAuPqL+m8cnshgECh0p3FtwlOLEUUg5OJfeUxQ/bqInLI8Is4VWQPiHbT7pbxo5IPgZnzL1m
XBzYiuzPxtTxfrCZMnj0CN6jXwE5QRq+zkuh6AK2ge7FMFCylU+xMQesTFh0KPlsbyGjXTugVgAD
+GbkJv5Osiuv4WxhHV2nyeJ9jwfbP+PpNz8qLctPpgGYmBhkOxZwHnB2YCfvxITlhyuJSO8zGbSH
fgYbwanxWFpNc0yWsn4tQSzxu846fCxi6ZNlw32NjhYVgFxaCVG7LhKbWz+Wxa2FW0TOLQVa56Q/
cH0AsMgXsZ5Mq7grAGDvJhMi2i43Ev+pdIyO4j7utmHrVovcOIbZA0j1aN0QHReBlWpnfZFGP2/t
OJnjYxw3XIQw23jf6apnhEjvMfkSz6qTdUsI8TqPvjjczGMVY4S4vFt4oOjiHCOqtgQXKTso7Oe6
61BHfFxsM7/MW9wWOM2It91tigerrPULDXhOwi3bI5HkThKyhmF348Z3MK4c57E3f9UtxEHXKs2X
3EraYdeXpv2FGB4FW9uSM6XgqoU5uVpmx7j6zMu3BCmWU67A6XG/lZ2FV47IK8V6WfI8SPKkjEeM
U9cIc9vwHwupKfWuA/NnwECgB7fFYqC6zp9unH+oMrnDq7JrhEGZykwqpdSy2GvKLB5cG3Jja5Po
6HNgC8yM74I+zVeLic9CMpQKy8Xo91nT3lfuoh7bTHwmOWc3/ILlOuqLeC8yrzlXnsc4Clz+1ptB
Pcellz4mEYUWk6H8EyYJuenHqf5Y3E5vZ+zA92JGVwjLORrvIpVPXyVHD0zco0xPQeKDTcwyn5jq
Us26xqjtmB8e1p0jdPLiRF/MAwxuhrm41nuLi3Ol3F9tPd/ALV49Q3upON6ryXjrQWch8CENu6bz
LU9mb6sqPVwCy2Tkn6Q455iR00Q2LL8alCyAK7Vt39zuURjI2aNqnL5HO0fUCyYj3oxlzIy0T8pH
Sl6jFsbGAMmgHqMrgMIcY5KxcLRBpWZsFLf6Z2+Uw70aB5VvaDCi/JyCrAe/01Qt97U0V5k1eXyy
os5gtYg/fJ2p0Kgcf09BAz8Yws66YN6LuCflN78gZYhdGZPYNPI3THyA4zG/1xH3Exw7+6GQ5bou
nSP+ce/cSDc5Dq7zxe6U3hPGaHZFRxMmwzK6mg6cEwFrRxyHNx06AOZJFZtVaMxt95kaxLTgEHfi
znMr0B2SnK/aJJ3B7R2gBrmfRF/TOc5f+xTEbuFZ/i+RmMOOqc2E558HZue03Fj2TYMFbKO19u/b
Pi9fPN6nNR0f3Z75VfUJT8h+VFMbfcxQJ+wnLngss/1SJX1Y94Spb33XXRY2nA6YD2Dd2eRNt5zj
dLE4qYqPJgFBhUS67Lhn6BPiZjh11ZtB8rK8EdIkgSxFDAunt2uZmKcGPJ52Q9HRishZ/zzmEkEo
MjP73lMe4fDZ5XZd6LF9pJvkEll4RWF5dKFqSuOx6AFSTgYm8FzhpfTtrcDwTor5lsttY+Jq8QH6
ULYZfbs7ZQSvDIfCVStPY36E5Iwm9Nl608+Z9R0zrMdRQXBzSZeAGtKpJQluRO4q5dgcSlkANCum
zTJ0zs7XjCaiWEbYfaBw1ckE4M6JX2IriDdtj5450nqHLcnq0T1tpdelsSTXcmrmG2lpa4zRJmUi
tO3nQd4lE5fUglLjlUAO/pxiybB00P25UAgR4Hrkqp4mqCwKpTFW8Ooaj9k279C44SxordUN4a2n
5RuXEn6R5W88Kb/Yoq2iM2AdOPWq+TY6ifEc1FW376nhvB01SPS43a20yDd3rEA+gMkGTELeuRsB
TDR0SPTs3cyyiWAGj/i+eHxLaT9MvO/MwMmyyE5P9g7SarrJJy/edT6+X8vqLB54ZjUnjgvqO4IU
b2qCdL8lgake3bQJNpnZKwKYVTR+DzxRXL1+EScRFPmXmhysDWw5B1MH42sGCCkc0N5xkTiiBkBA
nCKMPRF9iWShl9ZBNs/6Ag2PbTbaGdp38CGlZvIYGwE7Zx5rcWQOTChCZtZ7gInzTgs5PXB/zgm7
NRUc8+hm7YhpeLr1qmflMQaoD+XSdE7C1+YzqkX0q0DZAM+JTrDDRJjmLExmdMh64RxRGSvBQD1D
RILdjxVwUulKxLPGiMs4eFcKab5YCFsrsi7ASfGdBetEFvEnNkqhiWIEXs2bUJWPUHeMZygh2T5N
1HzKpmzZVWLWbzaQuxOWi8og/XKzVlcVlEs1YPjoBcOPjUM5+nOezfOvIXNLHlMMkdcOjMM1gI3K
9DF1k5Cj7bAeOdpvsyhXL/5ci/soqapjEpkC4Z0gMJsf1jDkczd+S+3WRjMSBUBEY3rWY2nvdZXq
i0H9EqdJF5qxqmnbggZ7ojnGezNIfK5bGARvlh0dgPI6K7eP7zs/c+8wVBnLpjUc7fI5s2GEYaXD
obbghYUUkt5RlLdgJ+86rAUkFkAGptOargJsrwMejwLXvcuHKXei8j4KPER4eLQrqaubR2TG0t8b
y8Fr+A4qvzK/Wa4Gr1N3vfVMBMyNNwuSrvnIFsH+NsSenlnATJdbu0+MFa859mpqkVyrWrYAnG4e
DbBfXhG8Z5B1N4ZkHJJCZd5JDaILJkXyyaEFKqiL2WoNZpFr+zDN1a6EnHVoWq2+89AuVyNQnDad
qdrlHV/EN4TcZFjeNk7JoIPSsPixnjp5Pyqhp/faklN7oYSwLZ4Ml7rPsGckfdM9uOCtcUxmIzCs
bqJ9VWoyQN7QA2d2fVQrp6mza2mP8fPUmOnXgr+JOYWLZreMdrwbGNpfmlma34c6sJ9pJpAoPp2E
tbTEgKWyNK2e4tJIPqfRzY6Ga1vvrY3UuPLaNOXtaNzpKjig/uos7KjxWDNWL9Opvc6dyVqxoB9y
YFMmq5rTtzHIQRrbV52yBjKUpXjPI8/+5rjC7Z59Wij7+6hubWuzZKOsNqbyeX5KcqO4YTO6bZ14
HsKgjAmv4ySe00Nj8iEMB+yk9Es6qtug9rsmREyeXnvOfDOs2Q9PtZmhb+ZW2xDa9RKyAwYGx9Zo
PFiFjQdasNZNfGjrwfpeLGOyq8ygeWkCObwTHy2hbTfttXPoA6c9OiYCEjbK90/9jGgW8zkkReaK
98xLxh9xFWQHFwHnJaNr+s1sasffuMFsf4fXPB11P85buDL1g1ws9xKjh8Kfjadob2fFpp2b/MCJ
OrmbpD3uWzUs+4Ff4bv2Yn3HKMB9tJFntlggdyYRq4fUy+ZjT4FUOCDuXyvbsM8BeMnfPkTIswCl
ESn9FkeJVxCYrbulY8XxojNlsD8ofPoEMzBdMMXRWDMhJLFaS3i/ytXBF6hKb50MZbq16f8K9SiT
l84Phtcx48kpGPS9ZkUcU/PgWucKMM4xhQN9wQf4FduJWEuYq9eW4+xjUeKLmDAq/aKXFftQPMp9
BeTkecG9c1xiITaQRMeX3KSMVAHivFfRrfl96SwaQxnmbkqz6e+myB7xDcAZdOMyuWgEgNBq0rqB
jzw2jwN30g/GFPYlwYG/nSmVXCm/7h40zpkDBrLXQUxpHU6+hJydltawmWqIARjA5DYf+uU9cQsS
CdMgaKOzOAMBB3/T8KHxVKNiFG4evKUYIH5EuN12BKLVwYX6cp1xqfxIOYvdV328bBYV9eeBEd5T
zymPSWcBp3aB93GE1QTlWfGR14r13qMb8UeadtUmWvr0fXbppwCVy5XarLAoYXTKiJ7MPF0pu0oI
nhcaWsCe4o/w8vALM07DCQ5GMDtXkAZfCt9RR6eJshej5nOlqJHiJqirEPNWHpaJZT56gZDH6MbL
NvRQPE9zI8+JUVZf9jgBLU5FJcFoZP29KNnzVnMVWZ9+nHPDoqa7O4lYAR9bgEbsDT5oGFQKzcix
73MgQG3exyGswea1nxomgiQPzKfcmZtnr5PqPTMStBXvN1BgCtrqTQHbfR97AWwgiFlfTgryzOPC
6vdC+y04guw3mgC2lN1tsxzWSNyP3K/gS1kf2q3cF7riF0w0Xv1ORrnB2iS819pFpHHKvr6LOamR
1Wft4BvKyjCvAG+k2rOvgcHqbbodVAZHK8LydHUsue7fh3LQJ/NGXlDSjxDu04LJtwWX4UZowHtm
ruo4bd46T6QUCZfG1SlyZ52VIiLKsmYCrus1cKTqsyZCNd0Ty06cveGSW3FIOlL+MsbmS/WbENHk
U/qlhe1TTypmhmrz5K4ifIKQYzDnv+bcIcOYTDDtiymQDH54+j30bwqFTJRdYrjR3d0sdPJdBqn5
7GV03OMbXPgeDFVf59rHd23EDFLssv1SvxkXrTdX7ws55q+aMyj4YYNlCH9RmJRtHTraIGoEKyOP
EbbMOgfOMkNKceawZ2tej30PCPwG2+Aw9oLZuT6COHwS0Sh38ZAapzgDzhHEYDrwCzghxcZ3jAoi
Tun+tU+V/RBZNJGI2JbGyrJv1I8pyg9OX1WnkdzBAUw5HwfIP85xKbsBdGNi3bapksBJD5ndY35a
B4onzVhO0zD75zSekxDRo9uZQSQ+Ej4+H40piOrnkPB4fdGe3EQ4Z80NausWVn/NZo8K6sTcsTfj
jkQGByZhQsYbDGfcFUZAwh1R6sGR4uGmCX0XMKLhJDSjaYW5UWUPnOzIDAnWq3MCGA21SzkJCCKC
U2tA19CDSOnZ6G9LH1pTUtBv4xXuKhg798LRoLDXecKQVGYYKPrRU3sG3+46w0wXWjfvlR/NPJdF
FJA2BsO+7XGNV2x6dXeyO7RE/CUyem1jLbeqa9T3bLbEGboHgRc3MVjAbe1crHRozy1fbV1DaX9M
KIE8i8aAXUUO0TsNeAn3Vg2DVjKLO0F8ak6pnfrkIIkxVSNtf6GseE5x4vYPiGuq3zgW1V+UT5EQ
b7Uxj6vFbrJNbM8/cTwsIWgaa73EUnwauHIPGnv1k8vKtHK9AaxC2yy4QRc/38bMMbadI5YHDODp
LpEe4QAzK/0z84jmshgT4MOhFfyRYVV7F8o31t7COzZOk32DmcgqONVAiqTlglVCvDJXPNTqgTuB
fHGTmaZdITRnLnKOlmIz6xnfxjgcuO4xVOuk8c3vGb1kM3FE6iNi3s0mmTbZVEwXL5KEn2bfOPSF
2xyNWtAcaFTtD0GxamjEdRqqMktZjNWe6zo2xLJ90KLut10OMMfESTuv+Ffn0NuAD4rJG7dWwXYa
VrRLzbQQRv3Gxu7yylAZucH152g35G13q0GF2G0WgXqBEWO++CNsZyyhWbJCuVritXazdOMVkDZW
9pg2zzmwL7FNHTWRNcEtXW2NAi3vpEGgIsk2NbmmEvEDrE0eG68VkNKjL4DH4OpFHFgnSaavBFm6
FIu1mz4l3gJSrwiIv1Ft6TpjmLXp8JV55bJbhtH9kcvFvVLhXJtbryoM+nYzF4qFA5caJaRNAoCw
2Gig6xC4vSqfMSsZwRSSeO4HzetgW9mHNsS8AMkahX2Yblnt44LU/0zXVPXWWtG4M7KqfZiomqbG
BDPXhfA7CR2JHfWxGRHiLG1jN8/7745JP27kqxyKWRD8MGg72zbzBDbf8qyj8mX5kimMSYTDp3Y7
uIkkFGsWCCn9gd/Cgo+6mWAXK88nZhHUT32vpxDy+/KMfOkc/VZ6j9YMZivMRhjnMSgLeuRay/9E
NXBxjlU3M5PoGB3QhWbgZPLGbo+G3C7rLq6nt9R32SCQUOczlZTeZkguaeMxpowrN3jOCRPcxSD7
7NztcloFvekcSXaCPVHGhsjQAu3GT0BdrxOGedgrwBVqGg8N54IJ3SKiMM5FEAJVB2bSM2h0Qo2/
haY4qwaZO8/ysbCD/mLNcnlFOB8vBjEJJvEmsSVwYbue+sJvFtnNB6vp7U3qG6PY1pDTQeE72QNJ
9Jl7+ei7P/omTwhiuMWpN0z92Bkyb5EgzcQ+tf7E1MU0C/7JBJj+kJRT1rr3DP02Y+xE/udwvWXE
nwEmSacHcsXEaj3aAEnQ8ou41Ex3DVqSZfwZmYk3UDxmmk9xhNC7SktRPmUpxmcg2FygA+rB2E6V
s3aDhIvUVFrOfVeb6trGtbjK0aoeZnpcMwgKaft9AZ117y4ZJhrd+u5ZKANvUlqp7OYDa81vbhLI
E057ly4SHG3JSg3on0T7Su+YzUb0M83L5b0JeHgYzXNgW2nR3ug4C0Bhd7a4xi2dLl75tGm9rgpK
iDnBqelBCSv6ORr9bYHjISKVWLx6niUPltkvZyD03hE7NdjqtlQn1nY2IBWIT2UPXRIGNTvf2MBj
co20uUxu5x2pcG7v7LHXh8VKhi812Bi/+dhitvODFpZbP02/3Cwqw64YQu4QdLX2bl/tQV97R4d1
O9ReXTzZcE+OhgQZt+Tz8FllrUWNI3iOXVPgjstsb6rCKS7bd7OBRreJBw8rFiS8rUsk/VuuLf+C
ebL4uTSe97TIjn8wuN6qWLdvYNYIXJI7ZNyReso49iBzNwO/w6dqVP1PdqDSX92qaLAFmZTOV2Un
0w0F94/EVNW1rnOH6QFrS7WyB9umg6TvH0vG2KfG5EVmVN+iL6736E4VaoKYy+HHgqx225C1PPsD
bR+Rx60EBOZYXKEiUsCdBJh6yE7UywVcBO8Ih5s7IVL3wnCrotzXTK4KeNha5pMDN63lqmHX3abr
8HsuyRg9lHp2j7wshtTbGh8T3KE1//qWRDrfmGkN5oIK8PvBW5bHeSo/W9MJy3zAhp7UcMmyYD67
xACf0tEad13tEaRPgqcZCtAmd4tbTgLp8tAr4WQra5xSTDrCfbZGfi4ctzw88405VPBcE2elchET
2G1CM6BwGIS+Dj3H9h8ebqfHSAgMl7Y1dVebAz03gcKBC+Dj3lvpaWqOqXYsCMNBrKBuTN0d09Wf
dZfLHHeswjEVS+88urV9mZAzflQeNuAVNta457rL+CYZ+DSN4mZBm8iJp5W/jmk/I8A/yK+Gwg+Y
/KIdqH2pFX0ryO5kUnJnnEuqbWR8GgyverVitix6TziyJCicuSlH8CVMW8ADmM0L89T+QFl8Tei0
r/dT0vmh8ATN4LPwaTK0HJvdNJ4YWvV9+cO1IlAJ0TJsCrrfvjRBxxO2c5x7bPffhZeIDitL4Rtr
aC3BkZYNDrJextzKWgZuMNLEI6UAAVJ61WKFYZqD3Ns4741jVzYB1944RAY+ExuNhIZCdIwzLB4W
ucBrm4msbvLkVMx8QESOz6k32Z/1OE8fKcfWZwh+Q7dyoSew/kfVcOcGmY+FF/zkjzZnfrliVQDv
wprHDa/kjkciicVYD77HHCbvLTaavE/OoyHER2GBPN+MDY3dDF/YuGbcW4cIPtOJH4qCGfZgao0a
qrNmh6xjmNELeOiUg2OniSVtQ1lUzK+tn0vmNkmwlbJhz6/apN/A1qqjdR1JIwp7L13OQxrdSGuj
zI9e4KpjjJ/JIqlCbTukuhQtTzDxI51Ys1vJtIkIOgcztRJlmnRYUS2SIVnCLrYiAH4D17qD1d4F
08SXATkd7yMFiHtdurb5rdAdcxRZ5eBJvale9ZFhHBDZS/LDnbr9DyMPHRm+VH5jZmvhR2Yg6q3L
ynE+iSRV9w0T1AubF2eXgu1yFQFjUIdeYFsOPblMb+jNwLjpkHmOb7er0u/pDaJDuF/bzAc3Yyry
cEoLcfZp3v7MbbKdPXLf1ohyWIk2iYpo6+AiWAeIw6elFOaRvOZ0Pwsm3pZ5E8lvzbeMaeSGPjqT
J0tDb8/Gi22gjCZq5Hat3gYO4cc5qooDaA0DTpOpwnFu9S+zcbLzwHHiHjo969dClYHnCYxJmobk
SPPfgP/0ONAHJd6E0aZU/yT5GaqG3NS9IK5GtEila8vp35KhWS6d1tVdDUidMbppbGwZ0WSOcetn
0WhQXY3f3ZVDTQ5kabOOnssxDQHULj9hDSX7GPcxVugaWtYAJnKsh9jZ/n9v0P8hZAf2jS3+c3/Q
ew4i/POv7iAAPX9/7X9gdgT5ApywEosQiYd/lB96fzgeHzxCrJ751zSGZf5hu56kmtiGdYF4zTfy
9zSG/wd/4LvUAFIZ+zvD8V9IY7jerUj8H/ZczzYtiy/PONT1mGjY4ubj+WtRaIRh3LFcFILMARPO
RXiEqOCQjwwiz3lXhI4v5ozZDaazYKFbqmkt8tmVW/wQPWMeb7wDX5yuc806hTOjZXX7NgASrxDm
1oy3nTBx2+JAcEx/AJngbJ+lZMWzPmb7QcJHVmQMxD45l/7NAJSKa1SY1rbq2+VBWuQ7i9ZmlF4N
/4u8M9txHMuy7K/UBzQTnIfHlkiJmkyyeXghzNzdOF7O5CX59bXo1VXtGZnIRgH90EDHW0TAzeQS
Rd6zz95r8ypsUodswoYpUHNJuqJuf8W0YnEjyIeIyhWWmIWnuXdqP6TnmFLwYGaO5+A/gFAhFxiY
vUiDrs/cU2Zo3pY+O1xDGimpJDO8nxmLPkpimlnd0aBq7qt5UB+dJU2veY2Rh0/G8QWJXWdjEhU8
Klqq+ypT8k5fnFKn35zxkydm+1nQZQuGMaaXSbikGKA5zrncJuaob7Abu/ec/mLfburqBlS5/lJF
0dyZuXo2Fw7znnpZKhwpGMLDZS7O4+icSHPfJwrsAsscbk6Z06VUtz5PrX5HOHi/2HF7kG420QUG
Hg4vpCLIJ7uT7KmSiOyn3nLsiQqoMVJ9zUzv9So7tflEwh5x349KVgAbt4ISkIjZo/oC3YtZBuzO
p2Io82Vu2+jDyybrkC1ufSP/RpPeoiv2U4HD/dhmcxdOtqKy30bU2aq9QUzY5XS5IQyUH2wxOeHY
QT8p4mF8HkkaaZua+AGAsIVR3yDvrjoM9ZWOHbYz+mg75Bal5Fxp3WYopfMqmVxPoLAlxcMJSgaD
BrUi1Gn+pPiRJSdXZcjuDDZlZSXlXq2s8mO0dJsaO7rfCk3Nvtq6esfS4rx73uLsHVHmDyI3xxui
DXolFfYbmHfquUwb55wVkFQbjS0cj7dzVE0xm0gi3W1jKKGnUq3LXkq/dxjpU/RzFrnMiVzRFlP/
RouGO7fk3l9MJucSdh7TlgJOjbqltpo3YAudl97RE+xtnsTY26Tz45TG00HITrvpWkGPBgve8ZPj
hATJC97bWMBejvnSf0ixej/A1YVsY42nTnURIF1ZySsUyfajsCOCRXm2oMCMk2I1d/QE0nwSSSq0
fVNz6DjOcyXIDYkeEjE5hwrUpj3VIPyaEg7LbSTu8GJWCiicTuGjaFgYJ0HHydPclER7Twvjx9bo
RnF0Mj0KlBRELLcLDW2OaqA7WipRmBezuEnEsfNI9Ow2aaM7bTBDzo9gU7WjmffdGqzSKqK5enyF
xJ1Ao9IyfTeyVgjSCQMz6UJHOYkIFv5acVhp/FIUPvYz5SVC97/htBuCPppKOCVIBxpE/tABstjs
e0XWjOHMBpi46nMiiCuPdT9FG/QEY+daM95uzy7Ss54BVsD9Yp+1pJtOatsnHGH1/kyeU14SUYgP
q+axy5mnGo2tPj/Xkcm5yKqN6Elrhf6l6Qt7e0lNe87pgrNmPfmpibafwl7ZO6nGd2uWIr+L4kLe
u4M23c+WJcmos+7cUhHi+NxSA4KfodKobeiAID2zNyXgnFvjkVG9uWm2J26p5VgvDXvGF1CE1S9p
kKfZLFOlh9HiKo/YlPXryKT0gsVGIRhQy+zUy6wDH+lkxAw8LunSML7LHP9Opcn6xapUzVfwEb6k
mDW4KFi2QGAvloBSEXuXmZ62X6MJ2DUSSWYk7ti4tRwWFcTGR9NB/6QVFYSOQZr0gCPNOMeCzsJZ
2HgvvB7eNuqBH0MVPGTt4L2VSuvsmk4fHsinRDf+NTogfThvqdTEHiZTsutRNu90uxvusOuXX7ND
rIvYovhg0e99eDgxb4NNRpuIWEoiNde52u0+WMtRMIgrjn5o8xGprxECD1KRJ3SgF8OxHs1mZQ22
B7qmxK1uJqa8PP2ht5NL42x3BCixpqn7HZSOj9pYYBrOg/MQgwaNBUU2buLET1RPjb/KTpXgbYxp
37ewztjq6nCT7HkRQMiKhGrI1pRyp8wGukUPEeVcO0q/XVYWHcL5GuECSB2hMoRWttruOaybxls7
t0cWKMpFq8ZQxEShHOBCk9K2IbfqACm03IpMNCFwBPaprUYEDRoaJJ6Wvp2NplpGccwNxlSUnh7E
XTYw/unJMO1ySiAOyYBgSCZtZa7BBCAa2X6oq9I8Dqzgtq40pprwoiUf2zX3PZj6EuiNxCpKLv/B
UFpLUE5VeSEGwxncqwsoDnMErLQHB7sbMZuhu6kdz7N6oCAy8vT6q3FncWTlBJuCa/4JuQhhY6rN
S4K4RSQnqn2tK+cTk/6+N5YltHHH7EuW3W/aFP3EGsiPjT4TuuxCKehLw6IW9hVCH3J+Y8FHI9Na
UY2koGhaOVzWrFIfzXnsUJJxXV0TpyTBqbvWwGyUAPyxy0nbCQYVQKCq8j1FrX2E2NS+8P1ozoQU
h9BA0ucxM1Q/RS/G0NVrknSQMD7bxEJRTMpblGurmDrTbjKK6JEPQPCeEjOF2d+6n6wxUZG7Jrlj
gZzh/5nZRncT+Q51qW6FUapnsksCAI46BmMS11QxKeNY76SedaFu9zAy2Ft730IxIPsoireTjGS0
zRrtanNyZRpQDUFvlQ2Z6VCapfJATi1OA/xNY1hO66KUkdim+QX6/wPni7S8FGALYESJIiFsws9N
Dqz/F4rzaDiWVwa/9ggyrriHHJ7+Etxx5k1i2hJoeANTybDTZ0MIAkocdzG5Qu2CAVLsJp18OP/u
GKGIknRnZMx4SpWqgeGp6bYBwBMCz4LU78j6oZPyqoBfLEnn8wu7A8Tbyh8mvB+uOuWbnqPFtsNc
t207Of2U6TR9y1r/2aVW++EU46ddA2/eWJRLXNng2Yj8Qx8uTpqy2zPk2TFa3Ku1Op4WU2/9KmIh
43QJxQG45JA+BuNoNO6TvkiBpiBzkiHKWp1adn7SsUIE+hT7VmGVuwRX8Anii7z25O73UUWyFSNe
v5eWZmPnKG16DufoJ6xeY8d3NIYQtRh8DIN4SgE1XFLAkjeVbA5dX2O/UzICtnZS2I+xE7dnCH74
NDN9yXzL7CH6A8KOj1TTr2iVPj60k9N80ScDW0mpoxvc8wEnV+VsW25Rm6rLLHrMUtzgRWQEcaOw
7Mc7n26lSwkuSugEggDiV2Dlo1LRLSedAD0z2WU90EtOV1IBnFdR6IGrErP1ZIZisrXHqPeSgPkb
DCOBqtCazXyfz1J76ZHMN7VOVUluj/KQFlF1c2Qxa5vBRmWkcVNJ36y07cNG5sSHDQOEs57GVzPF
veY6i/nCgw63tU2pqF+CoApM6ebHVBMuFRE9UKW4Lr/Rx92L3VnF85iXYo9AqgYNyfVwyU3r4DWz
uVt5fIdyrDUo35HHowZ3FSUOueGzIp/OndrfW2q345yqnqE4ZIFbtK9KVPmNpNlynJX3csQaCsDC
ejZoaNjY7lpKVDG01LbTQZtXJ5ZZSC4UptFFO5kpGikER9hyAmAFFwasRNHTpwgf3H6iXNPySSVE
/A0mZ9NS2Xb8I3nyz2KU5j8kOf4ypzFE/jmn0SCM70ZNk3CCtL1RDCvHJOChOntwQnWI7ihJUnlu
PH16ctm3vM3uWF/1ZIlP7qw371FK4IpuPXeg9FGP98nA6n8yvGWnWgpCnJMjZtH6dCsRejB6uymC
o8knoG5ptLW2Cs2db6bN7olDTTluI70v96gUZmCiCbluqvzAnw6CS5mqq5IVXUhk7GVoOo1oVm0F
UeNpb/owOKdes5CdGo88IK99W+YWBvYizyktNVpUWbL9hzZxnA9O6vHewr3F8lF+VqN1G/rh0eSE
Qn8zWxTSOLNvLcmM26Q8R2m+nMmAwuLPXfrYVK31qDNm12bviqllRbVC7X7qfcPiSjFjQOqz4FAY
4JGoXhddFLpPAo7dXZvY4xkq1XxIGk67G5gE9n1VdeO1o41B2U3cDi5zkuu/iBSmP2uchiTcFVLb
faI/VKj23gZEH04M21CDah7tk9kPSmhBTPM7ypXZjLpDugTY+aZfY4fyldBVWA4Wbp5WsK+bmmI3
xsxO9hokMCg8uETScukUFm1PJ4u1wLqvRhhfFNZdF/qid2VC9JM2YfsG0ZPsuAHE5oEvuneYvEke
aMxgL6FywqYcvPsmZchRUEg5PSWCpR0QTxfaoduUA/EF+I5naHSkNH8fuYvfx299PYnzFOZQntWg
Gnkj9Z3KLA8eXCbJ1VhP8iiK3Jvc9Xyv/T7pqxmkrmE9/0vF7c/eOhMAWvNAZDMnDAVu3k0bK+61
yySefNwDT2IdMNrfs4bNyYyb0TqCGL+nkWEdTMQ6omCvZ1qJ1sFFthAAhS1BvSWz1wTG0ChBnLAL
9H6PPO7v8Udz2rIOqXucCA/ZSIMwh4KZDTkfeM6F6+VkfmJLcz7rkkyBxwplo9NNfzOnNtvPUOUX
bmLMW+zSH+vWtLEB1w+KnqYhe6DqbCh19SAGzaSPiJOyMuOi31QchcFWlQ0737VKhdYZewPlsd4m
EHpY1vM5bBNioK96Y1nbgVTMjdWr89LwGbCmXkfGfB0ekaeZI/OszS9J3qMUMGSaJZti+XvytH9P
od46kNaake+bdUjFUVXuBrq3zg0TLNZJAOrrUCvW8ZYXuQ66jLzI1PZLsY7B9joQu+tobCmx+16a
zfvUZfmXvQ7QwzpKL+tQXa7jtft70l7WoTtZx29vHcTn3zN5sY7nVMIRhV9H9n4d3qd1jO9/T/Tt
OtyX65i/rAN/xk1aRFByetys5MJ+KwP5KhLgN3fACSAc6P3g+f/6jmquAbS/E75MXfVMzbaR38in
/8aU/CF8dZ5nMCSs7bq9ax7LPD30euQG1qx4ga5zTtc9w7qpJvtUVHMwWFY6WPtRd7T3zk0SytjJ
Gv+cx0EeRWHOJ8XVupuLmvfGwaB6MVhID+wxg0H1FqBqhnxoRZ8OG6HUOZ9pZoCQc+Y8VHuGzk1E
xabj27HisBiPywqQA6/K8PSRkxVNbJ/tMuC9Eb3N/nJZb2SshrinZb/vb8vve535+76XrLdAb70Z
/us3TIMw/vdv2O8nEIdpkoS641h/4bZ4bRfP5jS7ezYij8ub8dZ8Km/Ng7zr7nFklVeluPvXv9H8
Cylm1SY11fTgf5set0rnL79xNf4KG7T2nqRy9FVUXQrJiiKNO8xZi77lJF2f2rnpKY6P8+RLs5Y+
qM2IFlzNmowVhBXtykyy68SiDaNyiaCSbfWKSMR+sSLltQO89QQwh0edXVZAU3JzNfr2+dyGU1M1
Z0O0+ZHY1HTgJMP9CTllYzvuwwDmez9y/ERsENmuMLVmN8NVObmVtXzYMsNMDdbhMDaWu+/nQnkW
qWzPAJRzDJC4XvW1ROM0ciB+TFiZf+IXyQDASgoQsyltX0ys6dy/hF68/n5T/39G4jum5ankHnTd
1CzgRTRf/nGh/UOu1//82X7+G6r9v919xiR8w8/xV5H+2//kP/if4rP8/b/8dPhT1P+nv+I/5H3H
+BtfBx0dxLQsJMo15vu/KPrq3/AcWioa/39o9aj4/4lbUldGE02g/A9eNoPc/xb41bUH1Obn8ddZ
f6T738EtacZfg7gWLH5udZqh2SbcTI8X8efBESQYJHN7MVH6noe5urCj38U77tCgGOgRd7NtaiHu
PBjPGEDhQizZc9eku1S8RlNP44aydWlhU3Px4UWjnydhIhBklR1jw34E0Erx/CFxv+bJ9JOajNSQ
vg7yQ0/7QJkZVdXlcYVzS32GOtLuDOVYu9+sQIsQTXoEYfoTnsmmtM4zE3cpLxWlSJH9zUKStglg
PQqeSftgZagZHqyBUZT+LKnDSOa9sMEz2dPA7E91jrJXbfokyapQjDwUd1NCZTF84FJ+qV753PXq
vWgWHoHxaicy5jronGxrlj/64oodH5DHmBMdRiszYkxWnN9gYkhHv2lZ9hgXy8EwWkyda+WkOALQ
KYgCnI1JI/hW11hxWuCD7HMHWqGpfbmhRkIayTKO6hXnRBNIf2O+qywa+JiCsYIN4MUseyUIlhxm
4kzXzOST8fEBU12MtL/1tnGnRcaP3LFvU8VrpVueYlJNf5nS+RmD6A7IPfY+YjBAz7VNYjuUvzBD
buIkvcWiBizIamJj4rBpOrnNpssfX5t/MpRo//BIWL937PVVhwWW6fAQ/ftri5VPh2mbB+a0iOe2
Z8w0ze6GfyVMpB3g0AR77th4TMp9UV95lO8tzTz1wh18GAiwXboVYR55mPKLMFfwyg1y12Z5RJOT
cTPGajdN1qNhWpw5yfc1RnpqypM60NZdlydt3mmKi6wEHTxd7i2I3q4jIebAceQjrOf022ytByt/
B0u6iwaLuLnA3YjDUUu2KDbMg4ZfZd2ZEKpPasmPWyWsF/XWWu1uNMzbrHpnG4rfNA+kGFEnE4pU
gFpwSe4XkGXahw3/KVuGY2Mvd6QZqaOoYjB+Di43j6syn8tdPaZnt7zQJbZXAF1Zwv0S/RwWhRrG
q39kUDo87cNyXqaevXT0OdfWrsJKLfiB4GXSDsvtjEJlvup6DCDsSW/bS0uNPYyWp3L6YOk8nWp9
Rs0sNee9iTAUKknxpmRGkNS0XWdcIpIyQASdsDHan5Bym80o5iuRDTK6tDP6azDh1BCWr+3l419f
Jvr6mP7zpLVeJYbjGarrwknwfo+2f5y0ljVUhUoaBXaV/4qV4TXi7Yta7aNhbb9Q68rR/AHs790y
jNe4aw+ZnFaQ/kaDWrPjxI4U7mU+lC7W3d41IarZpj32RY+iiz6/Zcn4XVvl/+HqBsXwl9dtc+fm
+uYGzgNm7fb5+6u7g5hWw5SMgsZpid/pBosYXrCF2DjgjYYtTMg94fnOfbFGiFLQCjeNRi7F2U11
uW8SEguOgh+ubViq1o7DNRtjBUAPA1Wub2gYw4w3PnJj3RvFdEuz4bFWtOeF3Rm2q5+xNT0Ks9tE
hkumMyEfy5DLL7b7KqB9gFvjqH+rQzJgP+8VDitsFLKlRoet5UMyjjfpDqfahgma2uUlWbtWYVh8
wOPRcNqOT3iJr2NB6GOw6u9SyRIsxPWT7JVvLzGKrZva3wwWj52dvYHf2bdjx2yqfdNvv0+ALXuE
29K4wb1C25PrbfvEepGkz9kEeBun/ZLgkmbE7UrIoNPQhyR18zAf4BKXtb6RiBlmNAXgui9IR7eu
5+lRq7qfuV4I4iDHlw7jvu2fG+YxuzTflrx5jjEoDgiO/khh7RqxNsD+N7EaWk35aCUyVNmIgLn7
Ean1YwFMZ9ANSNx83zOLHmb3FpfqoarlTZrongUBeQ376yDILape4LESTrFRxAlFexB4VK0I5Ch5
yqSviKDh6LBtogjJmgFVnfsIj+ps7XqaNakG3GjdW7Y8MvWT3nP9ZDh5RIag/b+2vIX72YF0lUXa
rkHWcvMlSCTlCExD3znNcACubqCkfJLU742gKdFbLZBEWYkqGui+me0Q6RHOfYX5faM0jV+2Um68
emQplP1oCpOVDBxYV2CF8l7NDi+OUhEPUXaUubITraJzydcQuFp165s81Bdrl1X1o5D2A52WJ1Of
pY9kQe2hRRlJofHne4yOw47R3I/ijtxr/pbpMsQZFYoh8fDwp4LJBVRoUr7RGXeeWuOlgGW3sew3
a2meJjH0AVf1oYmc74WIfzQk8GuRz9jHxicyFYgZPR0tbewWgWUuZwa/TWNXV1Sgdu+06qcJeyvQ
ZftQGfNn3iQMwUP/pha0eMFyrbapN99as38eF/c4OixeDDUNlPyQswTDDVFue21iA5I9aZ39NujD
SZ2mLzEtSDQl+8LCCBU5+ZOq3gQ5KnZuLwLIs4v7ujW9B3tQLnH+zsi/QTnbehHppzG9NwTiDVe7
mdV0kOmbmXdsmrzHaTYY5FMKB5GwtOYhUr7GHLTyon5M8bSJ9WlH2fcP9HMfXvqI3GA9RN4v4fDI
8AJTIXh5V8MuN67l8ACJHx+v8Aej3tjGwzhTjZu5z2Lq8ONl2wrNvcRGObJr1LNfpIBYmriAvt4c
74n88CadTMAHcJ0TX9Pfh/jRiZFT3XbjmvfwnEgny4dq0LlcFMqNHhhw4DcsZzVinTWbxIbmMLXN
A9s6C1xxDtzAAyRZ21dN/vDwYgrHeOsHsowz3+tcf3O9G+l6Apj3hA4pds2TV1pF8+2QWn6cfklc
EmL4nrJqK2rvazIMinZHui1rO0zbOMxT7ecoM9h3XiJofvf8mSXAxvKkr88NfoTKPWR0CBH390hl
xuIlneEKTPps/lRaiAAuMj4oYXcnq+VkteVTEjeOv2Tak5cr7xWhnSrHOU5rzRL1DrvgFidWaZiH
uM+LgI6FMiAmNpClK39Uw7J3FyfsGcJslPetylaIc9X0qJjQwlq1DqRqbgS6ZG9zHKZMCCwFXTjY
/hbb+cJrfGSx/8udhyevpAOHtkyqoGYiWB1HEy8ioxE5q8iAly8b+6eCKG2tQYVezHNVG9+5Wmwz
bR/3ZCWJS1D7faHOk7sve7MGC/fc71k76L4ZGWQ1TBouTGQ8nxV0CpehVegX8PqgyJV58z+ShcgE
FDMvqC3vllOcsOEE9pSq4o3UAhUxFfoZWfUHI9GOvDdpEHnzii2LyF460AidchjIu2NoYR5//L81
j/6/WL6mamwaPLT3f0HoTZeKYr4/p0ftv/7Yf4yMnvE30wCAa7kUSTsMbP+F52WQZFpbKYkGvETG
2P+cF03+hO2q/GOoaJDWH4Yw7W8UuNkcsiAv8Gf/e61r2l/8YK5lmi7wKVvn5sjsqv3l0DNpsAaI
zLBCHE3u43lZs+5qxL7NtDuj7bxDGo3vWaVNdDMPv2i7JK5Kjcjmj7fsn4wW3j9QgtfXgczmWA6D
smn/Ppz9cWgEzqCAVIrG0M67Aso+eCAj39H2A0UxSU5mEzZ4qQUaMosNbsAcpMGoXLJk6jdNazwN
jXPXsTTqXpb0zoCvaGRTTR6859BGY7O0HQzrdYxLlQnJ6u/nAeRfBIjBqqkvUIdn2WXn2ZLBFJVB
JphqSGHIPDriSON4be+Ye19NEbPrwFybWfkTwcc26Iz403RyAk6UmfoWu+x63TvUwcQv8gd34c5a
pW9dVz8ZM1v5aA6z2LhJLHQb06QajTe2Y3P2hqjKl7Ja1J0Tr0wJ+zwCkd0RZNuSPqsU+rqofBnd
V8DFDzEjKlxI6t2nUDecI8sAnA1Y7p3mkQnq3aX+nEV9fkeSh5LpeLSYmStYKVb66lWCx85ypHjt
V5XAolM/GEieV+hp3DsXRqEHO8IDwpmTQLcvdZ0Mv8PLsD0dewRq2Vx8YSv7mTY0sA+LofnEQ791
b0EDs/TkIBZDhA3JUh/0PNsfeVFIAfhOzDJCAvgiwfMoCvad6kNXOltbNWx/MeVjM8U35MGdARyd
d4skDxUDQWr7vS2PTWY84z9ouC2ZG7t7bMrpexTuYerU94Xz6FyrLEGh7scy3c1WetIbw9oJWjPw
dnCE8565vEAT7BhdQP/izfKnfgzIa94RWH+LasQ5HroAGcheO8OzBr9V035WQtwR+z8NQJWJ+XE7
n0iPar1lBK1OWoayb/zKHxldczpA6406FW8Ol2aT2M8kZVQsH6RPGzJFcwIYq8vwZasKtd39D7Xn
8BKpUY5ueSSVEzga9VNjwqFPezLFqwOP/5rlMn8dFzbXuXkfTeDV3JnDNvAHeSAI7jtjfnJKD2Nh
GfZJ/mYP0a9cqS7zcq2tZ2Kpy0ZrVkJRrd7r/cqNl8sB1ebV1EoZDmPlj1nC89E5Q8f3yVDtCCNc
zfm+deuLo3pbWumtTWXONKKv+bpBi6n6SG7YqnBmZJzG0bQ4OkyWn5ZWHrrJjWTnmazntvUOXWkA
J7Oh7HNWSNOBurVoeq0X1ve5/QVbLMhWM02uaO2FdWHLNycvtqlN0BwpCuzDl1W4uya/0cS4lbV2
L4Tg0WjuKI/FECVC8uwb3FskHxdaslC3TKXYc2k4vsrUSOHxQPOGRgVqNNp31aAdyTZeS315ZpCy
/GZw3lPbhkKSWjyIre08A2oV09XRu73OEqZcXOc0lpJte/LDHs2bht+Vr5N+9VS2HU1vXVMvPky5
90EG8MC+4GeVY3tqlvtZNYmD6BVR2QLPT6nKM4XR2a5yJpC/bfawFpBul0i9xoaTBnRNtDY+3E7l
nScbxW794NbphdJQfEeRIbc1PChzJu6k2NaN6uN7UbDJmsv6CeYFcJLIRNdLqD3v6q/K8nxztl8E
3lab/8B5kW0rZhmfeowTg+Wzs7TXqOzfByBUITSihGnVfVnk/OhIGfuTd5mc/lTFEbJB+6Qq3hUE
2ntfWB96r+8GZgt1Ht6bOX8lfCD2fc3fw1Y2s1IFLdwO3Bmg6UzlgbLDwyQ0msgdQCgkpPAhUCze
4OWH1txmoePKg1RdBh+D3Fb9beRiXw7ZpxtDnpNzdCjrBDpExDe/bGispk7iF/Lsy0R6bVNRLNTA
cGgMjwWbSQeSMDi2gtyhc8/7pOBx2jSdx/XXq/uC3DHBH5rIK+M8dTPlc21718/aa+OtnjOnCUxB
TEYVpONzhy+GQGPr5fvora41sMnSPatjf7foGGW7zIGmy3YOGDqlN+avJmZVoLYxM0banRfeVjDq
l3xE34LAA7sNP+HcimyrUOG5TdrYAsAXBYaan/jqHXptKIPBVG5tzQZ6plkMH51ywb9dMqCmP9uq
xlRSPMA7pV9Cie+7Ytg3DtdD6/JO5kFrO5fBMw7VYh5lJ4OiPdoJSR7HTcMKq5Y6R0fbesem9RwJ
3JZ9i8uDZLQst03FTYioya5Pon0NN7muPpKuBMjrvI6tdpjINPaFeZJdH0osS5FR+poH2BU/2EFN
cVjmWb/Jnccmkn7Tm+GMAFn1r7PAEU1psseV7hba21D0V12O4VokzvyzT/uIiEYXhYuSLP40tk92
BKJzNXYn5sQepn11vRZvzkCvsbEpPT2UxXDWnPO0GL5gAclM194ri3GZJ+5cNZF9L+MrT/fSjbKq
X/V8islVEMa5JoDTRiQ7C4tjtnCgN75xd66744yIhXbi/LYdaY1M9fJnEptXA/wJaeYwzeMndZYw
l9jDWa33huPaz4bv3gLoMXPrxKHXWS2lHhNfwuqNr8gLdSlHp/gY3fwd+OBHrGR+l2fnQR2uTmaz
2ba4vUTJxeKmtWjjfdtVRwcJbPCy7VyTpbXEh4iVwp8V84tE09046GE1zRcEBeH3GTgvTwuFAckK
8Qk71BsIqACcecic+ANaw5cwZrq5L3AtN+WkwyGrWGMl9aWzAe0WWrfNXOSYR10cV19JIn2T2/IA
dqAXVGoheaB9SuOyZO4BX95V9dJfozvCl4BEZ0Y8P6t+b09UXLKiTHL1UsVORE65Ocdmft8i5cPL
fBgAVibxSGK0f08uZYHF4DkzCcM2SBRddldjfNOoud0YY/ripI61AcEdlAl/rezmLD7WhH0xybAS
3U/Tm05JmrOk4w1s9TPdNECJpgJ/UBrEXXEyMd3Z7LXbqf3ymiEKetMUm2JMXqxG6bCI9Mt2ysTz
xNbkXi7UotgJhkFNVTnYVEQQV6evVNpjnhXbnEZO4MzWDYb3e5zNQL2H125Ez51Zwztm+9LmdVjJ
tU2hDTD2bm193GMFArL9NPY68yETbeQS/BEPDT1A26jbz5oVOKOy1ePLKC0PcMN09jwu9YgqAPld
4Fgb0vu+8Y5SeDemsmvWHZV09u3C2U4P05Lsqm6X2OW1iSrYd7hY2c4kPD/QP9ThAassDvxq2GQS
rfo5dvTXWKoP6aByP3D3afzESI/j0gqH1Lwtubur2+E8Uac2agQ6uYA67L7ph0Lmdmo0yEyDtZlp
qpB9iNfinNYtPppmwoGEYU829rcHE5zv5lzFR4m3IWsrHKAMEnWzozo01WYa3d0nGEk71+w/Uzr/
UIsH6icx0LucH0gevhKnWxNaL80C/wmG+qCfPHKBacYty+RIOpFHbxhCNfE0WkEMslCSy10rDiLH
9rhZi+dYdZRtSS3n0XPEeXB4IkNSwoYREZqoXVv8UKzEC8p4qQ5RRB0ct2mvf4NDU8F1XkZKyUGu
jUU/f5d97968THUvtFOMyBMVJY65p+4tCpDYw9sRRqgBh61rTUHFLu+HXRbJvWsI+6Q2MWh+bvYi
xAabv1Ss5gJ4Ed7DQvqBe3affAhOw2FBMA95WbG0oK/j6ph5Lgl9alGSAJ8oX9gipeJ+ZtXcmuov
fqX7A3v28qXQsxYKCyUgojH1kVp6Y6c5cX/FBdMe1TITJxh17SPzHudjDmYTAOuyu28EuEWXV7xV
vIZnS5bIg6p19akazfgwKAB3HMjbN/IAkx/NmnvAXMiGXIyFtx+qurmAEI4DnjX1drI8gjte3V3I
S0fHoh26ozc4VDbmVCS9TK3H+17Z9aU3HQ3TxwzibjV0xbOaPVZu77yorTr/qAGynLLeppjYXjAM
Tkv1PhmLd5cZZfPMoMP3x+1i8QWXbABaZlggW8Yku4Jns55YDiQPrB/m+0569Z0mWfqMJs7ftvKS
02y+jLirO3ds995CLVdUaeazYuIQBuA96+8WqfrdBI3JN5epIJPnDHcyXZzzzAPzI7FSJwSl6560
DOUQL3t5I4PX3yygeFe2+NlBpGygWCGwI4ppSU3WEI02l/EePFaPdFeDtxoXGx6Qrm0rMxN7D8Pv
ns5o7ir5v7N3Jj12I9t2/it35BkFksFgkLDhwenb7PsJkVKm2Pc9f70/ZtV9pVSVVa8A48EGPKkL
XSl1jthE7Nh7rW+NCLcD38OmmSBAMEQgHwXwJ/qJUfoSycS8KIAtgKBSBrFTUNbtKYM3noRQyF6G
oF1GYYAnuknGS9Mc2UmLdOxua57M0QCFMabbPIdO2ZbTN5lEGifeupWrwuvuPM2+d7Lp0i5jAFjJ
zpJMcjFVWkhNWPZD0DjDsYRRHBbzNA8ePGlpQHFpJMmR/VdXT71G1NsY6cvWsN7shM3MjF4tuJZj
DsTCjzdNlq4zKjc2BgukGmYj175wfEsHKlw9DmZ+Z2bWHvvIRWK1mFMwyEaCb9xidbkw9erBMAhe
KbT6aZoQLY9+SEWZMjm2untPMy6LESWmxkoUBvFpHLS974yXTuh34MeA4UkNYGuadfEqnszLEfEj
tj+QK1G2dsvgXIZ9vckjinLE2AsoKJuuajZZrSEFXJMg0wbFAqn5DFaFruxs/CTDQl3f/7rZIezP
QheHRE7kLQyabIzRjqG7PzVdbHi1UYOqbWcnjxzzw+M0tHAYkD0z+kvGg25jiBhyf7pmfQpu+tCW
d0yqo8vKK208OnbWPTlxl35VH69KPL814/z+yPlNCuZ3Cry1tynn98z4eOPmdy+HA3MLkIEGCikA
53Z+R535bR3n9zaZ32Dv42UefFEfWrqJB9/jXR/nt96Z3//KZZCdplN5Tt3a3fZtL+AF+6SUACwc
V5mBwwPFBrml89pCTGlBSg/rDdGmYqHj28FM0os7pIKsS0ZNfe4HQXOrR3l9q+d1esRTWZH6XDWX
2G3Fxp1XOhN/OOmNrH72vA7KeUWE+2K8m/MqWY1NuA8I3XCLMljHH4tpO6+rWsjsLf1YbNvE7Xdj
7CARKKgzCn10b6wIKmMgzPihY5yxc/qe5Vtnjn0sx54gcKAq3zxXY16FzUcUEZv8xyYA18fY9vPO
ACy1eyP91Dnn874RMZr4rs97STXvKvRz8gd0Ws2T9rHpcDfzvQ/eYg33IiXHgt2pnvcpTyXBHg/2
KZ/3sGDezQy2tdALZ7rPVE9vNAmPjnKhuZSmUT/00B2e6DRDUhnDxHwcpaKplbZEGPTuAPllFE60
KXwaUDHP5rq1IQNPKQWcCTIcpWgGwDXJLoIgCNdmYQYXBYZmZgcluBZL29la4NZLixiiVyuVbb5D
DshQE4aOsamRxCCdbj4+UVSc81Xq1Ip9GowAD1PGaAsTeXKVZ5H96pSmeUwjFomtjVexXOClpVJI
mzmaUtlW/FXoxXUnEtdbMQmU5SbwBHUJp4Ulos6Yhldqg6dgBLfQZTGsEfDdBJw2d71mPVc085mX
d5wkJurKiccX2w/Wy3FYu5p3F0XlXdIQ1671UbUihCu96PWMmTsH9ncOMY+ag+pdgF5a14V134H0
XHaaKdZ62sWssPi3w9JPbpze1k5OOMRrNvp65elxeKeQ8S3spo4OgW3fhUZ055RhAMfWjXeZosxu
U/3ggxZZZ10wBBt76Ch6miRedcJ+CQ2dXgkMyHHUYgJTkKkIOmZr0xhPFfXHok/54z0PxjJS3ZNs
jfyQSWJkMnuAVlXl5rYck2pldDg368ma1ZntMkEQDuAR0jvNVNoqOrbUlgwUl4aibg/MVIz+vsiH
mdSW3fZawXEM5fTWatvOWfhAA08BEzXGfqDNmNIx8yCpfSvID9gg50cOa3X1pjN510Dtz9mamF81
nwwcQAQvPZi8/WjE4VM4ZS/SSKggZFFtE+U029QFK+9NSctjhb4Bo9awBPQWLhDkwfnH777UQTwu
m0gCtMXOT2lRkD8qrvDmOitfUDGNwRzXjnrhIfcQ97kjp1ZvPg/UbnfHz8m9LyTifmEK67527OwI
9Mnbm4Wr7wq23XPuqTejqNO72AR06gwsKMD23jjFfI+EjTDaNpaDERKbqPnWRZGjDyatCMSxG7zV
LjVFQtbiIi5riC4EmhEPFX6F6fPUJ89gQs4Nolm7McPlmKmrychNgnyz73Y93YxGzgDUaVGLJE0i
FpoDPodDh39RV2a3YqINJ50M2WUHFG+Z51Z1SxiBfk/6RM3p1fhGuJ1Yw9m6V1WyMyoWLo2hOyfj
ApIF4paTr8QRLiy0HMH7NVRsEjlm5RUNaaDXkqAcoDElhJ0u3wemBkyg96enyJkPmf5M1BuISlkM
tYKUFDXdBFUxTlfCtYKlakkGtiRNL9VExWsUjGLvazbJzT10TTDP9SW4i+aqIxzuCpHl8NVj/Tka
JmLeYa6oCBhXp3KussRcb/Uflddcg8GgV3utz7WV91GdseJa985cslVz8cYc8bcpw3+ZFvL/1egT
RILOL2dYu9dqfM1eP82wfvuZ3zWPgAvwFuuogNFOW46F5Od3zSODKlvYMGz4CCSROp/zR+iJ44JA
gIejlKCBwuCrztsmICRSfbHxgrloHql+5t/5B0wDNI0/CXcMhJWY99FdWjrSrZ9TT6DVBGYcI1KP
OpwFSlfkxKZTlhL0HEVPvt20FP0F+RA2+OOFy5QaZgxkWz0uu13VmS6i9Kq5dZnHZDCZIveB+l88
mX2mLqZJt+5DCdCmZ4K3H1OQaXmoiYu2wr6d8d+dnUqlgycnURm0QGMh1Z7AddZl21zYiW7eWcS8
gvOcyZ6squa5cuzkzgQRvnJmAmg2s0Bh7cSrduaDNgGkUFggPm4Q6KHpzBGtNMd7gIkXnSOq13Cm
jRJ7CN+K4mQdzizSaKaS2sxpmOEBwhHQDvZ54pA5D7QN5BpenQs3FNk2rMGu0l5L2HKY5oDPh4LU
IHhixNFctIbjrlzMwk4g5/LChlBgAUoVQaAdhhmeClOlu4BtTO2swKp2jd5Q/4BajWboamla9d5P
SMtVM401gU6/7+AbLKxEb5FyyAuvrZILGzDKFhKP+2xUFt5+LesOdCwsKM5lfJnMwFc5R1w0VTEu
khkHC/6bXIcwIhswycFpBag1m0kla69q5IGTsnnvxaiasqaQq6yp8L0Oadw/683gP5BV3j+R8Fzf
uR4TEoOkPYgOzlTQnSoNWnijbqpwb+stkRChCPTn1JWEg1mABQtqMDW8RCNmMuZ3VniVOZ13Qngz
HF0NSmFV9M7IWXJywlVOMbEaq4RkBZ4RzVlqVkKYwazIOTldm3436FTuvHl1p54y5I7eX4aQy9LW
3iDL22TkvlglJqw6VN/HIcquwfVQyw5gfeMZ8JvOqN9hhv6ih2sfoQyGD7mOGbAutRvTjopj1PXm
d21g9STzhgo7ass2X0RURddkCr7h3n6RM3WYcADgaYPyEKcLuWr7jAK4YdRrYLMRYIuVKgB1zizj
IIfeHE71eBjKSV2i5wABHt8PQQaPq595yN1MRq5mRvJoQkv2Q7jJ1UxQhgO8Nmemcq7VHFbFTFru
Z+Zy39C5H217OJRgWZ8DfK6oWSY4zWomNvtFEu+zuO9fUheec+91wyKAJ8oQDdpzL8p6FSIViW15
HQ5Ib8TMhnYxGL1Goiwf8AME22pmSFPb0qFvoVZTF3szMxZY9tliUgCpVMwU6loCpGYo7R9FkHfL
SVVoVwdg+KFTFI+kkaP4CFK93ZmlqUX0nIoYPjt6q04fo6WXWsYN8A0irmNWBwgmctg1Q5DzfZkl
mIvONPoHRCXq0Ob5uMI4nZ89BSHABml8GU5OfS6ylmZQ0FSHulMV0hYVyZAAtcI+x4EfdmsvIR4F
7JHx7hBP+97asjxj0BqqVY/I2VjimkvWXUbrbZXVNXJrgKH9fVgFWbk10BkkcB6IJ1q5o+Gu0jGy
S0SGkTwyOSmDVZt1cm7otOs8Efqm9ZBdrdjTdfoGVuY4yywKinUjVBduJqU5F41joJCqWIqfFZ5x
xD+DPWaoqSoGjiMRR/D4SIJtFlVoA4+twHifyI+ZqfMBmQwkmrTXg9Zlb3U62cPSy3zzxarkIHEJ
18HzkDtU9iyIqFlURgXMKNhkWDdmUFiQiAvn3uC0QACe0T8hFpyyQ+gOMGZ6TFRUFAxNtoiOBYcI
N9S+Qn6kn9vIQj21AXLctYsb/0onkfAsctoxS/iBYOHJt0ngozXZsGlNSM9b1K24smFKas92MBDD
E+cQzkmlqofhzNwwJcE3NItqKWA/XQB44fw5DI0Y1j6FPGE+87ljO2aQ/tHDy/w2tDsCJHvscozK
vKr+qqNvRUGPyy04goEzm9si0LWjqqaUQWTRVGvF3GEE5ZmOtwxHqUgtM26f0U+Bu8RiAlaRM7gF
x6EeScZqNappvZZzZZwYtN2EQK9sJrFxICbU5kDegNeB3jN8rzQ7e2yrvN7mTj0mjK/J4QEdViY3
Yay8xxaJwjlxre/lqFWvMuTAPAwAeSbpWxz3ktzetHoKvE22wwveU3L4rLazX6xWryHQpfG41+15
LBCqxN76RqduvNiZ0GPOiN/FaDEVZGZU9Rsg2vwDQME32zhxG8b7apw96Cy+90iahyP0Qv9Bx1Vc
LtqEeOSCrn2PwLnq3w2HXUW4PcwwG4PbOgh6edbijhNpYxkAP5q0lXtNS3jvK16Ep4ITwt1IuOix
TxXY4xRR4UBIiEUC5OShy4Xgb9y3dRuc41Qy7UalDuQ1s7PoiWM231klTnqwrdrKOHFySIfs7daH
PEnKR8eOUppbcOCLpafwWRK7Jmir044WJxys7bMmEoNTgF7zBYHhJ28lqWBzvz2aLjKt441pPCN5
hObYHllDjVfdaMZHBqTOPiEVeqTrPUWsvZx8lz1/Ndr/fGifXX7+uu6EhwYidvutklJ7xl03HM3R
0e8hsLPpEc+29cLMffCnQbvnuJVcW2LwgZ2R28boR6RnkdClW+QeV5ZFt7mMPMvomKkFzUPXWWOz
mkKRv2hxXuw5m6AyL0UhbmUYOGj7i1j7mpUN413Hpsu7GNALk0HmYSfZuG2TvIZBMRGUSIZHtY6a
EYFHRIpouY1M+hkNgOnbPNOzdxXA6X00eg/BXTX26iYSUeBvVD9yJTvE9/gK8/jKDYwp4HJhNFxa
vuyPCFMFnNAouMaXG9Ilc8CCViDUjGhKvnKvkHCAHy0emGOyC3QN+zsNyBtgclpBIEE+ayRLDoiL
uMjya03F9F+wLeoPRQSzdznRLzt1wWSDMMIt7O8I9HHbE3KdiqSK1vablUewwqVexnw6ThLIb2Yc
IC6ZB1WpO3RoNBOuqg81/6GtB/u66Wd+VRFy3yNa9VcGubXnadBZUXXHqm9a4M83vePRam503dzY
leHwxjMG3IcB/JqIaNlyabHD8WTIUe20qDU2Rm5gOBVdjL5i0hsqWoNWah1V0SXZTh7KbCczXydD
5Q8atmzoRXatX9jVwBUh5IVQNx3L86KwinBnDL7zGoeJ+MbUna/lu1Hz4BoDUuQ6gPWtLOV/Yw6c
0Jtr3YdQD/Mt5mb0iFpD/uUEkzsZpTesNJlMW6xJcsdOWxC6YhvMb9NIH9UWS4Z78tzBOQ5WI1ww
Uxw1VyH9mJcemkuOEKgW35PCTd+9NhIHTpn+16kxx3Hp15N7MgdxERBovSfijW3+o1v7/w+Nd2NB
6uXrGxqSVVg3Vfit+XQAlCxOPzS2/+SrO7ymafuv//aaFv/9X8dXiBph9Rc///sB0v6iHF3g7RSG
ZUmccP9xgBRfOAnSBv+wXli284dpTsgvhnAlpDyCyF1kmH+Y5oT5xVS2aeBzsoRu25bxT06Q9N8/
nSA11ioeVP1PHlfoYr7RtkRipR4rFpFSPZoP8A6LoA27iwIQdL52PY8IAkPrA4wTtRWv2e1LtOyd
t899Hx9ooOQFjJlgpY8ojxLoOzvAsLQdG49ip9B8snFbaXQrrwZk0nuCBljejPvUJG8+4TV6HNyk
3qqGDawu9YCJd1VeGqQ8PUKjZq1UebBNjb5ZgoKIj9Au3X02oYgQIdOWNAuqQxp2FiwtN3xFMWGT
7cVxZuVFhUtiek5x70RWsY3TON10IznC+CGoaXtfMJQrs0YssDk6p4nsFti8+dC8+8ohrQBOrXnX
ZFp+04wQy44lXM/jWDnmqQDFtPGc3NuOgfVmRRM6TQdrHoKMZtblmLDvPLMAqBfY3rcEJAmbpWUe
y6grVkOdTc9s0tF6mBqxM7xYHmIVjHdtTBPiWCNNFks3IeQB2QX8INanVJ6zCikjqUwtna3eO8pI
FV+Jm+sWQLM19OGaQecKWqxb69U7A5/4kSlD8eiHbrvTrcJ8UgFUM1CHAdUiAontlLArLQkAqL61
ovUOAuu8uQ0wBIPiCWq57zUw8gtwgtqdpqVqOE+W8vg5pgnfRwNyUcI5n0lUolVH+PzFq1bgdVmY
Vucu8QbhhNATfeVNEX9LWGCWXLaiataU59oum4S5Zi8xVhOM3FUw/0lEuiMizLA1b2yTs2LZcxdW
ZiWKhzjkxE6GR1n491jLHULLOpMSfLJB2CwTxuBEyZA2fJnaSuzdtAyuJJhzgGCVR4JFkfdoSjVQ
dMuyDcYrJjbITiuOZhZ/pXlV8RVf22jgFCIJCF1lYykhgmu0WTMadBuPg7a5yPiUfWBp4wYUsPd9
LGy+U81JmaOHEbiMLXhUAnynpXlDC9x7RSUX4730NP4zGOZ6AntF0rU7uvYGfMTM8GhqlLN5dZ3j
fKlg+BOMtGkn6lyTY8VNaCX+d9oXTEc9gtNGshHw4jDeBLGHn69dFP2EkNZ1krbd0c3U3zypja9T
MBn3hLA6kgQUQ3zXXWpu2soyL+GEpzWzB+EQDihCAmUXBaP/7pzSexW0vgm8WziJmRNN00lr58oU
yqypQV2+CsJpHhp3FTitMaK3icyzDZjaOxWmxVARWIb1NYWlKOuMDCm0agDuhlZ/Byebg0Wh7U9B
ipt/VfoZ3EKNXM+DgU+oXpAy4N4kw/ANcZlFGz2X34hVT3a6njQ3A2jA09D6zDgYcl5xUVxraTjF
8DBoEfpj4YT7FGT9vhgJWK3MFp50YjfupYpd8xbAUcq/dQpIo0t7TOxczKRhvD0R0S7HKgRMYLst
3X6YAxAVNf8WAQMtlq5w3yszB9c7NBq7vgqDryFUmq++F3XIkb3xYgJDfgX1AK74KNOryJWUMrgq
MTJaxmi9aNUIFr9RIsV2MGGhAvqsc2bN/Rf+knQXBbp+VUdANHrLfaFELtbgzezT1JFo6xDnR3PL
SU7NKOSLY/kqglAJDV7VEbG3DfDhdcFggmjWIu6WRgzrZImyU+45/OUHjvhFsmJywV1rlOmdokgN
O/IDHPIZUywdQ+F4J1kbCGwqTSdbraxUXcyHbf1VFpZ7b4s2XVOsu1BekmuoQ/3SB9m96Cwn20jN
GRELy7a4wxXqHtMiGZbYc8NvuRlYHIymca13rb4VFvVfF6HTkXWIKGjKcWOFmlwlMuhp60M351Wv
1vm8pmcjx3REdNrB9gfrOUHcROBkYFVb2VMaAbYLLzTWvXOq2waBHSAeAyaiKz2v6hvJOn9FEImH
WSx3hmVHjgWTt8C6slsrxhKlBe8GemFGhGHcrVvHdOEmD9GOEXW4azMCVzLLx7LtEpRjgWLPQYGR
Obkq+jSadf/gswzRT19J76t3UZyGN+SRRXvOX9dAHt0EpSnvLCcG13xm33YJuULOv5BytK8nndK6
ww6Df8/V04PT1GN2aTHLeYiGPPgeoWC/obzz7syC9iRvR+9+xTGLZLKuLLhqYFb7NLUfye4FhKpP
DtiLMd1ZCK/Vws0MjfEYAFxckr26TgehTkk1gW0RU3/qKs2i6xgoc2FFhkfoLbGdk46M2oXogv9v
EvuGYFHap0bTbBREoxup6nQdhh6qWmKdqndd0jO6MFU3vWo0F2a+yYRTUY9zQofEMJyCkCh5fwS7
PVK+nyYn7Z7N2o82uoUGmYMDPBE3zec13kFpEHpevDQMKzuUsSguJsdmzDm5pfmOE5rxrMPyy7ke
8qTuMH0rW6f+BvaRiJQpA5rZl9phcqb2PXVYkklc6G4ryO+ki1mESgvlOwe/9ONXhr7EO6Ce9C+h
Zui0X5Iq3ICfEUu/ssW+BevPblCo9qh6wzh2KaxDF0nZthBRuCW9hZVO42f2IdiNU156w1XkBPaW
VMjoUNtOydVsynuvJ+spZTshh2P0dlDI65teVtOG3rW6qyO3uwq6XuymdGS/Btt8dDT7ItCNbF93
mkUxUGMjQyGpwAaZ/tf/2jL+/0Z3EpB3quX/vTXp9BrXwetb//5efKrMf/u53ytz64tBDjgRloS6
OkK6f4x2zC+MdXRbtxzpCPdj6PP7aMcwvihduiBzFJvLJ16188W0P+YxVOw07GfSxT+Y7cwWqB+8
5LZLaKIylNJnbo+jG/OJ5EeahSQNMqhEBkSuTw9uWm/ZypOTn1YvTc0pm6KeFjA2/Khqt54DFp1R
zEMAOf8Ev+tJ9NFzW1ScbadxSxBvCw+quYrYfJf8K+Z2PUDRsqitZSWTp8ZhqdLd+KmX+crtRnA8
NlVPaxeYDxBu9tHlD3fjL1xPM8PtD6P8xz/OAXnD4N4RAMGtn/5xEeTQhjBtazUQCGrIlvHC96wq
rmB3L//ZJ1nzgA5kigsJjgOYO9PmfnBX+VplqA466qo2qEUJyI0yDQIHHpfCX/36o8TP0zjbmldZ
xoSom/gfcz5r/fBZ7K9QuFicVpndfVNeCY4xzR6bkairyjX2HiwMIlWRaOmlXaxU19ZL3cbNrHBZ
0H5Dbjq1xdYK1TN/6i7L0jMAu2klZfXka/0xt9WrGawsfFuMt/OvgE3HZSE4nA1ZeRotn7VOhvAf
hE4F0NZ7UaPraDp4qpYe9qvAG1/tbnouy/BFlCA0kliXf3O5/wTK4B/vuFIHkYXUSzLl/HwNPKmC
bhSau8odB9J4tjBSwp6hsIE887Zu/lSkNptIh1MZbMjcRbS69C1he/71zfj4oD8eMcVdwNYn8IDp
H0z6D/vfjzcjGAY/9SVFKoB0vEAlBZKmnhy/Zgs1km9JGx8hLHGISY5VO93lUMfhBqgtlSzIQ9e8
Fm11C6JoxXhqSwX2OkX+SzoamymRN3/zZWfZ249fdiaKsAhhXJonzSwun69aFsE4iBmdrHV9gnvO
3Evp/Z3V6bcgkM+c1O7qNt8TH7qbBnsblvoD8zfCZy2xQGODKCNadca0UI3BSBHtzCzN6YvKWvz6
e/7p7vI9XekA5Wf06UpQF5+/p/RL0rlCpa26MLkt0DVtqEvwA/U4BmVLvxr6AVZhhp427ey4ml46
GHIjCN+Wju2vv8zPnMifvsvP0ArdLowEfLMH0Z0+coEQ1zUWuoe70DG39d9+3Mea9NM9ovXL0wTO
CJmK/tOTrQi5dKZEuSvRTNDbfMRATgMGJ2VQN1q3hp+YGwjAGMtyDazknG9PAtze0oMXNQrBnNqr
1z5gXyqS7GmGtPi1u0mj+m4KaW6YAaCdll7gxpPhtcvUDcMD3n0xnagXrV1kc3ItjKykFYwPn9PJ
uvfbo+PinSAOPl1bVjk7rfyNR5mzKADi7BDmEO0tOS6T6IsFu/IFw6zp6tc34vNiTvuIhwK2nG2z
V0HHmQlPn5Y9oScQQ7kRNDrWk+VvouJiiBwynf8GVGL++TWhV0ZLjBqSDxLyp20D2wjDVo93WkSK
sVH8nknk+pZTYChzBaG8NSbCob+1ymnftOMNcWPPngPFCYnOS4UtIZP1m6/AZqBCqxJaPE11HvJk
++sLYv350fz8PaksfrwiOhnQvlmUON8n+zQa/aaOoRrpUfrksUEvlN4xdoCWw0QvIPRhyM7VQCCf
UxBbNftqsExpF0xaNKZqpQD8EXbnqq5SAib7GE+d42390rYOE0ffB6Zg+bIom4su77uFVbQ18UnM
jDW6UDxqfLCtdzRaiFdANWYhtO2hRJPZkq5zcIOce/LHoYlevQAp5FD048so2weTonw1UTl8T2kT
cHD2K8BCpX9ETzFt4iB5+PU1+/NDRLUjLaoetml6n/Ot/2G5jhuXckNg6PSld9HkMYtgtwyF2nqF
ufn1Rxl/9VnUHAo5LmYAafy0Tw+RXra1gLvQgdc/tO30OIWFOBYV07agx9aZlMyos/Fc+999FfbL
XNRAi1022L7JEVSOpEozRK6uCBn6my/3uR87v0yK0SRvLU1f3qafy74k6oxUOuBTozQ5jAx/pHac
yvu/uQI/Vyp8iqO7LGKKzzCIIvh8tStzxk7aiU+rhkCFYW4OyDBezXLjKQzy1Vi3N71fFK9JKe+j
fryWtVjTKrOWysradYnLj5ZBiHW3Hq5oAgWnhGQFeMDK+puC4q++qe1YbIo8FvRxf1pc8Hx55L6G
3sqxc1aVkD4uVmI5g+d9WkSYu9RG1z3k083f7C8z0uvTeq8cqhiHcbZkV+ZQ+PkadU7aTLmfe6u0
UA9er1hiOOUB8xWZecOUnOzm8m8+0virz7QN0wSKxw4r5E/3xU1xz5IjgxCp9LapOSeChcVwKCwl
VmZIaZ+234K4uy8Di+x3+9Wc4P3AXmHG4S8DLc8vnCEjJlPsDfDZYXT36+fG+tMCTPYz9R0FrlIk
8nx8/x/e0kEDfaubjYZFuV3RjNh60tt4Ea8LQgcbD9CEIY2HqB/M75EMDi0ZL3VeDRs0+c9VCR40
sq0brJDfoyDApK5v/C4naDcOr3o73hYBXlGJttYt8m82+y0qAB8+sObuc357Kqz+wEQSOuhQ4+ht
y00s6/cx1e9aos0NcOY0VnA2xBvL9/p1J0DV/foKqM/HMt5PdPgcWxRFLu8Os97PT0UWhg2njUCt
0Kvcmam8pi2xU1mnLYpiAI7kIl2oZXAuBj9ZGh7/DyBZprlYdBu/vmmq/oZQCTYDDbJ8GFvLwazY
4BWyNmbBqgTNg8EAp72oTn7dQEcaWbxLrGRVbxsLlcbMXQkgp4XyiruRSEvfue0EcjIzPBskwRPd
uq/Qs3URupRet+ktt9NbMI8fiG64qNpw1fFFDT1FbTachig6xYRHM4mXr13TrKDw42jL+m3T2NAX
IOxyBlkPbqxmDNG0sTL69wO09VzTjYU++9+adFihfx42gVUvxYAdmt86kGL4ra/8yxwwwIRWr3n/
m1vx8/sJOcTmkK442s0Dtp9WhtbOvAwXCPWYuSynnSTbIQf6tiAa8beb/n96ELp9zy9e0/f6f3zq
mPzPz7+sf/u1/57PY8VPv1h/BHZdt+/VePNOomnz7/bB/Cf/s7/5r/f/TOwXmpZfjzgv30IaKD/2
Tn7/kd96J45C/DqXwgga/t0h+U0W6xDoRVPPkoZuuQ65XdyWf6NdTELAJM0TW+lwCziW/4cs1lBf
wIkadFxcw7XYAP9R74QX8adnA20VczvUufQXUObOQ9cfq4mws0sHq+60KZKckXyeyoSXcCC0Ce99
gOSGyrstDG/tphKbhEnuxsnA0bhhsymPcRQZqBL1FDGXCHHRewWwLtNsFK4qdoJqa2aSwtEIA9qv
Oc1KqHQOrr+wrw7kq5dPGCsTXrc82ZMPGOxScNY7XMHNukNfsysZglyGDGYBuPhN566ksFr2lthE
KIHRE8KCaVVVtsekYB1DTsnuoi2seu21QjsjrQLdrscs+RxTB+3dA8mJa7A33K+hWzlLNEIYc0hb
OSDKxNOaxlN+cqSwH2vdMQlX0fG4I/VQTOeqENbdysSHh+0/w9bbJM/9pIfnsArvvIoJg/TTDi2j
Xb0SBQ2OxiyDG5Sn9i0Ap+Ssh5G5HTqtXusMSRbhmAXY5DSNU71OW7lKNn6eTWuXS7c2/ChYaiVI
ED0L+psqm/M2Xefs5ENyNP2GvJY6fjP9Qi5aOw9vPEdG+8wo4KWpbnzB4GWfAjnpDP90kGbgMmIm
uhGNpgNRqhGyM10g1KhbErSJ/5LOUWuIL15w0VC0JomBhqkYesqHlFnnveHDv7SBl9/g6E/cvZOF
kLv1yC8vYzGM0MNSs37NVdCX+77L26Pt04hfgKr0LnMnBaoCuo0U5LRiIHsE0pFAwxuLABe+skgu
YELkXtWdz/DJbpTlbLKRhncNZ3zpFUlK+xy2Q0iUaUobnmKfHb6Powvfrc2LsNOiFw33O/CdPttm
kYaoEvRMQraw69wXTS3XsnGGE3T0jtAOlXArYYyNC2twGESZfdXdOkYeRATuCPOxlb39kBdGBU6j
r4xrF+HnpW3SellB1MhJila4B12rp+HXduNjo9OGLmUYXddhINZCgzC2jsJx9E89/6RuAzkgxxuZ
VADObTu8CVTr7BoV41SL/WGTyjRNll48r8iFys+JmTRs9bdmFdKo7DvGDMFD3hM7lMdjd9E2XGMD
Su0zSSDtlcyrbimtgJi2KrtsBnhM40h0aztM13GZiHME2WVjM9VdVmSen13yFNJtwgSOt5rY7W1f
VbRIx0xjJF9UZjWtIQxU01IrwLVYjFfeCdZ4bkRSnXCgZGdgYgPC8x6IbTSpctfWKXAykCGHbKqd
Giul4WFKZ+REKJiXHQkuqpiN9lhmkLiF6joLk/rBQE/VLIcgUecapsvTYFoZ1JaqoDJWuA2PsvDa
Yd87Zt3us9K3Q6ZkwhlfLDJjxG3tMA6rZZa/4dnDfgPxw7aLk8Ozj//NKNvQeNQAsw37IMKtgK65
I9UsF2TpfRM2bFngM0QMM9gUIbcij10UkgrJHvL7UCwJJR7vAzrNK9k2qMzMAbpvkIfllrRRkomn
RrYRWFqWaYCu0DnWSrbJYxgO/bZ1K4IxWOwf2tLtTwa5SxeITbP7pJISzSOILWb0yaC/KUUHrWbM
emZ+Gm+6QPM2XRMBW8zGSVxC0xq/Zv+LvTPbjVvZsu2vHNQ7BfZkPFQBN3tlo16W7RdCndmTwb75
+jsoyduS7LO3DV+gfIGTqId9ynZKySQjVqw155iVp31KSooQp6wtyAZo6DwpMctHNVDOEO8Pg33Y
jLCTzSJ/8Ns6Px9N23uMlGrYxA71TNn17TLTVd5Y85jOYCAfzX6NfdOqrkKF4Mq56VQukVQouPuL
AcB+y2EF6dmKmmEEhYdNYFFnJWViiOjQ3nh6z6krbWjQHLLUkfpxijgihe0bdg2AVn+8grChpzMj
QKqFgM42A8pgs7TXupX57dytRHzorVxhe/Hx8mkByN+x4TgJXy5fDwKklypyvsrEP02qNNmXbumj
k+97DuumP0Iq5QYkF09uG5tQu1kj7G499H0KmbHsri08efua3HGSoE1dfm6I64MJEfNIzKquR/3v
NIWxI/nIHVf0dxmapol0ok1MADUkhjAd7lWzoOfZEtxxFxQKZnMZoaWdSYcxIDQCNRNr25kUGmo6
IDIzQ8scZgjRkovKcQithb3jBDvAn0G4sBsya9nB8iwkeVAtEZYGHV1KyvRjDL1md0iAv4DesnkK
KiXd5YxwN50HE2lGXFU/j3KWSSI16gunb+pVlUDBhEtwYbZQ48Aqes2l2sdmNvMVwtJph5WQJPE4
O9VMh6N0W2KuTxYx9JObEjWumJu2jOArTtbhZQOo2EaqpybAqXJoi8BMhkdfE+o1g87ukliQOl7k
7VBfYlkW4JbJ9+gV3bzQqsK8QbOf4qjPzG1lEYRjRaW/6LrhMIrE7OeQoEBnWvF+xD6s1zywsHeS
8SFNcL2z4UyCVX2sbOskDNJKmad8lbCxirQcVlXZKdnaTEzC6fJyaFZScdPh3PDV4NoKUPPz7qq7
A01n+2tUp8Z11Eesd7Scarkt8umEUaZFfapgUPOAROriRiYi3Wgkw+ez2FRpGVmK1nqcDD0EiHZA
vTZDwkJAaRVXfNGhiZnmtEKXiScU1i0k5Vg9LUFPDDMmB3ZLj3HIqCFEL1GpJACP0iyFRjsqC9BI
I/NT36ou8V8qt0DZLSIjmgqYE8neLDTkQE1R1XpB+gta5lM+dbH1ArS/G1uqHREfQVM9VkmgwrLB
jgdZnSOns8mHOiPJrDGcgGy7IqxAQwQs2PaoATKJ6rQ7OL0qx3me1dj8fEuTDxoH1hhsY5tvqwBN
7tzsinvogslG4te4b0zAHnPiwSFr1LpiAYGxIJrKnGw7GrKq/8misbW31KiFopVAj1WHKjq0Wn7t
dhx8EKmFPo4emva7tKwIBEvbqCEvPHtg6oDFqPPKj2OWE2xdxHznbWM3J30sBa09NYVinMc9a0pE
8zWx3XhYIYUu8EuPI4+8NwVuJEh8YX4XBdr2huRyuhqcd1a+pU++HVIRZjFsG3+pIALZAVDyrxv0
N4+cHgwe6bZL8mXe5Bgh8J5y6zHzKBYj5qGCVbnBg1FUpj13NMMWC0+PUoQRjfehLcoMBXNQrkt8
m7MJ/4xui4S3cQjWFKSbWI3tasY5NVuB05JYvEb09XHPYMJwuxyXbmYiD3FYAsM0rm5Q88ILmZKG
2PdZT2Luyq3vGt6m9hOJv9vvrkBZoW2vPdyVmtmj3LbJbq1Ktbjzy5R4JKgHxn2f5nMcL0svzsdP
TDMf2xBdNqZLf1N5eotBhOQV+GKDa4Hwz23CKD2aJoRxBiQxDoE+ID4s1Y+ayW50ExS5ks7G3rBA
rNvu8RiiBV4Sm5YUG7+WkH87waGYhTaL78hoZVI1skAs6KjiprbdQGlh5Ai5Kdku5jV7wDGx3PIi
F2H3AfkGDMUu0bt1FVFlKkG2a+EFKuDR8IpulCp1+1mZZWiSsFJ0Vy5ANKjoQH/RKMQgDDSKBJ0e
AFFQbaw8lqaCmI3+A+/du+U5K5CqzxvVkPgF4rzCuNGJvalqvrJAQAngNMrKS5ryiB48OyZXrRuy
4rMdOhMKTIJIX1CgDZ9ct5f3je/wdDh1VogdDx6FYZgF+a2wm+oKhaaxZ5akg7XVqmvXcFEjAX9E
IG349sA+6w+AN0JFrAG79Rvuno7uTaA2DyZqdjBbYyh29IxSOAK5I6ehdAcmWx2MrIVmTmamruoB
IPgUNpxSOf5HJug2cowOZ0PSJHyBdW7UNQZiRbsVbtVsNeg5GA/TPJkN7lSCtbVPPZCSv0ZxYDDm
oSasEI0M1X7wGHPPinYgfmHUPVWsg8xMH1kkotuo65xD4qoRCYx9kS25ZmoOTTJEI1RrwZSznnne
QsNcDbq63fGw4mALCV5opUG2E46RmWvEeLOtpluyqkJid5DVLkJHwIPS7MgI5hAb/OvIT8SDLySP
dhnY8V3fWNG+lBbgASfEa8gQotTujCZEB6pClQyVGFrEwLmxMwm2zPV+V3rIIIsxjpbCCJJTIxqz
s9yxI53RpW/PRZWwsMgc2RHTgDk4l+JWJKozEZutz2EcjHd9UjBgkuSJHQaRRXdSz3Fr9Il/2ZA+
/5HYdfUy7EBcgy1P4WtJ6XVrXcsqbCSOXsdzHizk9higUJmFZbnTeSyWfdrVLgDKDX6/YZ5llyA3
kEUGfO5zVAwurBdptIvGEc5u8LMEoFNfJx+qwCDFbaS4WJQALCCTZ1XwACaGYjEngaiwIOhlpTH6
eCuzYOfXojmzNS84TvgCroTVJpesF8C1DD4GlRHDnjYOsD92bLjDOLRXeodcjC/U4/j1yYlYbXth
+pdFPv5Dy/z9zACZiEofgU4TPUBBfPjbjoK0LKAEKXrpwpVwOknabWd9bis7dH7xiFPem8LT/1Ks
/EAj8X6IRP8fEQhdRqHSqrefUCqveq0uVIrUkPW4xvwWnaP3rE/MYJLNEn2wDZlErrVJev33P/R9
A3r6mIYxtTfRXOnaexitHmo5TMyYqLHAT/bUNfUZnVR63moUXEEnabDgDjaRP13x3M77f91kO4T3
WLPyL/XbttpTq+w+l4g24Uf+z/9HrTgHpwrT01df03d+g3X+phP317/4S8eEQ8BSgRgLhhVPZoHn
XhyBPTatI50JDy5gjOh82191TBYNN5pzQoPy7BhP1OEXi7pmHsHEIgaCpioDqMmX8LUR+XLX0sME
CEAL8wd38XfPDb+YioIJuYBNmfF+aq47XZtZSdctI59QzR4rAfOCGn22hrtFSaP+H/IjpwnJ66nN
dCEYRcMhs5hEf/fUJL5RxVjPOwbRVcQ5yf/SIqomkxr/4qvv4AefDK3Y9z/Lcuk/65yH6WySX/Sm
y4gXVTewh3fQS9QY558FKx5LLxxUXZeH2PPbA5TgaJ2QILnwi1IAjsrbsyrrY1xRJiUGpBdty8GE
jSueHBZoGPzyxuSQ1c1Cl+ODDeRi26h6dTd0BHnNK83hyBv1Lnb3dEzI4OxI3VFoDFKuxNpV6pZE
SANWLbRdbZbqGZicysdTPXqcnxyTTTHIMVB30XRgTZovTY/0hlaEt4gzhky5l4xnCDHB7dcFoZQF
JmjclXV7HtmjsiuQy7abwmxiarxA8Ks0jufduNSHoHYDSm40VomDOY/seRphpLyt5QgtB4xXpBS4
UjvSASqT5sAMU235JY0gDzqVfQwkGXknHa8lOJ19NthXaJliuSA+ztviqx13Icfss75P9n2gkzjs
qaQKhPKjkgYR9al+HpkjnTILmlnflDN4P6jUZUl4u1DKPYnrwVwF9zL3VCrbRMNlsVBscqcxLiDt
VaBuwjj8iGeCI3gPVAffR44hEwV/3zonNQmEgGSJMAxiHGYaATYWdDCaQcM69vVzjYypSlcuhqJd
WFPwvK3Rh3KZeC+SVBzrhdbOY/bIuVeW0YwS7ksGNWlGy4X/YEdD7pNvqoSMxDZBH58HFUwDkx+u
26m6aF31vGvQ3TZ5yaOT+be+Hh/SDF28bvt3ncetrlWJuyAceR126nkelxhDuKKxEVD4m8FlzSFi
rvb6g9XQ6o6d4yIHuwKlb63KHuYX0965XhnnnhHTlEu1h8hOV0asFpxd6zXL/xdVt+NlzHmH09KX
1nNPDCP6Eotwn9b+1pcxmXKtR9pOUFz6NEU4bFGst7vAm9iLyj5AR7uUTLM4jrk65ZpHG3wfGWan
LiLTq06LmtOykn8EaEgXEun4zOiSnSr6R7uR0SKG7bKK0+lY0lNX4wUiCZdCYNlM5NvRzTjW4gZF
E+We6GBkTwyvvwN8cNPTnqKL0+FuNGK85Z5yRZTAfohAVxA44mEPqby57jD1jj1k7ba/8zl+rO1S
/xjTGAg8j9rH48clXXjnWeYaCSHJM9S78wksbUqs86nKjwYWqRwjhWkXZQUaky+WCLxBzMlTHtAR
w6/16CnB0dHHK/IW6HpVzlWn8kkz+I1txvdgqvJO+Hm+fFqr/rO5/pOVj81g2uBerezf7a5XZSib
8s0Oy3Dq5Z89b7FCPzIYNjJnfBp2PQFdnrdYoR2hYhXIfTmXIaV4ZeLTzSPLmuIKbBTErm3obA9f
KTD6EZvGJC82sNLTjvilLdZ8P+5yEUXZiGZowCI6pV6cxmGvSkWZxYoymFpDypA5AJrmTA+zeZO2
nAU00X8EYOPPWjrTc6uK8XHl9WOv6zeoDj+mTqJeeAWdZKvoHuoBCFSMdRwQrt0sFEVTZn1N3lAs
1WrntOQWAcDiRNGyGI1FdG5LJV50zK02WGFAafnyxJGxPqvCIQCNaH3k9FysbLRYOUhPjCJn8CKJ
f6R9NM9ERJxSrDwQAXlCLx42Ta4Un4O8wItAnsAGEpdNl83w+Kl++zkkHkFhlFUiksH/jI2dLFz/
DOaCWLA5KEuVHYvBeZTtJc7KXc2OsJWkruyDzHMQzzkmWkU1GT54ArZxGN92QckjXicJK8kwHpjb
WEsak2yVOfO4oBlgyupmcwE3gio8NveSZf1YjxEsj95AilohFA5sWliLmcPkAX6/pTVftEacVINv
L7XScM5pFJMsLYNlUFTxeqisdJ4pBTFpEf4Gpa+8OwOE9sY2S2cbVLrkrFToSMCEc0zlL7dq4tt3
tT18LnsRzAnkQU7btdVcFwn/lRnyrrGFcvBsJm6iA8EZ1l2Euc4yDyMNJY5W+WNEx3MNBNU5Lckp
XnX4H2dNpOkzTc3deewQbg0BqKEdUpRQZ3v9woW+x+EwZEDTF6fQp+OPICM+orUL5h1MsVk10drS
CkrOxG+TOa2gcYDpxkzuSwj5YePk4rOYuG92y18fwXYGq05zmIECiONUyw1AR2SjyhIEhJNchWhW
nRqunDsR5lK/R/QKKoLAbh3iIAk5jH1g0mFxd8EEwqkbY2EsydZC4yzNa8cgv8yBRX5oouKG+1U8
9hPzjlFhCrkc2VY6EfFaWYED9a4CUHl2zqlcBZ4XTRS9duLpAe436QJjP8p6dRPV1YU20ffiicPH
UX8K9snrD6pPax+hzAWjmaspZyczwI1i9aVLEph0nVua7+RP0Yno+2oK6zD0olwTdmUeZ14Y0uUb
ULubdi+XmkXQeFDGCZYmPVnmJs6cNNTkyuYePPXrqt2SDhtucLAABAoCljNRrcdaHho18uiUJqWx
Y2oUXVSR6a51qbPXWNUHza/IVBMpiGIwKBvCIjnRm/Y1uDV9HYdt+iGJ2A75qtplZw0t7b2onnIx
FZQ6uZxacHqxx6bob8ehm7ApLZLMmWaV+qLxMJrKkqIW7CE0avibdmr254CgxUJSPREC0tAwq+wt
QjTjlJxugow8i5BK0YXnnQb5YZBuc6pGYzpljIz39JGAtI3o7jon39CvYWgmR+3cQxa9wKzgTxS8
nMYEwHu18mCW236wiOvJEWpLUO96YGUJ8wn8doOi2gvRkb83VMK+bvzG2RTu4N3QK/FAuzqEaLZq
tGYEHxxHToG/17HCaxFKWg15Qe3LmFm/SOg7n4i0xCMtkujGzvQbNYCamtsDIUJ+tpGI35Ba6o+t
1NqLsLO7hRJWpGfTbKQQ7vNxSwsR4Hsl76Bjdo+tUaWnDv2DrRjsboNoAPysJ8HNOkm80kb/xjUT
eaKU7s5TUn3h2ESyk0UhpnD6dDDyqS++w3+t8+SGRrRIp5mVbANnZyZpdNaNntx7Wh2dBnSR57na
7Bs7bNepWRc3GeXvjFwG0P8F6jXQyeqCmSIznWrgckbEobZAEFZJN4wXXjCe9xbjS92ljZgPXXgs
o+acfQhSde4VKywA/h0UzHGjJcqV3xfqcjTIVc31rD7NYwyorjuGaOUQimV6uOfEEjO8NvNzKyIN
Kg3xNGPNULCt4EwzetdbDCOOUO5drBKKpSB/Vgpr4YGbWqtlXO57pZ5OjIVDFYVnuHUMVuHQeuQk
mS2EDTgTjdB5Wtr3oe4Oc9JgmdIJOl3MDIwlputujiliXLYNxuDUi81FnoEWM3N2xel30JkiL/2w
E/O8FvqN2/I0JygElww8xAHKmo43F2fsVEf63Z3C4J5xcdaVuPbcLxZjg7RrWH01iKqBtkRFf8p0
V3B8iA2FqD8kD3oXNKvWjZWZpUQMvbQpasSOPki6MctCJ4NHjMEHEmHXltIlC9z/ZTa3FfGJlA9G
ekI+5D03lF0lV21B+HXUD90iS9STscUWKbA4sNtFJMCWOnhrRczL6Ztm7uCtDIQIKBpYelDaPpAE
cgcX8XOLOZSLOhrYJGhdMyFlUkEUUrhF8HsWBkV5cLEKgtPRz4kCNeaD19Lty1p94XJenUGDzLAV
OsamauPyyjdAgYyVj/WyrlPi8/JbVWEVslO0pTqxmLV1N2SEGZjWA4kTFrgtcutCw3punf2n3P2Z
chdd89+Vuz8OhX6t9Hqqfp/e5aXBRO6zwR6BIRNbDdRCCtmXBhN17JOpiorYJPPUpfD8KvZSKZnR
elGeWZr15IX6WvwS+zwp91CJEQEGOvCXCBbv+0ukgUFZpJHFgoa7S33XlwX+BwPFS7xlR5cninpC
h4MVfGXOi+Y/yPq17zqyhGQwfKMzSicLEey7n+UTaJ9LYjuWbLcwANuLIS02SPtXWW6tsK9+SvFT
1d2NMFaKM576+L7ngfEx4cnTw37XJ2zq3P2vvr0ftKGe1OpvOl7Tb2XoJnNW/gMj0dvi35MhkoC0
8JYyGAh0L44TewJmEM2q+eVyZHrnKOnc5vTs0rURfrsYPBIiPF+urRqqljz/+19If7rm734jVzdc
zTKgGiPlf/cboa6SilB9b1mNTbDWI9QWmWVeoP3zTvsgUGfSUpJTmbRNyXF73IY5QRH1aFFtxzAA
xiDDPp9Z56wOyc5oXG+Ht/xYOiQM09phT+k+O/19wjmkRSBr59nBBmcYd7MeJcmQAaJo/JmwlaVB
3rAeCIBIIVkv46KAH5/p1kHFoyckpGhQVlFiHkTcrJog3NrKRafnFyMzSt03wREiQ3KZKOLF6RqB
a4Shpu2tmyLfV7a+Cak1ivLjkCrHSsDosL1Tsp3NVH5mdsZ24jfq5iYWH9qmvcGQLpEBV+QN9c6x
WaMob47pj8yTlnEgCc1plcAL8BG6bOFonSTsPkjd5q41LFMCB6ygXsQ0K4SXTGFtl1AbtvTxV31l
TJIrJi5pvSoid1gpHVFbukNniOMFMoXGLA9tYK8ACfUO4E2Tn5l0VOz0CSE0VtYNiu9tlFqM0eNj
jazfBtSIFrYrvyaa0cpBNeL+TyouDz9GmAtZkKdZWud8n6Q5GJumhgw1du3CsXqoIdCZi7vAOdVx
JWZjPQux/nd0TBhzbCWBoHHrLvHCzJXwMqbrpZQng3RWtghuW0p407wr+vxzVd1nZUsfkdmnL04r
jzPUcBaW8MpppaWuQ2470AG0jyeqsCQgT++z76TKYaDIQAgTnyqQyy/0sc9r0kepfGqPcJHUzO99
o8B2iOAohSUiI8xjWfKIcDw410efkShAC1jK1vTQ0OAMp3mU05mXjtbo1zYaTaYffvOJvnaO0kP4
ayaMAiNCovofQIFl8wTaIqqkjGJWjzWkh57VpJfswoQlQC1Z1OWogDvoJo0hoMP+1kIevsHCRYBP
X7Q++cUy3BuNcWqVlX1ejhDkaj0tVk/P6X82yX/eJLn9DTaSv6Zx3/WETm792+R2mtg9y6mPH/77
v9gWX/7dS1PIOtJ1ujs43hwcG+xxX7dFUi+ndpEpGBkwwJt2uL+2RZvOj4UyGsfc00zG/NYUAvrE
Zkapx25r8ZbOr8xdmEG8nU5AcEf56vLs6gIMGcO8t/vC6FYQVYYoJZnaYIbv3GJlEjyMZXoSmAMc
14R0jExJr3MZYygGobgu1D657U3LOUQuTs6+cteRZWezQHYccTmVw8S89s0UdBsIzH7WIDWYD0SF
d7HZnrellc463QDNKRvCtINYmUeiLDduYJIHRceisg9DxYrgWuEyAA08q1vvvGEyY2fpBCVG6sEp
Hrqq565K/EnYHaw9xCL71gm1hKAMePW5DoncFeMBLQC7RlfjY06GaNYSqtQobrdCoIpZK3JXIwkU
BPE0oFOLlOqg15xFA6JlkYvuHAcNLRfxwD4562S6TyEADZV+EaYW6A6IRXpDZFuuf7G0sN8qgTdl
Z2EAXcPfvQy5tqd5mFIFjIpc9054zUh/ZivdvrG4mKKWxj4a+MihEZ+YWb0uFOhzQEoPBkopxhV5
CnWzvuewPp54HyrWnFlVJGIVFM3W1ALS0uHO2NawSIpmmZhMI1KzmGtu9qVG0sRxJ1ppCBh7dxJW
RlcF0T+B5MRYOoTYMdWfocD3F8oYbZShOVd0qyUsquqvm3C0jhFqLCURcYswzpeDZOKB7NbfwKYJ
LrO0vECERp+bs5hfmcmq7wcXqV5qnloGswvStpBkoNecD0Cz1m5tehyTXOuYHMzhykjzCyMuTOI9
0bRjYgvAdyYevMKqquW6htpz2tsHZPfXzBRwm0V2dtaVCvKstj34qnkaEDMWx/aNnwwnSYQrsm6o
5KIOO0xZHSuIf1TOyZ3flbs+XJJHDWuwqU7KknTx7BKWjeRoKFDAOTKZD3TulrW2NPt2rrYT50YY
ytzrR2oQzDBDq+5j5MizgZmL67qrvBimYE2C4j7oiaRlGKTKorennx0dF6oyKxOpXuuI4+fs3Zhm
gplerQghRViGAH9deGBTLe3W9BSiTTTxJYnEYdIHIPEllqk4M2oX1n20ABR2UY6B9qktVf5NmIdL
sxHupbCzFXqUgvcdiKEx0lI5HQP0Sxrz/1UotGCdGa51L82i2dVlHNZzctntswTt29bwqmEXmaXL
jlIEMIEzJGOacBHRl81xArn3JjJ84Nmc3cJ9oAcqUmK/3AykIF1VDlo/blWwAbk6fBriKp9Dfs7P
Attojx0nSz5zjnQuRzMcUeDEMW2XzN4F6KN26N1s9rauW9WaNiUrjT1YKTO9GmHfXrkybbaRKtNr
5I/VqmjxIc9KKcrbmp7SokAoe2J2wjpAnpZ7qoPunExA48TSxmZbq6X2SYuSht5e3q96at1dkdjx
cRkI63Qs8+CRURE7Z5UO5YME9EYAQMtVH5suPEQSubI1QZ8SzwXvnLeteoYeSr3ojLY40cgp2qdx
HlzTexCHQljlnlvF2Ruom/fUCjVe2jKEposHcK2hYj/hfOAvgroeziMEjNk/FPPP8/BvtTODAsEw
AWM9CzejA84Zb1ftmE4jbtPRP3Z9P4HDV+btcVS11Qk6dbKNPLWHAguDctC1ZqF18bjocCourZ6E
cLNuru22UlawIOF9OdEUMwH3YmH5oboigAVFpRn6n8BHeT33nG+d2Zka7Wo1PWGsbIIEF+MZPW7O
9J6bHAY/4YsqkKV6Pf4CSv0NmlE0hFplzYLBuipL8JoNkulTu/HdaNENjXclO8Zga2ENJCpUzlgg
mMp4YzwJAb0725HEt4+B1zCUBm29VlM/iBikmvknRQswRFABYS0YtewaIaj7qdL9LYNRYDq6e9E4
yjoLa7DlROfKDFVaUTtAHlVIu1Tje8XwCWFMtZrfyriQfb0PZHnplY47l7laMwOxtkqC9mukDbuE
mhXPDKUZ504XDXMtIG12NNudV+Z7B98lm+VAumLlrzq8IfOoAXeKfjSfFZ3t3wet1W2zFja64kcK
IzzG9fkQMQ8QWrKCuRddyBE7n2z89KQZO2dNGDq30kiTGwcLoJZOTtPqJqr2IcPkQ2OhAA5UX9/7
oV2cYANVL3I8U2dBjDMW5FNb7/iu+z2csPDQqbU40JLhfqffVD04PjnWDNWN4BEVcjbvS69fldOT
MkzPjDs9Pfr0HDXTE5Vg4NwGHvjQWMn6c1mEBcrCjP05qMA/0qcHYlJWt8WQQlKg6K9W8fQEi+lZ
VqenGpVQdtVOT7qlsfvI1ujoULEOhNOKMIzECUkTH3dbZNN9ULiXJKEmn8m4bY/HaV0ZpxXGnNYa
a1p16mn9gUDuX8GSKjdCkepxTFLMPvNtlqy+LtMb0pubY+Bb4ljWnb+D7BGg4rPd2yjRh530FKYl
duycBalgYRT87R0FiH1PEzpY95Fdr6is7TP+tnKKl92ea7itAF1hWCPgeZgyUL2S4XI1CioUeBJ8
bFfE6ER1y4m6lRN6pC0WCM7TOV7LctikZpC2J5kTYbuyCgvXD93ecaEL8uI2Wie8aLKQ+PKGIWXJ
ucyKZQ2CxojrTe6Xrb/XOTbQNa1CE5xHDSl/CYp46HjsQibOKnBHc+YGweBDMO8LIqhGa2S/tvBB
zUtzaqzJLMrXblEbpwaq24Pr99Z5rxAjngijWpaRqV1UY4lK2uBcq64LO0iSJVgc1LgeIyiYlZIR
FI65KZQhodFfOmOgLJs0oQKiLUxEmsOy+XFMEmwkHM411pYhigS3mFZo+9Ko9Yu4LrguWXEOJ3Kc
Ez5BcGgFsrDWs02FiGYVOfV13e7tEeeo76kHFGjyYEKu5mCmeHNq1ABeCEHGqoMuRvMGMZPCRzyd
S+CCJnoYtY0+SxjPqyHq7rUM/K9bGnNXDPqZpxbdSV7zjNpVeRc6d3AwxHbQGV/ZzqDTJmAbMPLC
nDH0XztBTsiVdhERVLjoE5dw487bBKljo+EpVZwDprOr7d7eJLmXIgY1tujHL/K4Yc8LNWOvsP8v
1VHew71Qpu8Iw+wgDWSf3Rnb+fWoyfCLZXbBMbEALZFw+biLGFUgf2J4BLl7WERaMXwRucY92Pi5
NBBC12qEfThEPPOfc97PeFyfz2smx55/f85b3Ka32b846P1rETbfH/amf/zSA506nci4wI5AA7Ce
bK0vPVD1iGHyq/Yo57BvPVD+xAGXgzpA013B231rgk6iO0F3zAI9jTjvVw57YvKzfqsa+J1wWQAP
0vg/U0Oh++6sJ0ulQESsmUQnh18axz5xSmstbXEVeYhtiZJbJgPntZbBZ4haiX3pEystvq7PAWRd
EL/+jonPB1jea5jcK01RltF+jMptDcq9J2vE99pD0KkfCtKq49pfydFaR2PJ9BaEPE2bRO60cm43
7sru+LdFtk+wvJpFchzbxrldWieWbay7wjw3Pe0Em8qkWyKxbTVIsXST4tJV5OVILDTWorkZ5PM4
VWdJfTcml8NkPUzHtTV5tzAVOdI9Zkvda9I8ycz+g4QIL+vsDGXgUg7DOkkRyNFQ4/G/gnlCoItn
XlU2eXlgzFIPO5ETTOFhVrkZPWp/dNvnte9sDKJ5SRJvP9eluFLd8mNkcsk4kqwNzz5GqbeECHGv
1JwmOS+aIGRf3Xk/auROX9J3XyIsZhrs3GdIJt+WflCSdOxK8ADBjyz8zJ6lqIL8rji1huHUKRWy
OALm66OzVIAHtXwzf/8LfIetmXrpEEFUehk0NfBlvf0FKNLcHCiktySmYJT0oNymXPUq2187WBYK
AR1oZWyvG288I+r9Q5uFxp7uvwKDlQOsM3scjLpcjfSa5wy9sCxpXrr08nHfJ/ifi+nM4PrKscps
Nx3pzZpWki7WWcdij9QBvViXLGF9DqQs2LM89wiMEcau6Dl2Bo7Hylzp9wORFbMOJ2ijhuuxojjn
2bsxCn2HxuPgRs0uK4JimwMM3v36Qvpz8uN/+7em5txfKuVfQwG89PV+yAL4S5A7/elZHmb1Vb58
TxP4qb/0Vdn74zf6ObjAy8L7fgr19Hs90Q3+7m2S2zqsmwf47IZ6hHTLYLDErGh68bxQuPovf+w8
gdXRUlrI8acXjwsL/avL9O8uxN9/xu/RC9+/z999gG8NQ0PorNNvNp9fvQa6dWRzFuQZMn50DVz+
eBI502n8X/rw93lDpBS8CuJoszcb6HRy/ZnP/u4dvn3/OqI7S6cQm+aNr794ccTWCQPMer4k033x
Z33xzDuhXvzMh3+XQfDtw2vWEagMi8wxsuKeXu+vAZJ/2FUCTcP0er7Yf9DNPwUL/OY10G1ugImy
ylV4fr25BogyXchVXKAJGsbrj7sG4PBgDTIe+N0LoYGWBYIlLGat0+vtSuiCqzUniJf6v7UKvLuN
vy2Bk1VFN357FdSPbPIUqb1/+Pkd7SmjEXkueoPp9Tza+YMehpcd8b3J55d3A/cImS86X1CLP7gP
HOeISwChiobLH3odBNCw330YjCNU02z7dA1+dBHAMLtM16ALP1+EP29VoLT+3TvB0BgjUqBzrvzh
RXAmxQ72PY6lT68/74l4WRp/d5/UJ4sb516BMP/p9bZWoECybBMMMGPQp9cfVyRqfE2/+0jg2HPA
benmv1kf7SONKpIa8s/dKOEd/ua6oKlHMIldB636mzKBc4IJ1oq74GXR/OM2STo2+ns1wq9uDZo4
MqkO0IDhFp5eb0sELgLelUkl9vwYCGyTf1bNjBpJ/ckTw7tq41vRzInRNXWqAKQTb04M1hHfPsBT
eitPrz9uT5gCA37301MuW1BtOS6/LPrc6K+PTcbR1BhkB35ZBf64W4BVeoon+71zk3akUnbjqHq7
ETguq4Cj6qr1vNj+ScWhDalQZ3H+3Y8OQ1Gld8dx6e0XL0izwILG9Pz57ueP/6xn38AC9fxLPdvK
/2o+/UK3iLv/qSLCo/f8ersAuiqFgE0/4evd/8ctAV8Pi797IVgEqXcw4+J9f3p9dzfwEBgUTM9/
+uftBIiGJ43zby0DlIXu1B4hTeHNswC3FOq1jV//1z/9TywZf7VY50GYPDx1YMPH6hXR9R//wtfe
5Pdv8FqJSG/tzV+cFI/Pb/189J7+9/+82Saf+qKv/vBrn/Tp57z885cP+P2PfvOzvn6qr//PTfhY
3pb3aMufGs4vv+YEwv3v//o/2UNQ3v7rrLx9eKyCN+3BpxbZt1/ouzjOv77+v33/qrpNX7/tc9fp
d9+WVLHb8vXbPndyf/dtN7flcJvdvn5jzbBcSr/ffucwvb0PbpMfXunn4+bv/oifzDz994PZn/pC
d7dlxggjfnuRno9Iv/sJdtynybs3/r+sXctugzAQ/BU+oUnulfqQqlYlitpUPW+ClZiQRDLmQL++
Y8CAWyiqhmsUjZe1vQ97d1ylHSzwxGNTpEpiSY7l8B6qT1NY8cepnknJN0UCNnplTOlXuCujBnWI
e4uHlXpTXFLZeZwauMogWOA3SSW3RwluM5r4nMV+16eTDgzWCtcYcFEs8FbOOovWkhQey2mkCahZ
8A9rxQyZliZuY/E/VW6jewXWkiyQvo4DWPRYYMzxSLMNKR6apJtFfypSoNu+3O2ZN409RvtE7kt4
5bbsZa331x1m9zl37Q55+B0LdPwhTma/484Ul3H3BKqNRdW0xg4T66+rCcMBQDsejxk87N8kIeSE
/KslkxxrorOFRI/l4shU/Jrptc3MYORidUCMI2Xow+uuHJwjs+vnUWVH7WE6yR3THw3d7rfxMjNS
8w/wWIk+iAnD7Eo7c2xiEFuJtTr/NUJ3x8lqqfIzcnIf4lVeTUMzAvJYdoQXuIJR/BmW0FbBih5+
xvjd+Q4r/6sk0I/Xg1MO3ptcIdcHAxFqIm6W4JubYaMN26MIfiMaLZhEDSLuJfGIxxJpN66mUCzp
5Rzsx+tOoIJ8sy3gCX7tZdCTf0Ae7BLZfabE3H4DAAD//w==</cx:binary>
              </cx:geoCache>
            </cx:geography>
          </cx:layoutPr>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size">
        <cx:f>_xlchart.v1.16</cx:f>
      </cx:numDim>
    </cx:data>
    <cx:data id="1">
      <cx:strDim type="cat">
        <cx:f>_xlchart.v1.14</cx:f>
      </cx:strDim>
      <cx:numDim type="size">
        <cx:f>_xlchart.v1.18</cx:f>
      </cx:numDim>
    </cx:data>
  </cx:chartData>
  <cx:chart>
    <cx:plotArea>
      <cx:plotAreaRegion>
        <cx:series layoutId="treemap" uniqueId="{CED649B1-DBEF-44A6-9B71-2D5CFD972715}" formatIdx="0">
          <cx:tx>
            <cx:txData>
              <cx:f>_xlchart.v1.15</cx:f>
              <cx:v>Sum of Profit</cx:v>
            </cx:txData>
          </cx:tx>
          <cx:dataLabels pos="inEnd">
            <cx:spPr>
              <a:noFill/>
              <a:ln>
                <a:noFill/>
              </a:ln>
            </cx:spPr>
            <cx:txPr>
              <a:bodyPr spcFirstLastPara="1" vertOverflow="ellipsis" horzOverflow="overflow" wrap="square" lIns="0" tIns="0" rIns="0" bIns="0" anchor="ctr" anchorCtr="1"/>
              <a:lstStyle/>
              <a:p>
                <a:pPr algn="ctr" rtl="0">
                  <a:defRPr b="1" i="0">
                    <a:solidFill>
                      <a:sysClr val="windowText" lastClr="000000"/>
                    </a:solidFill>
                  </a:defRPr>
                </a:pPr>
                <a:endParaRPr lang="en-US" sz="900" b="1" i="0" u="none" strike="noStrike" baseline="0">
                  <a:solidFill>
                    <a:sysClr val="windowText" lastClr="000000"/>
                  </a:solidFill>
                  <a:latin typeface="Calibri" panose="020F0502020204030204"/>
                </a:endParaRPr>
              </a:p>
            </cx:txPr>
            <cx:visibility seriesName="0" categoryName="1" value="1"/>
            <cx:separator>, </cx:separator>
            <cx:dataLabel idx="0">
              <cx:txPr>
                <a:bodyPr spcFirstLastPara="1" vertOverflow="ellipsis" horzOverflow="overflow" wrap="square" lIns="0" tIns="0" rIns="0" bIns="0" anchor="ctr" anchorCtr="1"/>
                <a:lstStyle/>
                <a:p>
                  <a:pPr algn="ctr" rtl="0">
                    <a:defRPr>
                      <a:solidFill>
                        <a:sysClr val="windowText" lastClr="000000"/>
                      </a:solidFill>
                    </a:defRPr>
                  </a:pPr>
                  <a:r>
                    <a:rPr lang="en-US" sz="900" b="1" i="0" u="none" strike="noStrike" baseline="0">
                      <a:solidFill>
                        <a:sysClr val="windowText" lastClr="000000"/>
                      </a:solidFill>
                      <a:latin typeface="Calibri" panose="020F0502020204030204"/>
                    </a:rPr>
                    <a:t>Car accessories, 302517</a:t>
                  </a:r>
                </a:p>
              </cx:txPr>
            </cx:dataLabel>
            <cx:dataLabel idx="2">
              <cx:txPr>
                <a:bodyPr spcFirstLastPara="1" vertOverflow="ellipsis" horzOverflow="overflow" wrap="square" lIns="0" tIns="0" rIns="0" bIns="0" anchor="ctr" anchorCtr="1"/>
                <a:lstStyle/>
                <a:p>
                  <a:pPr algn="ctr" rtl="0">
                    <a:defRPr b="0"/>
                  </a:pPr>
                  <a:r>
                    <a:rPr lang="en-US" sz="900" b="0" i="0" u="none" strike="noStrike" baseline="0">
                      <a:solidFill>
                        <a:sysClr val="windowText" lastClr="000000"/>
                      </a:solidFill>
                      <a:latin typeface="Calibri" panose="020F0502020204030204"/>
                    </a:rPr>
                    <a:t>Earbuds, 175093</a:t>
                  </a:r>
                </a:p>
              </cx:txPr>
            </cx:dataLabel>
            <cx:dataLabel idx="3">
              <cx:txPr>
                <a:bodyPr spcFirstLastPara="1" vertOverflow="ellipsis" horzOverflow="overflow" wrap="square" lIns="0" tIns="0" rIns="0" bIns="0" anchor="ctr" anchorCtr="1"/>
                <a:lstStyle/>
                <a:p>
                  <a:pPr algn="ctr" rtl="0">
                    <a:defRPr>
                      <a:solidFill>
                        <a:sysClr val="windowText" lastClr="000000"/>
                      </a:solidFill>
                    </a:defRPr>
                  </a:pPr>
                  <a:r>
                    <a:rPr lang="en-US" sz="900" b="1" i="0" u="none" strike="noStrike" baseline="0">
                      <a:solidFill>
                        <a:sysClr val="windowText" lastClr="000000"/>
                      </a:solidFill>
                      <a:latin typeface="Calibri" panose="020F0502020204030204"/>
                    </a:rPr>
                    <a:t>Home décor, 961505</a:t>
                  </a:r>
                </a:p>
              </cx:txPr>
            </cx:dataLabel>
            <cx:dataLabel idx="4">
              <cx:txPr>
                <a:bodyPr spcFirstLastPara="1" vertOverflow="ellipsis" horzOverflow="overflow" wrap="square" lIns="0" tIns="0" rIns="0" bIns="0" anchor="ctr" anchorCtr="1"/>
                <a:lstStyle/>
                <a:p>
                  <a:pPr algn="ctr" rtl="0">
                    <a:defRPr>
                      <a:solidFill>
                        <a:sysClr val="windowText" lastClr="000000"/>
                      </a:solidFill>
                    </a:defRPr>
                  </a:pPr>
                  <a:r>
                    <a:rPr lang="en-US" sz="900" b="1" i="0" u="none" strike="noStrike" baseline="0">
                      <a:solidFill>
                        <a:sysClr val="windowText" lastClr="000000"/>
                      </a:solidFill>
                      <a:latin typeface="Calibri" panose="020F0502020204030204"/>
                    </a:rPr>
                    <a:t>Laptop, 1545402</a:t>
                  </a:r>
                </a:p>
              </cx:txPr>
            </cx:dataLabel>
            <cx:dataLabel idx="5">
              <cx:txPr>
                <a:bodyPr spcFirstLastPara="1" vertOverflow="ellipsis" horzOverflow="overflow" wrap="square" lIns="0" tIns="0" rIns="0" bIns="0" anchor="ctr" anchorCtr="1"/>
                <a:lstStyle/>
                <a:p>
                  <a:pPr algn="ctr" rtl="0">
                    <a:defRPr>
                      <a:solidFill>
                        <a:sysClr val="windowText" lastClr="000000"/>
                      </a:solidFill>
                    </a:defRPr>
                  </a:pPr>
                  <a:r>
                    <a:rPr lang="en-US" sz="900" b="1" i="0" u="none" strike="noStrike" baseline="0">
                      <a:solidFill>
                        <a:sysClr val="windowText" lastClr="000000"/>
                      </a:solidFill>
                      <a:latin typeface="Calibri" panose="020F0502020204030204"/>
                    </a:rPr>
                    <a:t>Male dress, 1153155</a:t>
                  </a:r>
                </a:p>
              </cx:txPr>
            </cx:dataLabel>
            <cx:dataLabel idx="6">
              <cx:txPr>
                <a:bodyPr spcFirstLastPara="1" vertOverflow="ellipsis" horzOverflow="overflow" wrap="square" lIns="0" tIns="0" rIns="0" bIns="0" anchor="ctr" anchorCtr="1"/>
                <a:lstStyle/>
                <a:p>
                  <a:pPr algn="ctr" rtl="0">
                    <a:defRPr b="1">
                      <a:solidFill>
                        <a:sysClr val="windowText" lastClr="000000"/>
                      </a:solidFill>
                    </a:defRPr>
                  </a:pPr>
                  <a:r>
                    <a:rPr lang="en-US" sz="900" b="1" i="0" u="none" strike="noStrike" baseline="0">
                      <a:solidFill>
                        <a:sysClr val="windowText" lastClr="000000"/>
                      </a:solidFill>
                      <a:latin typeface="Calibri" panose="020F0502020204030204"/>
                    </a:rPr>
                    <a:t>Saree, 6353495</a:t>
                  </a:r>
                </a:p>
              </cx:txPr>
            </cx:dataLabel>
            <cx:dataLabel idx="7">
              <cx:txPr>
                <a:bodyPr spcFirstLastPara="1" vertOverflow="ellipsis" horzOverflow="overflow" wrap="square" lIns="0" tIns="0" rIns="0" bIns="0" anchor="ctr" anchorCtr="1"/>
                <a:lstStyle/>
                <a:p>
                  <a:pPr algn="ctr" rtl="0">
                    <a:defRPr>
                      <a:solidFill>
                        <a:sysClr val="windowText" lastClr="000000"/>
                      </a:solidFill>
                    </a:defRPr>
                  </a:pPr>
                  <a:r>
                    <a:rPr lang="en-US" sz="900" b="1" i="0" u="none" strike="noStrike" baseline="0">
                      <a:solidFill>
                        <a:sysClr val="windowText" lastClr="000000"/>
                      </a:solidFill>
                      <a:latin typeface="Calibri" panose="020F0502020204030204"/>
                    </a:rPr>
                    <a:t>Speaker, 380946</a:t>
                  </a:r>
                </a:p>
              </cx:txPr>
            </cx:dataLabel>
            <cx:dataLabel idx="8">
              <cx:txPr>
                <a:bodyPr spcFirstLastPara="1" vertOverflow="ellipsis" horzOverflow="overflow" wrap="square" lIns="0" tIns="0" rIns="0" bIns="0" anchor="ctr" anchorCtr="1"/>
                <a:lstStyle/>
                <a:p>
                  <a:pPr algn="ctr" rtl="0">
                    <a:defRPr>
                      <a:solidFill>
                        <a:sysClr val="windowText" lastClr="000000"/>
                      </a:solidFill>
                    </a:defRPr>
                  </a:pPr>
                  <a:r>
                    <a:rPr lang="en-US" sz="900" b="1" i="0" u="none" strike="noStrike" baseline="0">
                      <a:solidFill>
                        <a:sysClr val="windowText" lastClr="000000"/>
                      </a:solidFill>
                      <a:latin typeface="Calibri" panose="020F0502020204030204"/>
                    </a:rPr>
                    <a:t>Suit, 5033368</a:t>
                  </a:r>
                </a:p>
              </cx:txPr>
            </cx:dataLabel>
            <cx:dataLabel idx="9">
              <cx:txPr>
                <a:bodyPr spcFirstLastPara="1" vertOverflow="ellipsis" horzOverflow="overflow" wrap="square" lIns="0" tIns="0" rIns="0" bIns="0" anchor="ctr" anchorCtr="1"/>
                <a:lstStyle/>
                <a:p>
                  <a:pPr algn="ctr" rtl="0">
                    <a:defRPr>
                      <a:solidFill>
                        <a:sysClr val="windowText" lastClr="000000"/>
                      </a:solidFill>
                    </a:defRPr>
                  </a:pPr>
                  <a:r>
                    <a:rPr lang="en-US" sz="900" b="1" i="0" u="none" strike="noStrike" baseline="0">
                      <a:solidFill>
                        <a:sysClr val="windowText" lastClr="000000"/>
                      </a:solidFill>
                      <a:latin typeface="Calibri" panose="020F0502020204030204"/>
                    </a:rPr>
                    <a:t>TV, 827105</a:t>
                  </a:r>
                </a:p>
              </cx:txPr>
            </cx:dataLabel>
            <cx:dataLabel idx="10">
              <cx:txPr>
                <a:bodyPr spcFirstLastPara="1" vertOverflow="ellipsis" horzOverflow="overflow" wrap="square" lIns="0" tIns="0" rIns="0" bIns="0" anchor="ctr" anchorCtr="1"/>
                <a:lstStyle/>
                <a:p>
                  <a:pPr algn="ctr" rtl="0">
                    <a:defRPr>
                      <a:solidFill>
                        <a:sysClr val="windowText" lastClr="000000"/>
                      </a:solidFill>
                    </a:defRPr>
                  </a:pPr>
                  <a:r>
                    <a:rPr lang="en-US" sz="900" b="1" i="0" u="none" strike="noStrike" baseline="0">
                      <a:solidFill>
                        <a:sysClr val="windowText" lastClr="000000"/>
                      </a:solidFill>
                      <a:latin typeface="Calibri" panose="020F0502020204030204"/>
                    </a:rPr>
                    <a:t>Women dress, 590111</a:t>
                  </a:r>
                </a:p>
              </cx:txPr>
            </cx:dataLabel>
          </cx:dataLabels>
          <cx:dataId val="0"/>
          <cx:layoutPr>
            <cx:parentLabelLayout val="overlapping"/>
          </cx:layoutPr>
        </cx:series>
        <cx:series layoutId="treemap" hidden="1" uniqueId="{25DF03AF-CF72-40B8-894E-B6A82DB08E9C}" formatIdx="1">
          <cx:tx>
            <cx:txData>
              <cx:f>_xlchart.v1.17</cx:f>
              <cx:v>Sum of Sale Price</cx:v>
            </cx:txData>
          </cx:tx>
          <cx:dataLabels pos="inEnd">
            <cx:visibility seriesName="0" categoryName="1" value="0"/>
          </cx:dataLabels>
          <cx:dataId val="1"/>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plotSurface>
          <cx:spPr>
            <a:noFill/>
            <a:ln>
              <a:noFill/>
            </a:ln>
            <a:effectLst>
              <a:softEdge rad="139700"/>
            </a:effectLst>
          </cx:spPr>
        </cx:plotSurface>
        <cx:series layoutId="regionMap" uniqueId="{D4D8837A-ABA4-40E0-8ACA-B248B953FCD2}">
          <cx:tx>
            <cx:txData>
              <cx:f>_xlchart.v5.12</cx:f>
              <cx:v>Sum of Sale Price</cx:v>
            </cx:txData>
          </cx:tx>
          <cx:dataLabels>
            <cx:visibility seriesName="0" categoryName="0" value="1"/>
          </cx:dataLabels>
          <cx:dataId val="0"/>
          <cx:layoutPr>
            <cx:geography cultureLanguage="en-US" cultureRegion="IN" attribution="Powered by Bing">
              <cx:geoCache provider="{E9337A44-BEBE-4D9F-B70C-5C5E7DAFC167}">
                <cx:binary>1H1pb9y4svZfCfL5lYf7cnDmAFfdbdmOndiJs80XwZM42leKkqhff6tjJ2NznDijkwu8MQIEtlpU
qYpPVbHqIfvfH+Z/fSivr/onc1XW5l8f5t+fpsPQ/uu338yH9Lq6MgdV9qFvTPNpOPjQVL81nz5l
H65/+9hfTVmd/EYQZr99SK/64Xp++p9/w2jJdXPafLgasqa+sNe9e3ltbDmY71x78NKTq49VVm8z
M/TZhwH//vR/6o9pf/XkvL/6eG3Sp0+u6yEb3KVrr39/eu+zT5/85o/4t6c/KUHAwX6EezE/kJxz
rDTSNz9Pn5RNndxelvpAC84w1+zmKv3y6OdXFdz+42J9Furq48f+2hh4u8////3+e68Cl8+fPvnQ
2HrYKzIBnf7+9Lj+mF09fZKZZnNzYdPs3+P4+ecX/+2+Cf7zb+8PoArvL3es5OvtsUt/N5IxV9UX
Bf33tiHigHJGlQbrPGAbTQ4UkRwMRx+2zWPSfMMkN7f5lnj1S1kizACUP9ES/EBIrTjmFH3+wfdQ
ouAy0kIwTb488wYej4rxsAlub/NMEL78pUywvS7T7Is6fgIY1IFglGokxEMmkPIAY84k2OgGDOLL
o28s8ag0D1vi9jbPEtvTX8oSz676+mq4KsBt/rSwwQ4kRowwRh60hjjAABiAy8Ou6Ycketgid271
rPLsf34pq2zSKwhlyVX/E6M5RQeSaAga6mGQiAOpEMeSyxuQsC8z4gYkPybSw3a5e69nmM3RL2aY
9GoYMvNzTUPwARFCMc0fRIwiB4hhCOfICyGb9Mek+ZZV7t7t2+Xyl7LLy6v8ygyAmi+T9icEFXHA
FaMAF3XjxkD5d7NfeqA4wlqoWzfGvzz6Bi8/JNHDhrlzq2eVlye/lFXObZ1f/flFL/+9ScCFKUZg
wUHkfVvwA4bBTBrd+i5vJfK4HA8b4st9nhXOw1/KCs+u+6vyZ8Z3dMCYVlJKCBF3ESEOGFJEgCm+
AuYmp7hBxONyPGyFL/d5Vnj2ayVakc2v+qvh54GBkAOhicDyG2kWPuBaIgGZ74NJ7w/I87A5vt7o
2SP6tXzTUVZdQXWm/PllE4oPNKEcAvqD0RxWI4QKgumXuOKtRv6JYA9b6O8jeKY6+rVKJyewXi/2
GfFPBA89EFxgor9Eb3XPlcGinYMfo0TcVlfA0911ZT8k0cPGuXOrZ5WTXysVPrv6mLr/g6ojoQec
KliH8Nu86349RaoDopQWlN4u5r1Y/+NiPWwf/37PSGe/FnTOrgA7VyYd+p+ZAOgDBisVRaG++PnH
sxAs8JHSlNyWhbWXGf+gTN8yz50X8m3zawHo8qrKyifPrz7aL87lv8+QMT5AWGCE1H2HBqhhSCKC
OGTOdz3ZjwnxsC3u3uuZ4hJK7r9Qcf7yuryqk6v6Z4JEHoD/EhwK9PdCC3RNENL7tf4tPODyPYP8
iCjfsMdft/rmiH4pc7weBmi7/fR+FvRMPidmGPDxgN9SCIK+oJx8yQm8yPLDUj1sHe92z0Kvf624
8vllrn5yUgbLe0i5EJTCxM2S5W/IAf9FIWe7uerHlR+U6TvW+fJCvm2e/VLoeXtthifhNfiz8otr
+e8DC2Rlat/rRfJ+6UXJAy2J0Oy2CuYb5QeFedgo9272jPL2/+8izMPB78bR31jj3if+YWce1v7g
p5jG9G8QoYJKBJXJrx7ubnC5bZB/W4yH7XB72z2J/4+77d/uxH9lLGyhb7X7THW404z//tXPrwc0
DO/W2wD8IEpudHX8EegQCBMiqb5jq/0496L32XUCNYUr9zWRuH/jNRSpf38Kzfl9LZ8KjjGhiAkY
cgLQ/v5U6QOFIQgJDPW12yt10w/p708heCEBT9daKjCx2APNNPbzJX6wz+ywJnyfb0gtv/JNzpvS
JU39VSu3vz+pbXXeZPVgYGAKiG5vPreXFrpAAjFI7qFrrRgMxmCOtR+uXgKpBT6O/5+N00HxSoqj
XvcsOSJdIeZQ0WXuQ6yz9ONclOXJIOa5PeZU2FcMO5XsxITz5TDRMX3d5Xl1XA9CFNtWFOMcVlkw
xRs+DXMXVUFKX2sj6Vk8TehFFQR8OKe8FnQjZ61syBjL9ZFpGlVEyKmuPUVBMx87U9UbzpM02al4
SC4NlzEKx6AcNtbi4FJj2z1TVtp3LZvLsM6V3mFUFpuuVi/R0mfbkaLnzjVjqIu2q8PCjP2Hruza
aZNTU3UbeNnkFOVGD2HP8HLKU9OW24mlaQhEHhWxpayOpO2rFx3JyFHM1bxN+EKPXOayI8I6vakD
NyebqnTiYkqpvlSNVtGEi+msVaXe5K4aQ6op2tG+asPS6npDUrEhIyPtm7FRk30ZN3Mrw840L7EO
WrWZ2sxVuwayFnRKSJwlJ1M9jRfdWAq3SeqGJaddNuRTFKtxpOE8lUkR6rqbk63B8dxuk4DWKnRN
PoyHCXbGheWoA3yxQOXQvegTJeoLzFCQhAvq4v6oyIM+Pk5bhZdjiwaRn8TjpOm2yWM87qwVfDmk
Y1q+G0vS8QtV9QM5xItSKixTwooNsaRwIV3MaA9jYcZIDij9iJo2kZuqrXRU9xa/4fGk+22CkuSw
yc0nrednNpi6c1Irctr0ri1CioKjYFbjOyn6OUxRfD7NtQhFNw1JOMyVPqP9tK1cl13grECHApVV
2JRxPocdR1NkWG0+0mqURw0J0izKxiXD27JB3bYQrbrkMo+D0MlGuG2VDepViQN3OsXZsmFzxvcU
rPLVULhua6kuQ93UaVQktDlBsq62gdHJDmXqxPZO79yCl8u4zvDh2DX8RIichmkeRFmN0YtE2U3R
GPPKsTzbpFiYF0GC48OpmJIqHKhlISt7V4RNk8oq7Cr4e9QEU3nKJVFbGKvfuqqsTvuO4SLEOcsu
YbbaZw2iON8g0rgpdDrLj11STG3YxHZbWSzCsk3scTJOxQut4vH9ALaNw6SJsdkkZHZJ6KZ5RuES
TNO279M6rCr5Zs6y6qJzTdRMebnrNFreVPmYfeQkmHa9ku2ryiYmkqnNQe+5i0SedO+lHthxGSz2
rB3cdWNtW4WtI9VOzfFwVAR5fih6GRTv2mASr6bG4WKD00L+0boBmx2qBDueyjE4nOfZbjPS0p0I
iN3xsbOHqOu7aNFy2vQzLzcVpsVhOedow/qkPCp1cIKqQYCHqeYzwZF9FyMz0dAk5XmiaXdi2rw+
6VyqXyS0i6/YNMbD5i5r7J4j/dC0rs+S9Ja79/XX/1w2Ffz7TCP764976t9fv5194Qx+91PRdbNv
mhj/Q/uw+HWsvwhr+zj0lb3mBbcbluE3It93L94Li/eC/5e88nN0w7BO+sor/FtEvJdyfP38bSCU
0LfDknJOmQBOyF+BUKgDrCGiASNBQ08JZvHTJ7eBkMoDSEIh0AkkNIUaFNRmbwMhUBggdFGInURC
F0oD5erLe9+zH2QADwRCGOdOGAwIZpJBFXIfaO+GPxPPcVNkWhyleKv5CzNC4+Pr+/+DcffPuxNW
NclGYcpZ7gaelmm4LM69TYmYb9iLN+TFfzA8WOXu8DlAC8Bcy13ad33/chILSi6TeWk+fV98aE88
qBZoh98dX1dLoWwRix2kIWa5aHGlUZjSnOMQMVSRkNFuiA+//7Bv2QDMf/dhBmyfT0ktdrOhioYK
0aQPGyfUH98f/36q85eN0f3xpe5Qm2sndha37AzjiVWvJpQjcerUUM9RIBfRhxBZ2pfff+A3XkhB
ynf3hVqF2lHuHziWWs4nTWpju2HGptnu+w/YD/RX8vb1jfb1v7sPUNkyocFSvpsKI6cT4WhMNm1h
SHrKizQnZ9gWFpIh09VOhqhkuDtEdTr2R99//jemh/CeX+lx4rlNZFSVpotfyqrq7BvaLRqdDEGq
5QXkqVQcf/9heG+nh952b9c7WGplZQpuHN/ZJBm7jSIqkhR/agvaTUXYJdNYhdbJ4LSZElzsLIFs
sg6DRJEK2sor0Kz2ergjQZlAKlfyCfStCN/Qvvkk+ZQ9osxvzRbPBTXgFiblBr5zzsh3qHFNGI82
f7FOdM8RlSrPhKE93xU0y64RMNxP6yAr7E1A/KeOSHmOCNIW3nYp57tykOMbPHUsnONFrnNzynND
fTnlbQt5525ogmXZoTkY+61om0auFN9zPWROsHJlDq6nYTbfOCFmFnaQbuvtKvULz/eUPRXYzbmM
+qCdomTArAwTqpKPq4ZX3vAkd0HdmDaI6sZJcW4y6A69qYYh+LRqfOl5MqOQRdPMVbQ0uNq5hAV9
OGeF6R/R/36OPwBt6TkS3RSstMTFkP+qpTqcetyOu3JyONt2Wcr0ysd4HoSyJlZTG8hoGCwZjmrR
1Gi31Licd202TPM6JEvPTXTN2MV0rlTUkmK5LHqXvqhhcX/5fVt8S1een5iKWeEJUqiIBHO2K00v
6WnCXNO9Lbgq5kdUtfcLD1lk//c7ri5VSVtA1q+ivmTuOKgW9EInuC+hQrfCk0p6f/gmzhwC5YjI
yo7MIcpn9l4sTbtbN7znMOwom33JQ0RjCRYYyqTaMRvIdqX0nruwGa1d6XKoDpixABs4NQehQS5b
Vj7Aw3OhA97pGbSvcdXVxy3mNazCcrlM56sUtE/C75pXEkcNDmYRaZNmb6Qy5nzOks6tk194QJOu
B+I+9CWjlrIhOxoWOuswLaoJrYOY8CA2Z64TA+llVJikZcemIqMKc8v6x6Lx3vM8MP+FhzKX5Amq
JjBxF7u23+YJlfK8CpZRnCRDXBW7OSGufldWiv5h62SqV2Y5wgNeOSexbJYJXGGpyvYkDUwsYeFQ
aMga1TDlbAjrIV/GTZaKtjos5iWRW8Em2rwaoXBjVyrYA6iLRSBVEcRRJQO7pdkkIyVL+sj8wHuk
PKRecn/+8XGYs450OqJQpWt2C47HYcfjZSmPWk2le5GYqvnUBmyqjtiiav58ppTUZ0Qqlb9TBeH8
EVG+4eiEh2VV57xtpoxFrYwN3YhFX7fzPHXr/Cj3gGZxL1SeJyxK2lm95xB+nhsUVOv8HN/P3jte
uqNJnQeB1BEvYSWzsVhVS2iz3plHpsE3YLBnEtx9gMk6x8ncq2hwU0yOFet79OfcYoBESlLUhHW2
r/mQRbTJh7ZaDFmpNw/gdKpLsHIvIqHiyoZtR0wVOsuClS6WewBf2FJ0FopTO9txvBNuTLaLaILt
Kv/KPRSLWKM67+YlMjYZoqWWeSj6Nn/ESXxjznIPnMAFSYMZ1llRTrJqQwacb2PXkJWTysMmLEQa
hbNmiQisG0OU4rd1wh7L9L4lugc3LNoaKvXJEiXSDWfW1QjiZ5dCQXOd4r3ImeZ2aGnvliiIK31M
xrnYxlSxaNXozEMzbUfeQm14iYaYsM1EpQlNhbN1svs9GFWTRY0SzBoMJN0U1I6hKCRb5+iYB+Uc
BT2aYrNEHc7KQ6PrZDNythx+XzN72Dzg0JmH1zrm6bLgYIqmgF/DSrAYD9lQtHU0TFKsfAMPsnSU
Y50X8RRRAO5LPTT5DrOmWLdCZh5khxpylWkRU9QwLo6V5nabu3qlu2EeZPFQlbFachslpmTPsrKS
Z+1crhTdQyxE0rgoMB2ibt+v2fScmI1M5yLdft+43wAt80DL48QUwQKVl7bO5pNiSIZTG8flSlB5
kIX6aDBimw+HvU0m84pOSJUveK9Eum7e7Lu5d4NYgbOxS0YyQ85ml03R8vdOu/qRif8N3eyb83cH
53lQMAV9ll1XpjikxpKw09quFN0DLW1zRuJcjaD54H1PIAGr9RyvMyv1MFu0Sx8ERtyKzkhHQj6K
taL7aOUqtiqF7qGeoGhM9qOb9YrZm+NO5lOgsY1LA6PPuU43VhU2FILkK9XuoTVlXDXQfofRGbnu
MlYeJhk0MlehiXpoLeDoCZUlMLhebBWVUvewNBLzutxg30S5q5h5oDIuXTHu+BBP4YxHEuL2S+Pr
n9b5qIfVKm1J3VBkd/W41OGUZtc2X/A6rRMPp2bph7ZJJ7uripSFgvH3wWjIysE9nKKY99SlwbCT
Haq3Zs6ujF3MysE9mHZGzzlkwnaXC52GIs/K0PZErhzdw6mkeZBkgQbRtcVnBtoj57FMynUtKuLh
dLaM1EAJsdGC4eCTcKmV4NtgCJRZN9+JB1XSzbqybTJGjlV1Hwa05VE7keHDKjgRD6s4i0nfzBVE
1tiUJzo3eGuK3O3WjU7uw8n2cUsTx200aPoHzsmFYfRi3dA+Uo3LK+eCIcrS4Dm4x/eOyJX1NeLh
VEM3X+JaDlE+pWprU37ZFHGzzqDYw2ldmKAH0o6NgmzINmUuTyXp0LrJvmdS3/Vf0BaeWjOrYFeX
88fM4beEV8DVXFF0xB5KVTYlAcRrF8GwZggXYlIROkOTda4XezgdE27TgvVDBIQu9I4BiyYLTbbg
dZkG9oBqu5KgMm5sVDX9sm1m+WeatfFKtXsgjVXWyTHrbcRd7zZV1YLoxWOd1/0gDywO9uSBuzbV
tWBZG1RDBLQ3faZMgs/KIG7frjOrB1EykKGHY5NgOqZxGtJqeidVttKkHkYX1ug8Tgsb9Rx4VljN
78tOna+T28Mom9g8ZRTGDnJzyaw748ycrRoaeQhtpjhOBpoMOxQHwSbI49NsQSvrA8hDKMZtK5eA
BDs4A+dF5eR71btynWtBHkSDFPL0vgGdlGl90STNYVyl6zw58tDJ2snRGYreu2YZj/qJPGN8XQRF
HjBbxwfRtLC2E1VyqpoZuG7xus4n8mCZlcOc7pmOu7Z6vYx2k8s362aIB8lS5327FGBElhZ/9rO+
UItY56f2B1jcRbvtxmJ2kxgiZ3J8ubiBRLmlZrtOcA+RtI7nOs/0EJkAuvukLo50rN+tG9tDZFFm
QDDFKNjxDLLbAIkrBrzNVR4WNgLdVwtM7K4rEYTkNANqLTcs2ALvd1wFHNiqf390ZUY5MD4Gu068
6putgv7yGp0w4Bnfs2aapB3rUjdEVgG/YqKmDXEnLtcN7mFyAvKIc3Vsdjhtj6YS2u0dzYdVMwU2
X92XvLcWFUEJg6uSn1PbfsiY61dqxcOlZtyhTmmz6yt6zmHs2Y5rx/agiadMUjpjKBsDkfzUqiQ/
6dgsVmrFQ2dq2FhCPgsThS8C2L/561KkqxIs2KpwX+OztmwqNCB/pm4AiiqLRbMlkAFlq1wL0x5A
26liMbAohihh7VUwjW+h+fB61VT0yVojpagXFPRibcK3nS2ykMJxe6vyCCgI3ddMn44S6tEzCD7P
57ZBJ/PYrUSo8hCaVxIxmVITqYKelUA43ME5HmSdxn3Kk0164FzacYhQW16woNzkfboqSWHKxycP
apfQykSEcLKZKtxvMMs/rTOnB1AHHQWjqsEAA0C8T8x8kkn+at3QHj7nfogLRYI+cricwrKR3WFd
5euoC8znOjV8qvUI/JoIWkjLtl6a55ICfX+d6B5AbUtMkeKpjxrgp5ShsX3wLBiRe7lueA+eU0DB
KzILFh3dRwMZ3GzUn6uG9hlIAwSetBWNiQqRvJzb9hhV1bp56JOPxlgVIi9ZHy1jl+7GKSHboKw/
rJPbA2e2sNj0c2EinbabgrnnlXos7dzj5O+rKubTjKYA6sFjK/sorUZuw16K/KwT7RxOObFus05+
D6S8qOe6aHgflRn9o0zZ26AtLtcN7UF0BhJiKWTcA/5HczSaHod4ZOtadcxnGCUk5VlPCQjO8Ntq
DOqQBe2bdZL7MXTu2qJHqYk4ydi0W6h1LKxVmRbrgrT0cMrSBHaPqBKm5BxcZBW5zLp1a3EmPYyW
Ge9gwQxDx05fDCh7EVOxqg31eYvb3cS/VC6uutH1EY0rEgWKDBc4mbJV5Fvmk42JHBEfM5iJMVpc
6GBvCGUrGV3MJyxVcxwMs0n7qB5bFKJRHnZTsq46DLse7gf/oWfWMg0qB/f4bHTkWcnndRjyaUp6
Skqbd0kfyTipQ7m4Z7rP1vXNmE9F0jBL0EyKPsLNeE5xd9qjYaXcXgztM+hOiCnoIiPU2wz3F2XR
rVrEMeGBM55ZVSRt3kcCNBNq4IWHnavUOn/o04UGmndB3ugO+jYp7B4kxYUN9LoU1CcJIwTrrJqj
LkoyWuXhBIWKnUWBWKcYn4qU5xpoY7kD3GhXbZQV4mWZoWWdRX0q0phzEQMZbr9jqycbbNhziKTr
uufMpyHZoFYNnxuYLo1mqABf6wqThkqPxaoaDnT472MU+LNIJ3MNuk/SSW5qKJ5Fccy6dX0E5tON
XGGt6qu4jVRgim4zTm31ycLetpWLRp9whCuC2AR7R6M+dWZbJSKHva4pP1wV8HzCkZTzrNCI2siW
gmyQAOI3HFO+0j9yD7FDCdx4Q+sW9m7KZAjxQoqrws11Eq6T3oumc9aLfppBN02aN2E2VK/nEq+L
edwPp6SZqkBa0Hut2iNnkDmcyiY9WiW5zzca6UhdW05tlMd8eYuaODmCI69hl+y64b1VKQU/yYkD
s+o67syhtIqykMeN6FY+wMt+oRlXNHU7guapmY77Xr1Ou3JdbZ75lCNZVARIwH0bSTa8yhJzMRXD
q3WK8bLeJHYTLcuki2St/6ibCYcpY4+RX9nDebtPNOqgZK4CW7UR7XP1h4SmwpEtqnHllPEi64CC
2S2UNxEgVYcCqC9h4AK5W6cYD6q9C6BHX8LofHQ25Lg9KerHWEyfU9AHFjQ+zajLZqDXKdJEoyiS
OIRucQ7ORmZzsUkqnRRHVeumV7Yy5TE1NBDRkKYdv4QtbrI7h/qf6V9pWQnYd5wNzVFe1EyEssyg
GJ/MnUJTuLC8619PHQnsBrmuLq6aNA26jYDEkmwxh1r7TrYWtiKXGKpkGwFd6vnYdoHKIyLnlB3H
TT65DUZQTXgXALPXHWKaG7mlcoYxpzIb4DiETqcGdtuRxR5WhMzL1owVrf+YJWPx+cBEkP9pMO+6
SC1Ej1E/w/tu22HhuxyNXG1qSWCftHAysUcJbhJ9KlQNW7VQt5BXROkpHInoj9vM9EuE4LQBdzhV
5ci2I+wP57tRTgxK2GU6sk1StlUD+azWbqP6jMqwarIeP5vqONfHJcUDixbQ9rThtBiPlyWonvf1
iNiWoXFcwjzu4wW2yOeNXJeF+OyXrs4G4LfrJtJQbAs5yU/TJVm3a4X55BcErwZnobdN5Jo2rrYN
mvJo7mC//rrsj3nevpqZFYWlTSR42kDJKghJQvU6Z+nT1CiLHWTBZRulorqOWfEqltlKpXuOfoQ2
0lwSkJvbODK6PIk5XlfZ/HywyB0iFh+BVoOh/BUROM0hjAMNB1GUuFmpEy8t61FCRQEdxygheR7O
RfdJ5P26jJV6Tj6HvbljLVETWWfb57D9Kztq6FCt88N07/3v6CUVGbI1ESZK+oKdwukmOewrsMP7
VX6Yel6+r5JxHNuxiQqV2De96hboRNRqWKl2b55jONJiCSgYVSQVn3fE1HYJZcCLbrtKfp/qNVTd
FAfp0ETQqPo0teyEB2bdlgtGvMne2qkfOzjgI0qRBh7ZYORcbqjOyad1sntJzci7hY6WtFHZ6UWF
suko9NgVnNOyTvvEm/RTW5cYzQkkCPB1U6GVU77LsmxlguDzvVo5xfmSQAiHHk2/AUaZ2MDpHCha
pxxv2k8Idi/zrG5gJyocGCToyAc4u6UX6/j9zGd7mbxOgMjUgCerrTxJa4r+gDWtW1cKJuQ+aOVc
dUtlIF+FUtZ8HLPYRhINcuWk99YhhMLZP9newedZlWzM1CWhHapq5azxMdvj2c6wTo4CV9PrFNjm
10tlq9sjT/4h85P5pC9OaJ2nedFGXMgxOC50jTcITnPij/QOv7G9n/nEL9gPGseiVHW0lJj2l22R
jc0mljVpt5NpgkvYEfY8CHSZbyGLK/Qm0bAYPUwDzpt11vf5YbCRViCbQ/45uS5Vm6DK4QCKKq3b
ct0y2ieICUQXWLPsPVM84PhZlSWwI9x1bkDr8hOfIrYg28OWVFJHcJJyVsC5UPnEwrxg48ocBXvw
Fmap+prAA5wlQFte7Ftg739Y5Tp8llg5VG7Qdqmjtq/NZk7op2XgawX3kJ10CzamkFUEue1hSYoT
Qsy6EsDnPY53Ij0cZoaSCU4QiQY2mk0RMGg1TMvLdUrxUD2kZZ/gaayj2PZqZ1OShBXPVoZKnyc2
SfiKvRosGmX9HPxZ5RP90AcQblbJ7hPFTM7gpLIaVxGkK8/luDwru+SRs1z28+2BpaLPE0tm6DOK
vqkjM5P0BJe9CuHrAqd1Qcynik2FyNRY0CqihWqSMFeqO0mlrdN1MPUJY0zPDRU1qiLJ63zTaXVU
MOzWxQGfMta3dZLEOqsjzdLp1PQV28ghHy++b9N9cvyQ4r3EU0+FGycM8b1cWAdZMzKJ3pUIN81O
wMKoXpVjUZ+7AwdyxHE79GW09PJPWKifVTJ9+/03eHjq0P1RUncTczYiaA3CdizYIdjEORy6Z8fr
iXbrzgaAc/3uD59BrlyncV1GulUxVHeMOq4Et6sgRfffL3hX+Ibkdl56ED5OUljjY9KGcObDOndA
ff6OFot03ECxA08Ddts6g+bvJq/rfFy1WIQzAO6Lr8YpbiGNKCOcwvF7KkHovIHNU6t8JRSg74/u
RAYr8qkLtglO5uYkRxg9J6TldpX0zCc2KidiOKYzaSJk6dCGMIvyvb9HutmumZoMeQliFWSmG3UG
DpOTV3ZAL+G8wFUThyFP83AkyaBQD7JDyRcOOeyhv7RYXK/yOXBg6X3Nw7mbKiiAqrrDso9fji5o
X9UpX7fFDo56uz96CccpWkRMuU8M1EVbUR4NGVerlE59gmMLJS8UV3vAplAqazp1EbAkW6kYbyln
3VA767ISaCtwrtgGdsR275dSw3mk358xn4sVf/fH1CeWwVdkklkIC95MWA6HlGJc26OsGLv+EBZi
lhzCWXrCbDtezs1p4GBVcNrKvKvew5fVsEMryHIsWeB4qJfYwvEHLiiKF1XNZ7Kpus5lmyVJ4+XP
JnaZPaxbiLkby/P5A60Yeza2+XDisnQ8pLGdYAg4pCINUZWx5TLFsL/lotgfJHFZZ6o1W1iwsQWu
9tMmRcD8fJ63abDAIZzMZGeUxM24KpGkPiEOeI0d2W9I3iUxzp+PutCncHZrsi7AUp8S1wQFb/6X
sy9bllRVu30iI1QU5FbNzJmzr25Wc2NUt2wARUERnv4fua/2yrPWrhN5WxFlOhE+vmY06I6KU7rH
v2k6v+NJ+/q/P+e/3E3XkDjUml5F1IkThFQhFZtm53Qyf1K6uOy5f9oqVxffukaqDWYXp1lDTOO8
mCBdzT1QD9C73Xh7ppzK7uttf8nVNZjMHGY7Wy5OkY7oIRNOHoOW7afbnp7+PSJ0vllRIxJx2qas
q6MmfLZD+qd1+ucUB7Y0f394Erf9KpZVnKhc+w9AVWcvRdfu3/chif7QHPy3n7iKxnHDWZvqWRzM
TgStOwup077cFjTbz70Do+0PRfW/fPJr1BzgCe26Udke4O8txHHN9wTosEgeehWKtAKi+7auErkG
0bUdeifNIrFoYxoB6EY/IxDdmFNd5Oj/O+uJIDiCRsAoTgnGcZa4oyXJ+/+9k/7lS1yD6BgBljOA
g1uLdmb2zKXJj1PBMfen7Sbjm9AFhF1+/b9KxBzPpn3PIsh0QNsPXPf2C5/ZbdRWcrHo+++nG8/n
vvfLcGIst1Bfnoqy6ZLbihVyDaTberQiyZp0pz4rsqPevKoL3t9UxxF2dZBjqhMpmWzqZOvv44aU
2URvXPOrY+xJLM1k8egQskPD56Pq05vqQ2jv/33BPZTKesNFU4s+fWB59DDT27p45FqYC7DCixBu
39R6cPP9YIw9RTn58L83+79cL9cQuiZn3eZJhM2etOag9ZJBQFpmx9uefnVKYy6WJo+j/sR6ox+A
ev08t/42cVhyjaFrKWujLV37k/SpPK7cjnfxLG+DokKk/+8fFALumBuqBWrhwzDXuiseI7aYw23r
cnU8oVg9r4ZMvLYq6/djmrpPehHitqYirCD+/u7dxO0ss5HX4zY/CzmdhmW67RK/htL5bt9b1SKR
knbty3Ed4yrI/A+R998249X53IDOD2D44RCZbSqBGqs0haLwbWt+dUIDRHrMZnUP1pLy1djqaS6b
ZeS3AdIgSP33RefKg3Mhcg6i1RTSspDN8jDtor+NB0mu0XQrHZuRzYTXygWMPd8BBfCHlflPq/Yf
0sBrLF1GQwJxqrY7JT4i20PcqxwEoxZimx+hlDSd+pwHUrJ5U/mBorvmqtmKfIOEpab+OK88ng9B
J236XbE83WBBQHp2UweeZFfnUHJLAilyc+jZvhzzxkLmNxK3zdXINfCGuJQEKaw5EKc6oCzsR1Aq
9z+s679s52uBn9XNkMlh3hw8S0IpYrFUTNwYn7L079stFyuNyLyZQ1CQaHDW/xUv3W38IXINu4mC
VnMjyXpogZivues6mAuAvnXTSbyGTARAn5t+QzBlOv1hFPmguvQ2SiW5Rkx0ChX7pLP10MdLXO46
bQ5NA+jMTW9+DQndozmBCIy9tJMW2557EhfroTPCjPVtP3C128e+t7RIOlbvS0dxW/phHasOFqbk
520/cHXzLFasYWv0elinTh9Ukbla8+ymsQe5xoSifsiJJmo9JBcROpfPkA3I2E1gf/ge/X3Da7Zl
prF4+LZC21uabIbHR3ob4JTkV1dP1q2QZljH9ZAOia6ISIYSHdsfty361dUziQIegaSxhy3tVFnA
6qae9yy+Lcm6RoS2AD7HWUTsYQLMq5zE0j5LRuzbTe9+rUCXOa1JQmd7iDhGcJkI7aH3+W0Lcy1A
1y8umYAKsAcomqavo9rFDxoHdltOfo0GDXnnZrsiRI4jlRWUzSFPlDV/kuC5HMl/uDSvVb5kIuZU
TKQ40kbm22u3ql4dPU3lcswWjVvwpvW/BlM1G2kyGL3AACUtonpL87Ya9/U2MBW51vvSXcOspXh6
2459XQBJVfHJ/7rt1a+CmRjwBYBnXA56177q1TzURjW3xZprMBXXWWxVni+HTazbUXVFWkJhONwW
bK7BVF6h3AiLWw62C/KYGPEpJEN+4ye9imShU1mY0Os56KKDFRIMbCpAUm+D/WOq//c4OTLPLCsa
fYhUtFRD0GNJtL9NuQkM6L8/vclgUJQMVB96O3dVyJWsCkjL33b9XWPA1sSj5QwrquMwjOFjiPX+
NsTjn7TeL3fcP5zYaxRYQ5xLVoCVD/mSgI9yifE6Tf7UI/y3p1/VunC4Qbvac37MIrTOt+jnJMeP
Nx2ka/SXSNKkgaUFO0Lnq5HlFgDws91uvtz2+KtzmsiJTCFe+DHXagSGddhp90gTORa3ndVruS9t
ihWJk+ZHbpJy4Om9jG+8/K7BXxDimq1P8WiVIRW+4CHG2wCJ5Br5BQOFvunYzI/hIn0kXJJVWVe4
8rZFvzqmQyw7G/yU1VDhuhsX/Qrbv9uy1GulrzgHqIgoldUU8IdhjB6zsX9301v/P5AvyAh1Cxmz
OqWrSk6ZluBdd06tn257/tVcb9TJPMh1YsdsSnZonGcmg1+XKv6kJ3g5jP8QAq7xXH0kdFa4hh6V
jsydbbZNPRsG87kDeKqsObcquO7Jhub/o7j+T3XwTz96acX/V6uX+bQZt2GWqBR2N+5VInuZ6oMQ
OHXy2DUwUiznScFBphzJjLt9H/wysvMkNe3UEYX1IFQpg9j8uWt81HwnxAF2N8aAtMIeb/DBuRIF
j54fBU0K/bSZxiX0vEcZm0W5BNlGfRkT3pO2XCzTKIomik9X5nye2u966WATV2aC9epMgoDcc+1R
0LO29vPmlkp4MuwfICHntr7MBVx3IPPt+92MZcLXiGYl99BuF3eJFhTa9Ao9SwsPvn6RK17QsGn8
pFOF3HFgQ/EX3P/wz8s6Z1sN80lImK5YIVFtm0v7U/DrThfUy8SM3yc0bdla7gtsOV2ZF7Ttvo59
JvhP1a4XG8XZh2mBed4CB7ovF5DenQ7K7+UI0ShTOdebRNQMxMnmEDCySQ9R2uymagrsNF5t1Plc
1ekW8vghKTbKj32+BgVe2Dz5O8j4jxWjeqNPQ7z2RR33xJGqY3RGFlaooi4UBHDLfW7pPAK/OUxd
W1uOEotV6JDs7YQ3m8eFlUVKGXgjW39qMoa0EbGEqvUeX2vq+nIpkNmVPImkqlc1pt9mq2jtfNjZ
z7UPnhz1MuXiOSxpQd+6OWXsmdiGkMfQdMXa1jKAo5IduVsTKCIEylb5BIZGge+l+x4+l1UbB97C
Qg+qxsjGVDwFcecp2d2PuVD91FbThmbwmYGBxD8mO9uNr+SYwUmsLaKLDKRc5egisFgCQFtQ0GHr
th48vuU0ndMcjbT0TMVYdKWggh+p6MZqortTCwpYH5ntkllu5iFejTi4BTHqmU7tOnzc97SFM+Wy
Tul6HEhu9mpquyyFSmznZY0eR1d8LSwZpwe+w3302MHZDyakTls080tewBwRGZS1hJCK54TAjlAU
Cz1CYEXsD2PqEnS1YwtttYAxs91acLdib6gFkpNCZC2W649URuDMLBvL9AeWq6Sou8bkww/0QQqJ
Q6OyaavNkE/mWaxxSz8CnjWr4+AZaEJ8iuH1GPIoFY9J50T41Y9yWsGYWaIpe55xaLvDqDufnrVK
hvlzF6kiThHeREvzkqmM6+fYWpH8yIamKXzZtFy1J+e2Lb+Plz6bvgyO+ryC5n0MNnrrSMIh7ZxT
+bOxrhVtKWZR/IAP66w/g10eugrTJdxdoEpM/gmoPlPgP09R9nMali2cVaq9/yhCnCSV7nCSfg4Z
tvldK9LwbHncHuN0LoaXYlkZPcRFr7v3s+j28OrAkUgjTKKhG1DUFyViejbOjuNfApOb7mGgM/Gn
aRpkc5pTniwP6wzv6GrISJZ+LSj8jH8lTjTPoJBH9xgjhZ9gh6hycHkLH9Csieq9D4W7h8nDFu4g
HkS+SN5nvNYSTMd3zHdyfE7apk/ObupXf4jmbtjvuF9iemJ0F/HnmDaied/NvNUVfCUjaCIOMTfg
oSgYkd5vweTLk4mDjc9EUy0/wVmjmV7WnLPuGHdiYrXdhw2x0+XF0h2Bn06Wp5lv9KeEJsBYNejS
uJdujxeEkm7a3YHmk13aOsa0ansQAwSOj027ajBUIra1H7vC8OystNa0tE200B9dxwcN51Yj7FAW
Y9LEMAfKyH42UhlbW5fGUW3NmCblKIPTX4nleIM6j9sEcoY73qKPWrOUwx6Z8TBeJHlKCNoF8Tw7
ENMOuV7ctzT2jsLxrIWDcgUrCPqEdKn93eAIs2qAUauqqHL59NnP8GeEwJFSkDwriQihPzsLluxH
D3+6pSm72bId8T5oN03lYHFNuxId7838dOtG8jd4ZCy4EATUavh7iadcPqS263KAiSMmnYfRpSov
wf0c85PkCReHbWuJ9GWb2CI8uN206GDusH7id3HjkSOCydZ1ZwPjs6iEdW8ffaC5WNK6y+ga1Sbe
El4zH8LwtsSBDHebDY6fVjVFTT27tPGPBM5zr3Fihv4DusipF2UvpeVHqMa39p4LVDDPHl2I4piJ
HvedbZp8Bs476/ZH1caDqKawJLbKNExLwVtYTNM7sOeCSd7bWCiQMcbM2td+j1l6N2FkPDxPULrr
53LzGRxuoCtezm7hyTkh3NiX3MzR+D3t90I+UkkM9tjYKdn9IrII2AkKkm3mMLVFvx3xl+3DIVci
M59goNw196btB3IGiZbKp3VJYYp1QDiStIaXEWl+B0glQ9PcdEMO5+S+bYFtBokJe6SAjtJ9N1iv
7/SgCDDDKTDE8cFouB6Wm/Vj+gG/WbxtSWf3bxKi8eCk87SbsmqG/GJbRYhPTbU3ev8wpNSSu4Jr
cF3ycQRYVW1LEVVerxYub8vkdhBINpZUGCgU3SteN89fdufb/i4a0wyTo74R0fpRqTCN94DudgFZ
0Rj2n7g1zCigkRrHybvLpIbEFelmFp5CzDNlEImDb87FgE8PoVkKR7BHh4A8v8D9wizn2Hbc3u0W
xtmXm3vvoAnQYhmNKS3HKY+hV9eGta3m3nn/jvBdcpjurgU9skwhvpWCuGF5iW1SzN/DYnQ2lNJu
e372GYn35wy7v/symB0eMfgjydS8CLTG3ftCYBHvQzosez2SNbd3uP8j3WJxU7UdXGDMtUie7BTw
MZd2O25OROoTS7xVrxvWbLufByDwXmCy2/VVNnST+QIT6DT/qlLmC1VCISweNVaKyPbXCM3U+BWq
9Rn/PkF5RXyDibVIUV9BEJFUakgHdqeYNR75WxcXdCrnaPW4CuWO6wPZHiRjaZRvrDYQaZg8YKMs
+gFVeZ9VMS714RzWWXxkK/b3QcRO0qrfA+Yvio3Z5zwFLqIivmiGCrVoxmBSOLH1lEqWU7hb77Ga
n3U3d6AcJ5DvPGo+yOmJKO0iWVIwsL4P02z3Y5702faSjPEC/V3MWfnHrBhdd9wknHJe57QjXwoD
l5faZA1aAUUfWfrsR92wY7wMLn3B/ImM76VgJjwkwzhPCJgZzgZg8QCqFScBEdXlqVGS670qsqx9
9UC+RNVOe7W9N8HNIESD95q6CjKGjagYT3r9Igx6TGWnWjkfiAevVh5BUUvgOk7GsV7iJsWX6DuZ
PGWrvji5UnNJfgqgfbu24sWWpzBfnuNkLUXY/eehkFBNKoMC8e+jBrmNvLWGTo/LuCLjqrp2iKpk
gCqcrxDdt5I5SuzndIXswV1LncZ9z/YYaToBgVfb0pMssucerxC/W6fRsgq+8HC09t06nsSOo/41
jxe3HVMmZAJnkgWSZ0nWk6ImEkjM0pAkHDkuIwej87wZzPMK6BSsyBVVTD4K0/iXwl8MUMMSyIMp
ChEfCjjY7LhGkXLUS8gQ9i9mze1Z0DG3H1fZJNv7i693hbb0nH7zsnFb1bguu0O6BiNLARbNhKlb
uexDd9dZDWGNDLxqXLakCsFyuFbDDInWdonTuxb5wGenGHloIaWkSsqH2cA4O6UtNFt1CqPsbKD3
hWv9rwzsn+EpxdFRpzCYwJ/mKF1eYweJV5RAxD62tEgDcqckW163SANJbndWUdDIn9BCB1kbfqIE
auRg8j75pUg/TS5qDyIdqCiV2u3DJiScox0U9GuBbVzl++pg3N70dzCr548rbf19m+zym2+34QMn
cqn6mL6T+aI+5QMfednG2gB2skoh5nKPe+4MfLjbzh897N38Hd3S9o0mu763gy94je1MKxXWsB/H
ZcjvPeCL2ScXFexDKx1QC3VqRxbdNYptTpYNdm4Bmrzv4l+9bbz9lOeU+nLr1V4Ayplsztf9RQ/g
LP0eIJtSLInXcNadZ5OijunJNNQt3ZLofksyEJpBn3bx/dIlDX820W7scQPPP34LVKa04j7b7MOa
6bz9hsxVzYfcplF6p3vdZ4/DvsGIfW3HTZYu0UvxRlap45eZrEQfINPgR0gSGNqdp2jj8mvUwUt4
qHLf530dm6Gz5Zr3SEW5XVlfLRI5iisbEhEiS5/7tf+5FzmZH7d92sIPmFI5pEOdLXLsbomzlety
AGFoOEBFp0lPSyH74d2eoPY/TGNG1NEyxJ0aFU3LzvMFfneYmUrJC0g1Q/4A/CxJ6oTvOT8noE3t
f/XgB6iX1dhCx5Xn7dbdm9mQmJYQFCkwkQpDKv07lMYsRRUMyGZ4MEYaxIVuZC550gpH8oNAseq+
ilzwczZhKkGMcuxrYoiIvinMtFAm71MOl0I0obsKuwPJUtmsG6K7Wda93lS7FJ8pOP32rXCI7V+M
mXk61DmbI9xXzZhH2wfqwrC3ZZSmjJTWNouqeENk+mxCsfu/MtD95a+lB5vtUAyw+nvvZbdzCA7k
0/IKj+dc7Idxg7rrifdROr1SnDJExJgsc4Hw1O0MzcJuBH3/biBx5+6I6ESs6iwsSAFKSSltIQM/
of5AxjfMld/0JReBjYt17wa7LK07cdGK5U2aaNqO0xBZfjaGrzm+WOBuqedU7ts3wXNwkWgnuPlm
nZi3o25jFVVcrMlDP7cNrWbMHu2jH4asxSdhPciABl32atHbjKR0ppCTeVsDVHIhBDA3j1ObzifX
7MX7maTeIjvIQ9AvXkpZLvDTLEEKa1cCf7FimI7eFbmvWliQrudADAq0jq+sNNZNkS7tap15xxLH
ur82WJsUhyDiuKupu9yrZWvgMXHXIM1+7CHNhV1HEkXumwGepg+69dNnXmARamJtlsgy7jFlfjMy
DBGyVB9Hpz1gX5+QByTs3uIKGL47R/oTSoCEf50gcc66Kudt3L/XW951kIROFO3XEpssJ1WBqOpR
zUUgzgXWJf1zMbg4VAsO/CeR5Oogm56OOGrNej/F6GA8oV9B8tdi3Km4d9vCf6AT8wWph00pLFUo
IOATPGLS92PaNt+gZzH0dasQFPthEU/WxsjMAgRG3Fmyoqt08DAcAYI+vuvZQuTTbImRT0uzmodV
62n4Ds9m+zuahTH1vkb4jNnO3sSaXYY7osDdvmfujSKXsHUbZuTqwDXZvZSOqSPIypyWg3YtcgPA
FjaY3RU7+rWIhAb9HTs8OwD6YZFYXDo9IH4vbwLJWJnmQKCf0Urn5pHMxRy9EgYQH0BBbGy380bb
1kp8lNXHBozuZugPe0yKgR2Ggvbv2hne8IcERIH5r31LxVZFHTpX3yB3AAfZJS9Mdhi71KfYmn36
YelRj5z8OJgyHRBAdbmtC1zs2nTtfha5MukbcWu3VV6ZBNUOy+S2l8NWyOhr3yfNj+KSmtwVO1jm
nzzVv62QNkO6y+cEyazKxHrH4QlSVJwu6veU48iWBSw7KtiCxNlB8qz4T/NPkIBF8MUB+pZNhlIG
purHPWWOfdFtxME/7nmDzmDEFZSRjIYUR42kRLn7nE7TTyl3kiDOZd0wvkGpjQ9VunSO3A02879Q
OrfhYZFp81t1MvAcltx+Sx9V57L5U9TENP+dwDIj/4XSskNnZGjzRz4tArEj7nyVtsnsXhfeMA2q
EWZLWUvb+LWPKEU3G6lH/JA7CIoe+bbQtN5tiMlho5vZSqnW/QM0kZPss1749i6KMvO5aFjyCeN2
G05TA77FXTShMN6l2rcDzQoI+oZh05+x5uJhTARgbXSAJzY0TrLpPHWcz1WuR+VKHTXiC5i6eznn
4MlonTn6sOw6emXU7U+Uh644Tg0kRg4y9/tphq3EKdEyPmfwMUbMG4l563ib+xfdTmAPbxv0fsp8
Xhv7wa2QeP0GDQ4UZ8a7rPuC1jBhJd081iF1w4CwwElCJmQcDPzjIrafup0iSSRoJbQtsowhjyAP
y0JUL4DB54e8aNE3cXA8h08JW0J/SnWs3yC/Poj3aTGBBL7DgeF9jxcpSb8leq0Qtr115YLeGHnR
omNZRTRe59M0NW46DnMzdFWaMe1+XLCu52mUSj3sjAWJ3xCReS+SzMkX0jKHhM335FgUOpruAKFk
7h1a0eMBYWIcj0ueD6ZOu00mgMvBufUwuRhBBDow9/gWaEc0Op80ym0H0PLmvX1vom7YqjFfE3kf
RZsKJ8iPhV9RDtukUsIa8qEN047j0xRYDuHig+DZWs2zdfdkSpBwdv344HWXvwd6eQZDAPqO6HNA
qIFkrPkSBcDJjwUYMv4T+kz7hovIxMkvWyxtyuCBIwLaA0auejyPmFD037owG1XhS4HwXogOmTki
ptxU1c2Nhn45xIv4EyTSClZxR/V63qdshkE9fLPhXdpstOjLKIfs4dFxcjmE0bC1LdwVZ1RMCD6i
HoLh7mxByuBlOu1W4hhj3vV7xd3ZnPVi47beoKgdA4mp0ix5mzJkaPXm+NJVLNsouD6WevHWUyi9
1DH05vsvEg2NrFTj2nWf4j0gerRRRJN7yhKVV4qnMq0ndMO2aho3tLZK8PL2th7A44pfMj0vxTsY
gvRb6aECrQ+rb/Kp9GnIkMFwndif0QJXhTIH1YO/g5fNxk6d1479pPij3GeDBJU+5iaRrMokE+mr
bF0M0WSNoqDrjVLvPQj84pgOJla+zEG239DA7MbQolC3aDlgU+9ICuFr3swwo+ameeqmuA/nJIv3
8Ylr9GlLqomDXrrult9xTvruOQ3NCChIE4vxbi22KH0FRY1RnKmFBIf5z+j1Ef6NbjkCXKRVhalK
vv4YnTIRDBKDLc6RRDvlSyzV5QtRFD51snA9gPeHAkw9r+gfigr8CmvWEppDSfoQ0zRHcZnbaLzr
gbPYfrjUc1M3lDb25BCvXb3kWouDJKSY6xSONFaU86J8d0Q1KPlDk0F+DeBLebEHg1vaVA9dz/f7
xsasqMATaXleQ4khxoHqG4V5NkahU3tPt50E5CxWZ3doEkyY1s/I7Ur0YRNRgpsXhnrGNpDHbF+T
+TfrcyEj1A5JZgmc6CFi8pcWSoLPJTAhs7hMFfLErIrkwk801anfzyIpSPEGzWhlHx1K+13jD++z
IUMOspPpJWe93D9H+Gt4VHaJJdN6vKhZoyDdirBlz+ulgn5ooknsSL6Al4XAlG/a9sWrxKBYWVZC
ccAzgZ4VqzBryVGtxkbx8WfvUV0DTuWZin8vdotmJAMsR8E0WdBtN7jVTMu94dNavOQIHi1SxWII
v0SHacS3YXCTOGZtNkYOq6vJCLNkuvTvMqT7OMspZ1l+1EiN5t+dznJXlDbhUGt2LFuLjwn6cz3s
X9D/tz/4kq3iTUfrFL1OLQY+77ZLoQrFAl/ItGLbDF1j0Ob0Is+dwtwLmyTT5LgwFD70AB/FdX4A
KbXNXRUwQ5pQ6fYL61kd59QWD05jkvSI7Lqgj0iLMvNhlINY7llL3HSOVpiZfyNx3MQVveRsx3VS
0VpKlrrocYoh8PQuWs3aI8ZBhr7iyIzHg19VsTz3xoLoovKYbR+DBIqsKmKDIU9P5AiJmaWN7M+C
Gt18JM4g+I/wNxi2cB8F+GsjZYWuoTw73RKPfAoe1FXCdrve+Wnk5G5Bl92dpKAhfkNXMc/ve4FJ
YKVjBQDAAdTNeClq7M2A3taloxYd5yVN14pQNUQlztwT1cZnmDXmkMc4xgmg1fOxjxLMe+iIEY8v
JSzWitLPu87rpWN5dmf3lYc7ne1RPELSLXUrR0+vhVfatPJkeMyTxZi33EBV/Tdrs1U9IrHt2VHm
3co/OIfRTC3bYmjBTgQ49bUfR0kfmlaO4oMrsDAPPi2EuY9XWOo8bXjXFJbjPuSvw8pUe78PCxef
UOj1zVbFK7LluR6mQqFtnUGjrY+rFYdZRxW0P6jXNeaArOBHAWjwRcKYfYWCYWySinMIYKqDwijI
rGckYAsW1rJBL6+4p0c0ngHGwSgNuRv3HwiWHeQqnncifML0pNmPG07ykYfAHlFE0+ghjRqOxI7G
UK9LL2O8Ij3FA6X6JAY2549BTiC5Jqmf7FfXrxyiFWKFdMjRtnr3XZk4mjPMOFOAruLZFFtF0dgw
39QGyfrXCbILJj1epF4T9DT2HO7rxRL4NlRcOSdqr5aLo5w19Dlfmmw8ZyCXu7t51Cup283r8TE1
0KlBizTGvHXyC1uPPZr4SRmZJImOmFHavpZFy1F26tloZEhE9eT7zmDz/tCEdtjfQ5Ihs+i9d80S
fpExJ+0PLaZYnmMCquM5Rtd3fgJBe7EfJSSpkduMebY/Jllk/F9+zgf96H0bGTT49rSoAkc6UqK/
vGK20hsDsN9ss6c1VsZV1sM49LzgFYZ6DWkqKmDjKWbmWXZBNG7FkQNM+iw3OAN/ip1ozdNiQzLe
M9jehcvXZg24Dtx6WLcblg0/0OaLSD3kRaQNxFpRz1RmxG5XB2TWAhckAumlzHeLdi88WjZS+ShK
FhyWYl5Al9D5ZQW5RrsKmcSS8xfDNhmB2d2z/td6uR9/sRVMdcgb5O15nrhPyhjxTn74P/bOrEdy
68rWf8XQc7Oa4yEP0DZwScYcOU+V9UJkVWaRPJzn4dffL2TZLVVbdrfQLxe4kAW4lJWRGQwOe6/9
rbWttjV7rr3YKZrer70Ooz8SE4ui3ERP9dAyHQ28xoqb6NpM3H7achslC3HMy3T86NVcz+dqdQvn
pZ0HYdO8NGo4Lou7zi+eW9TjzSXD0dp3xRD5BWE3jU81Gl/E8noeeeYywLz1lkW6xy7BaXDNoKQg
g4HaeEXaajJUK4fFlbbTv2FcbTwfY5E5bWZRZ6h2bZPcg0kYVEQjS5nvFWQjz0V2bJDdKEcvks9u
rUvg3lJnnjXuyqhtqt5P8fvZfuXBEVgBs+92+EBIihFvEWz0/g21Yk01X/SUr8p3uMv2aIh5hdvD
J6SevnM7Yw9lOVA52yJ5xWG9DK0/TCyxaXbF2DupCqaG/HDqUF3MjhG2VgLKEf5b1/bE82qOt2NS
ZfWBDhHU+ZrXN1FAULL1ZPHd2mmckrg+yOSi/ca033N9uWfa0U1ldu0GtWAd4Fq1SDv8WzTM+rx0
dr4nqHueQ12oavDXJXFuGFiVQygizN9/jGD6MVlILHZZVGWXb3T5WdmPYvxjPPOPgUJObo2Ma3hd
K733EC1S5w9aaH6ME6oIPJRR6rpbHpM6IpIc9auOu3X3Lzy8vxNYxcjgt6QPUpjZQ6QxmdC4/pqk
SvtTMWkVMYJdWyM4maNiLYArG/N27pBuabCUpgeVNvM5/XOE6kIV/SPa6AewLGZEM6da624rtpnm
YYqP4Ap4sAmo1xg/MovzDv/8J/0eTPUDC9o2HacaTPGWQIDGfeiXKhrCOqbODSeeTKSTkkiSU5XO
S/kvjvDvQJY/phMp+DCeJqazFR47OXpiZzYNWvO/eEO/9+o/0Gc1G/06N5EO5EjxNWuN58mroz8G
5ek/4KGU6U1Rx5GzXVj74SftckiH3PqDL/4DYdYbRl9Wg3C2aNAbBqmpHxkoj//8Y/69o/IDHhrN
Y9o7MhXbWNc6nulj5BsJT/8/9uqXn/orOM7Mags6iONirgXZvL1ky+RaPfzzF/+dM1S3fvviojWK
qZ4Vp0viSvO9Q1OaAl0sJnuFPLOo/XqAxt7jK3HqP7Sez/oxESbx4sklRsjZsg7VebGbtrtWBvLq
P39DP99c/8HV/WMejKsWC1kotreFJxMUaFkuE8MV/vlYjF4821Te/JfSNkqxS2v1qNb00eBMc/ZR
lw4JvUqcbNjO+D6PFqub/d6lJPvrb/fvv0kE7P7yH/z5W1XT7MdJ/8Mf//JYFfzvPy7f8/e/89vv
+Mvuo7p+Kz66H//Sb76H1/3l54Zv/dtv/rChLu+Xu+GjXe4/uiHvf379+KO6/M3/7hf/9PHzqzwu
9ceff3p7L9IypOlp02/9T7986fD+55+IVTJ/9QldfsAvX728gz//5KfJW/tfv+Hjrev//JPnfUK/
cWiiTN00sMRzjk8fP3/F+gRC75oC/cXBdHRBRks2niZ//sl0Pzmm7gppGNIUJrzCT3/qquHnL9mf
+A60VXo6x3IN7oJ/e+e3fz1H/vphcCR++fOfyqG4rdKy7/htfrYD/+e55Nqm7nmWYRi247A/TXd4
p7++BBviILpSFtaujgz7UcX2Gg5LUh5R9rpwVPOwG0mHSbJi9qmJvdfULYqzaTtDw9QEiHNXSkMg
wdjZi0qS9JpF4OLKkCU8LQ+jRPodEjHjiFaIF3OdqHwnWqpzlCUVKwn6piQ6chG7GNzrRVqi+r5W
bv+SoLcRm2eZ/Y1wtflW92JU0E7XAruhc590zzzOLVOIoZuak92V1ZEdvqx/kWV/oJ9w59AwNetF
E6tpn+q+UyeVS6vzU88uH7M0WvVDltraSVf8oMCx1YjVTowCXLGInuZKUb45mnMSZPN84SkDa6g0
NOOgcZf0mdGR/hQ5yyS31MS8tlXNoCq54h4Z56v5LuOIWRIAb3Vk8h5vHcrf6wseQvwizfhZLxQC
a1uxM6Go3AICQFjtnVZDP/nFkC53MG9qOwJbXJWenY2+nrFLmJrTKYabuF+G73DE2j0TvYhRSBpN
bzXDHNBGLRoBaLSluU7mzIE+0oFUtxGZPoJZ4pjddeuyHATQ13ZYUMb8skEIz6YMyHRwqzMEpnNQ
hhETxGOjSxaukntzcFrSI63vSZ+7DW+LrclwaXa7V1rWDH4l9cEL5l7n06WPNjOfpj79AomUAc4A
kZJoWW8713AfnEp3tyzXa9+XPk9TjkY07AZNWd/qzJhejX4UR61W8clJuupOeIv5NNlle8VAUjlB
suiuhlNBV9qGDYtl4We2irvAVcI5DjEaf57N8gbotmafYVbGAdE8xXEh1xkOXjHGYEB1tzq1e2KJ
+rQxxOB8KVCiH4k46h9snYi8PaFq+l26anTUzBUhNZUzy2udTe43tdDhdd3M66+c1rPOTuOaB93Q
TKBNNjEfhm41C7+cOKQIFFmxNzSp7tJ4mCw/k+N8jqbuodDX6Itsy+yoZbb96raFOLnaku9jszU5
TJUhr9uBA+U7bul1MHONUwUlDSFtoVQasEnVuevWgK4ofa9brUM3dsQZWaIz8eeN7b1WiRU5W230
KdVCp26+1HURITxWRdgglj03djsHrayOOjM3Fj1EVegs9k2fQXC5DoYK2ScY5O2XKEk3xWB226py
W/ZDusnZ1r3pHRn0m6G1zXUh2oemrb/LtIuCyELLlLTLdd0F/WpPN0UTh65T29AtFzDIFNsqxT1w
EzkFZ71gk4jYTnTPJXJk5/mpPS9+X3XrboZv731bDc6xBbiedGvihlAkVijXvjh7ri02XIbjU4lW
caXpwIMMP8ghtNFC7nrBxmN0zEsQ5KpryeTH2ux9AbbJSr9nNDZyusbJt6zknhhyNzHnTQUSKo/e
OifJzho4OL7r5BrshTfxS/JNju5X7IGJuBKmQTtPTo/SPnlu9p5a5YD+yNAWF53DadHPOwR1e6eP
tr6x4wYAsHVX1rzo+q6I7SKFS4uiJ5dDGww9aslUo3qjbhRtmCWA8Eg0cbMpVT9smWuvV3SS+oOn
2vWLB6dk+Wbajiemr9WBLje7jUwv2jK+Tb/X6RT1KLwgWj6IK6sAFkb5qaVNs7+a4PklYdWvtZ3r
+yZjqo+hKEv3S5QioEL6wSB2rnnVCrAGK5PpnoVJ7WfbbB1Oh4WZfETPW9RVvyFjYnzQc6P9rMH5
H92iWZCwlevuugENgePf3SrA+ZE2xx6+skyHps6Ue7KmT0aWLWcIyvxza8bdKY5ZebFm2sNQj9lB
lV52j3AW3wgo3RtTy4qdV5bWbVOe67Q/FOO43Op9moawDeOTlNa4pRUvoYxntzmsWa1d612p1yeL
s+lmQng9q4Q7fJChAR4ZUr1GUvavLtFmz006VFcc5uyuyFb7S++U7F5o0H/qoEG7uYnBo8+kpABW
mKRlhWrorQ3prjLoHM+8Soq1XMMpGtKNLYdTvqx2kKxEgvsa+aatNjLmkWxVelgnAj7ytVgforWn
Ao2AqF48OVubpaYzKxLbOro5iK4/5GsddEKpd5Dr4WDgeAZmY1b0kAMlbIfLz3bT1LrtaTi3cZEt
e9OoxTdjSpadYO1XvfEKcwmsMi/RgY2ZYbltYQRyu5jUCzvOd+PE475uG4YMhgA0zab7RHZO7Pca
iYAerNdBrkuMWYElhWkU5S8age9PPVLfeaXqzXzDbcxjbUfNEJSJZRxi3XrvFj0LMWpkX3F+kmW1
Vqp+ApeCoLcpPcpQNq17nmtPXZlet3h+x73VSYo3AIOU0zhT18pu4xur7hhWR2sUI3lNoI0IiMgo
YIyWtlnisrpzbc/oD1OTro+VSfHmzxVuCr1rxTNC0vhEMtc7joJq3aVRxzg9zq0bV3bxB+pXvC1F
0pcMrWYAjw52i3ReOW/Acc1n1brTo8ut5i2aycINSlp23BuZjuLqKqd+cheVf0BgZgHhpnlYJCnz
YPSs10SZpti3qrFu+qZGmOImOsdoZiyqUse1dsbPMoq/Ir/vubS8E8uC1abAeuID0O3LxnjQVz7n
RVXTcUFkc3KW7uioaCzmmtZDqerFBB3iItkTGu6cWHotHsaSLAytG1ioXcr+4CWKosNZs+4rmO81
7hk+KNqdg4nOtGsUD1OGS5oKIaHysHTM6S6OOKeBHHi0FpbEbRRNTwDXuF5Xkv0A09vb3LXnpwyK
IsTZ4fhZXhIQ3+X2xq0c7dGb3c1sL5hYdNO7mzqI6naKqfesVL0YC6aHEdJh045l/Q7Elu0m8hI2
MeXWHoRIfkbEXW4iQ1TvY2fO2wkik01nYCYPrZ02e6KxKEzMbg9AkpyTali2oNDNF+zo62k2KvGd
qTcmhsi5qc02PRUaj/vSbIyvS7kQI5Mqz4RbHjsr8ZdRS085kjqGpS6bv0eRPp3XRcVpOJOyd72I
lhvJNFdfAZrNzaR1jJWZE++mYkpvBWaXLcYDuXV7I9uuyq2vhkhqO1JRi8CIbEF07PxeiLW7xXJz
ze6kfm9A/IWLgf/K68nfdheRnZsexHkZpjNFZxoCBto3+Wjm+6jmtg7+SKYWQXasuTkvPR0bYEVt
yBs3jrttUfUX7D5O3fsKM4EVNLVubJNGO3FPhCcxc5U8Fg33Vb9iX1Ya6NOgKCNks55cuKstEf/a
vafDVb/CxXjucYy6GdtEjXMVfcn+TpEFM+BYhfHMQ6rZzVNvfLjOFDfHFY9cA7+Vyfdx8Axju7Y8
jTp7nB5k7riQX8N6pXfaFdZa555icjmy5CLxLb3LiB1OJdUcAJTvFSpdMPkYXeRPrWM95pkR73E9
dJSUMgqnXp0spxbX3BH6jdPExVnE5gj5EFvpZ2Qa62wWGp5m6sz1uu1JQPBrndFJTmX9UMH+nrle
nYHaC/SpbZbxLtMAvv3FFd6VrRm97teiXE2mvrYewroZbTgbZf6wGsLEl81E67XMkuJsdVhkAlap
OddWRYUCtgk6T7FKLFESi+oW9tsRQVd0kfAZKaVrkDVtvG7iVYfiyaI6edHZr3tq6xq4PyGo4Ri7
lBisxD1UWV5cj4z4cnwexZU5CveOAFzbogAjQCdQRVm8g1EYX+N68IBMMvd1SIzh4HmS+Z4QaVYF
MM5ZEkQl0i/zdI98oJLM/1CrkMo20Tp5jwDgkJRt1i6bmTXQaCwXt0PjwN7JHI8oyVOhlkgjWFjt
s+Ou9Ybg0/vSZNSceHayyy9ziDllTb0Z35qN870xxngflZV2mFVE3m2hHfQ62dtOer1WsAqjqIsw
V3H/oE8tvg8cTLvIIXctI88tyG0iIC8thusWew7EGgCXlBW1Ib/JUTjld33hkKSxtjfFrPt8EKlP
i3yxbkgNs1XyItspD5DFH7HnL75BiKRG2eHTDk7bVvU3tPOYzyaPDNGuCQtd21spqDnNyFctss6Z
o8CLWKu0Qjb6DLe/9JV5inVaMzZGoSvieQrhwhc/q5L+wFqxdVNMxuiz0HANo7SwGLiPPZmGA7/n
SC6GkBPGaaIfwDfhSee3YmzCbkj28FlJSOT5zTq42e1kFYRiJ/p6xbVn72orkiGPHhIYp6XFBSlN
66gA+++j2st2NhBMEDe47Bp9wDBpp7DYWl1aOJK7jKJUW8YdMWXRHQyGEQUA5osVaHLwGpZc9e1Z
LINKgyHn+Hpt7kKFa5Aslj3ubc2NngfDHD6zPqNWQZLkNCyqF+lp7i7U0WqO412uqwIkKq7lc24X
81tvxdGpY2rn7Nuo9ilonM/xVA/xpocuVIHBuG8+6iwauBd1PBcbYVmMYplJ+Dw49BfMTvkD0Eo9
+VprC32nZXl3dF23pwb1YBwZQ9cvTM8erIVTUe+9R0wnzokbDAR2Wnv7OceUUTN4b8QkNni0MPx1
clMb+vhhLmC7VKe6dw256e3pscqeS67OXxfPEwznlkb5VRuNX7iy0iB1ami/okh2hZjFbsaqsnFS
WjgTUOuoVnPe9x4qge/BWW5Ss61POHERGPAFTc8xtMRrhTFtl4p+AGxyO/fJo3CxGdKQ6eBHysr+
qkv/b+tqV+k3/JjV9/5HYe03Wtz/Q+qbAbXnmfZFM//3vyld/0WC4xx96/u0i9/a5NdK3K+++Rc5
zv5E2LWtO6heTNZBcP4ux+mfTMeRUri6jZ/YuXzlb3Kc/clAvNOl1KXuuOLiHP9FjjPcT1SbUnqC
FSi0q8Rh/u2X/G/IcZhJkNt+LccJDKu2iernmZLc7B93JOiRGjP+nbcu0I65nQ1Wa06dMpn1Sp5Z
pHmsndq0mYFpdmQvofJdFx07tGdz1vxe9HYwSWGeywnOpxoqAkAG0Pyz47r5Q5ZO2iM3i+RAHvp4
K4oyObUFt0CYPFZhkAUsN67FOsmu7JL30fIA0OWSe0nYJ1ayj2aRP68x4F8QkQ9xio0SD3diCi8w
pmi5E5ThBLGsD1yBS7BqewhB+AyTee5mIOPkhL+nDKD2dXO7VNzUgmiO+z5w80Wbdlh1m+u0WgC2
aYH0h8hJ888WiYMPlVmVodBN9bXxlvhqyRt21S80WF/jSjpf5sR2QdyH9m0ysatLIzs4ymSUAG4M
DqSMjM4wj0qGbl1+U6+Z2pQaR6c0Z277JIIYRJAFqdWaW4OuO8Chxi2wEsZXLHEzck41REjlXkrt
lojs6wTwOftZnMv3uNLiJ1MoKwmUKxkl43Q0jZBypQyRC6aNtFBUdCtlIK5i86j4AIIhw1bXCzWe
5qp9XtISDsA15zQL146AgFyVehWsc1NuEnvNeNoQDnE1iEm9paVdfLAXR5e7FmaCwX85dkRoE9p8
XiXkRe10Gk1TQe5OIMeePXqijHu0D5oVnqJTfNV7kzzOsqxfky7q+qAY8kX3xZzSGlpo1QGm5eRz
kRd2TOVmJnssABpdBI+8MGsnvEpYJxvaJ6dlH2sVtfIEKosJJmdE/Q7Vg3nLAtHbD6kmwR1ZIADY
K5aNWQMm+a7lZfUm57Smm7TMWxo7+xyJoXtMyqR6o41MFOP2spGnPuZUDHBD1d+awlleO5lURuiA
MuDkVW39xRhws/sUbaRKExnTPhiuJW9t28D/udaTPKus6m6LpGka4Ex8Q4GcvfbOY/773Nla0foR
xcEHNl0S8ClokTl42H8VjaAHniFWfJrL6ZH9DVbhx33hzcQnqGTZT8goGn1bUp56+D9YQHPasS+8
8dkVPD1LQI57B6ffwTLKy3WbNXtQeCQnu0b68nXyFsMmdljTENFLf425uC7fGuX48to8b/Z62ql2
A8LpHUYnFbe55miFb9r5zGO0WfTPglNugcOhw5UR2ZO+N1T81hjyHB/bgR7TW0PPgrZ58X7tWD+J
TQLfr7m+TvG8IawmsAqWu1Sj9OgSMtV+ddz5glwb9vw6jwo5bkhm4NBuepynoT4nnhXtMdOZx7LI
UeKcuOfLAH6bZpm7lxWCJQnjrrc3pjfhEJ776ujqKzZ7C2A9AK8stxQoovNnL9ovS7Lj9143FTAU
qths+rXFtvWhacuLShU9Y2gpgrK3ANSoHkSgGUNn+mwoq9EC46IJk7VEk7HXVDeCYpoprcwoswsc
WU36oTDlPaFVJic9M7J40/QWcphmmxMYHEOXbWNaLda8phleC0slLZdIrxl+luIWxaXnNLf1khbL
FnseY4pirZknaPjuesTR1B8GMVw3Tbawd74kAKEvuu5zp7sROVflO7tb1RCWLffpMYceSyQ9wMYb
NAfTv2ye9N5UV/BXUCMymccXO4rbsxUlyasxuiqHd6PiHLBs0OLMEc7aAsaRwUOzut9wGaITF/03
vUntmgZ9rI48Shw2oqq8ebc16GvKq6FZOXjTdAUgF/eUSfHihJ2h2E+BXIAtwwY09Hzep3DRE/IE
MUbFhkWNLrsPPN9VH0yz62Oz4yljj8W+LdrmGIm0vCk4Urqf1s6akkZKfubO7Kwu2UOVm1uq1F7f
I4rJLlCxdUHKcoEaxpLMHBZF6naHc7vFNTEt3lGn8g7ZwwQxi+zKzUnm5UOpcbl1a5rOYT41DQOn
Dtqmlp5319et+UzsCeWnwO161pPKfJJs9/vsVso7eipHMoJO0oTvgSXe1L1X3rD21n1i/x/CryS7
qgncbsyt7VIbWRF26XiFzizWwJ7t+FmyWKII58o1vuuYN70TvyGKsxidnJbPW7zXnslPxQPK7K64
bp1iH9mmw41hcsQj96b2PBYS00lUmVuS5IlyjNguE8xau65+rqVaEpCgYWy1pkrPsK7uy6Iu/HM1
FzeZknqQm1BP9BPprcmkCi3RMG4Vd6TAIJTkeYh16EJp1aGxIOLqrvXY16N9m5GCHA6ZsvY4FPTH
hvbzw1TVHCFammAZVmUdFKMuLUhSO3os9Ni9dav0sUJvuI2qheZsIV8Wck5lt5oycXDadcUCW/bP
43uHI0w2qV6WaPMctiRYXGUXfpR7dGhpnVv1W+qV0RaOJb7wE9AfjPGnPaWze+hjSocxn9ZvOf6j
UANEbgMg+uSGFJruDBvm0nOL9Evat69QEkj/g5x3EYGMeLiL9C0aFoKSvCm799yp3GmNs+KuTspt
o01U9p5nXtIFGmDSIbHKwOyYOF65zBe+sPJ2zX3PMGdvoyMz5PgodfuQx8hjQWd59mFI0v6xWadq
X2ptciUzndQ3eiCuuVgxF6uwCuudbe3QDYagwsv96PBoubO13Lqs7CPKwr+QuQwPpu6NmLjpyiOm
C2mv65LDWEXJdQx5/6BjE741BqlGv48d96zHo3iwnGRpLh2xsZs6CxHPm73rZQW3PpVdBNcvmWpc
CeXmb/Uio9dhybJ7XIvye9vkWEQ4B9AAiPJ0LAwHGe4NY2m1OnDiocwJJbARmhyLj9iHhIggcvuU
9Zd2tTCIBa2qs6W+zbB8M2bpXPYNWJ1hvYmRojnsVZw8C7tL2i2Wtkq7np02OdmxYnmxA/q6sxK3
YBdQOizTAcdOV+37RYmXUeOKLIt0vHdjFhr3MHk3k5mYTdA7HZMTDF76XpRuvKNN6l/jJavuWpBL
GZrxkB6HRm9OWP24Vte4UGd3sZYz4x9sxJqlDXcUsFPjE4SRfIYnx+SdT+NF3s4S61FXc/Nimaq+
lZ2CjBXteu3hyh19Hlv2HDpNyyfatula+Evhvlc2nL/f49K61saoPMq61Hcwq/MYtFOvbWjpxLd1
9XpcKq29vPX4lRfEnlLb2Es9fsXsqYA8rQ6oPUvkXg3rdDdmPZbvn99lY7vQznYzvsrRfbRUb/qw
jM4LF6dl+01a1rce7maiNfAHZ/k9FmeEyDzuzpJpANdsZHMC2iMKY4HBL9CWugeXNPngWYwoX2qj
5QkSwSCyG9o2GSm5pmc9KyDVs2T/1r2sKnE/FqK+onnJz0wI88+aFzng04zavmXLmuzQk50WM7yL
KcUTI9g8q4G/eOmiL8dqtsZln0ljzFisaWJDwhW37Htgh29RHre7qNQFjyttoriMa7eufLP15HXZ
xOve4Mn1oRmd+GD7WEtuq8pW5Q+r7rWhIL2JJKnRIoDfrGT6NErgYa3K1edV09Z7XRaRBcFcSZ5t
yfhsZDK5J0grBy4Y1ts1tfoP6+eHb4tx3efAV9QQcXS/JEv3da687go7T/3YTuPJaOJYYOQfxRtA
XjNvJttLrM1l44YMTDQS5l94fkk/mEJ9imO8ujiS+JxzjAA+un+W7YdBrQfiFzD8dER1EQkxmM5n
klia2WfUhe2YRdMTo3a9/mZrTb+fqja9qoa2ugM5al5aDGLvXePIPRi5QciGvqy4A+b4IEfsxFsD
zTkNipJQYU3aK8s0y0bfmyw6P2Ut25R9Z0n6L4Rc2gSktP1wThOSFFgh5PUeVsdOnWkJ0r1oJ8zX
bMLLCJlRcmM4CXXoMo68p4Hcp9Cqi7UJVOSsrOp0CWIoGSQfi0IhX47MO6D1IqO6ZYPjugcaulQ3
1qB2Dm7sveeUgMQT9P19zJm5n8CavnrVWny5dNkoLYNV5OFgW9oDSyeH24LB4AubyBZcIhYEc8MD
P3CsaA1qo3P4yqhTYuAsPnX6Up8rGROikFpJFQVVjiu0qPI22Zt9Gt+YVcFbyLLatS/jfnU3yOJ7
25N8z+VS7KY2V7ca+TBMT4ilCdrVcU5xwuDJp6/UH5UTyfvZVOvGJo/UDvKFnd0n1RAx4Vc4nI8d
YqAZitW2CaPpBDa8vtGD0SlTjdY0UZeHclqgevUdHw1lvF7I5TTCYR97nkhvaYaCFJSMmpgM47dG
xzbc3GaLCxFzF2fEvF0RtQHqcbuPfqtYfQjPITYktCWnzrQU+ixuNoLuoCnnGXceZWRRb9whab0g
F1l6QK3tPuY4q65YH82dRGMQcdcYrv5UOJeeAtt7HjLcXnA9eEZ7Y7MP51yIPtqbOqOWkXwMjGtL
0mxjgnaf8SKYDKKVwEDSjNGXvvXYIbmKNb9inN6YB3jwNX5xhxlaHHi5+2VX0v8Xs/4FSoasxGqA
39ex/k/5nrRvf7pt394/ut8qWT9/599FLFcQR+VI52ek7BI//FemzBWfXAEXJgxJ+cJf+k+mzJCf
DLgxVzcM1/AuK2f+JmGZnyDQcI/xcjwo/mdA2Q/0M9QFPwLXtXGRxBzP+XF1huDuMRqM7bbtEAO7
JIPnPa6uVtahU0lxY7uEYYWagZWn1OdqS5Cv2uTUROGvDts/ANsuOQY/SGn8Gtx7pAtcZwuK7R8I
ZR3mKtUWaW4qWoznzFsGABgZHca4MB+HLJVnNqX5K3hmEWEepd7de8wYNoaanT3/Kd2iElW7ilHQ
F26lzCIujwaiDSAPCmBeGATCiFaMLyHJr8N1otIEKxPc0cbGZHOXdFgzUlaPMZglB09rtBXfbZxH
G63NptBy3GVTxihiKCfTZ8O0Xdw2TEA2DGrlSZDBsDCHIRlR8fcXn3An49BGYn6riFEKBmVfYz7R
9hfiBNSj66033dHzKwcmrPXZAcKKdh4Gp1lwP8HF+dWy+vXdyFrnUXIS7BgPj8c+mxhXkk2jfJVk
KXkFU/WVBOHuMIixvUns3jjqlcHtkaDBrZB2fxsLKwrt0kR/UNYxr+o9xDk9MqXWE6FXeYPJkOmc
rQzx2WBCSg6gbj4lk9S2A2YN8A4r8tfRMlHTYm3LX9F3sxuJsJqSdt/ZujyjV02H0bu4JRZq9iVe
wsZuhhPTyxTToB3TMDSX+yMh3MHQMBNZ3MnZRL29sLRA9I9Oo9ehTCsrpAxNHogudD67qxfBvuKa
sAio3AMZrLy15na9VBKF0KYrWAr1OEyz9kKVOW4VTqW9adu631ZmumkqRiXW2o7vTaG8jSiy8s4u
WHbhs9JuYKZTtMc0tuyQKeKWrM8rO2n2XqmdPFTDbTxrZBLq7o2L3LBw+4+NYNUxZhcld3MH0zYN
qtxlTGj9jocQzjCIMJFoYRmtWdDhAupEd8sGMuHnScSMZ2DvAPmK6d4akV7qHharzrL+c8robVd2
PRoiPuJgKTXtq7tS+XhjuVxTSo7sdOB8Sjmttkwis01tdcXl/4n3GFPKDh9n/LKS5FL6mjEuV7GN
3pMjvt3ps2XcDsU43+i1tjJ9HudwYiLj48i8IVqN/JViWHc1ou5dnjtil+f2emdTjWyaVaPEge8k
lWFNbzNkzxssFDFIUOpskFnEgWBLO3ASgDG8gWYwun29r6a6fs5LC+orpT8t84wsRR7/FvO/jTHJ
4pFATSycuKlCXoNlhEkj9uNMFvhMLtWhcnpvV5axubHKBaKroq8LCk3KTRvrIIskmoUtc+X/S92Z
7TaOpdn6hZoNbs68FalZsmx5CDtuCIfD5jyTm5t8+v6U2eiTGZUnCgc4N40CCgVERciWxL3/Ya1v
cbmzAMrjWWcdjvQOpZ3X2Yg7IWRxRDg8az3BbFrDcha79VxS7hfmYU5cehpTOReAd+ZVKgTmVX+n
moXBnKzts1db8zYrGJ4yzRPn2EsuPocMQzLroo9lUCTQ0mK9Go9SmOnHXHfJVxmrMfAL/CGCEMbT
DIPnsrhm+xpz6u+g6DiHTsrmXE3WsF8qaW80IqIuPT920ALyuMbgbd6NxksPTjbYu2Eax4/OKtor
J7MHlqPuvhvtyMbOzSIMoQ7hJw2DIoZ6EBfyvWcxsODLf4NhjOO8tZe2nEIQVRiy+6YdN1GSTxs2
b15DQa5PVQi1OzuP7M3DBHnJJouxpiWU4bQn5NIGAqTIEBqtbsILH6U5rIQ5OaFMoxcT69IFpUG9
BIbt14wBk5vC1MdKA/hMeOMDJSJNhoG4B21Pw4ZdRAjDhq5kWezIc2SCT+JMm7f9PFaHaS6Tt0ZU
UgZe3PFcJ5L2Vpk+ig0kYnHA6kWZp6TJ7YOLjcpam43/OQMtjfdNVbXriaHywYNu9mql/rBbshrK
nyRjDoSI62wry4US50O/+0pr+meW7N3w5fbINCO5DK8lRNxd49SXKtG+UfP2zBV0AdsV0qeHAWFZ
NYXwaUAdf+D5X6w3XPCOj6Q2rl9JnCrA+828gD65+2gC6DGXZbVPjGgqwj/ZtfjDins4o1Jsy2iy
1N7JZumfkHeK/BOiWz9eRVZaj0QcmWozNFrz3vMovEeRUb3URaKdwdVWiDtrLui16Hi10l+m5wbt
lcYlFVkvsZSveelrR8bJKjrqFhA5B6CQE9gDDtY/MbhkjJoHTM3m9U8WLrHAWJ7T2flCcmRfuQpJ
Op6YZ2YPQ98zI3VF+jhiG3pExKCcEJAIugqmZe1XXEJRWiep63yrWmV+ANyZ9wN2xu2cSufozNL7
9EtXWKvI0LOd5gn7FGUWiGitndpHBmzOuVK8q4RouVspWiRdvdY61zxy2rfSctqrxWn9OJdtuwOJ
LTdxH2MjgnLhOSvYKOpsLpF5kzDEtP3ULn8kRQxycl/6RC+8S0/eYHaQ+VXzpXcErtcjaWOurOfM
IgPmdq3+rfa79G2ys5EVWJMuCLuLGK0gO2X7O7LhtrpkjL7q9ZBWdMI9NMJ1gYK2Z97tiwc2BTXH
rRY/JJM9vRZdI57RbJqP9SDKA7sdPDKmqi9RwcapQou8p6rJmYNK/glqrSlDldDJsFDpBBvWGI7C
tbB7+54GscGot4LQsaCalhqvvzI2MBC0G3Ilks8d4pcszDOWSSunytXdnJfGsF4g95ir5ebGDOKS
jU4mpjGkRd5Hfa1+JK42hXU3J99io6ThNuMSCE4igqq0zAA9shEAQt4ZJewnjcXLPinVchkHcJVd
6/fErABxohbztkqBIuVQzZmZBXlUD+rYRBVCLqY7o7FzexBIh77OkgPlDGxqAzTCE2WD82QhsoDq
13C/b/3MFfd5WyxgUEnfy1ngMYLuzO7K39rY2ZxuoWfRhJY2y8RCd49T3M/rpJ7jMqz6rn9tImdh
cW/P8L4MchPBNHIdoYqrWltb1fR026he4otcZnuDFnLeW/RnJwcC7SqNO7CWjKmtz0Tfq656xWn9
TsDeCiHAwXBfEaeYRoCiFDgEyNYf1Jf1ZhA2i4VKzfKbxijwvujSbG3mUZGHheV4dzdAwLKd8ZET
npH7W7KvALQh3NnSxFu7jNEG3Tlkavw+hL3B/EwCD0jKSoy0jyrSxXzfK92oD2ghbTREJVEldqJ1
K4lX4Zjmfv4kxyhBOIYuGf9bsc/gHt/LJDGx+jf1/CmNElZHXE/ZN4SnUVhpNqo1P+tdM8jwsDfB
hOq6XNelh4RaVb2eRYx2QID9SZTGSZwyJmwmULloXne2mqw90O5m47DrOVUAUe6yCTUp9W3+opi2
GwcZSy3MJuFGOz+K2mKXeVl18gwPRb5Y7B2/8hTcMHU7aUrxY+xj896ajJ66Gg3qI6dNAmoxwRIf
JoroxG6I1qWM5CGP/VOXexuUZWiRe2YocVTFCLltwExjob0vaKf7LdwojWVC9t6amg+w7rbtmxej
+BwZXF5yTkVu/6EEDI3pl231HM1hbunV2S1SqjdN6i8NdL97Lrj2yGDYOvq+BsHAAnHNnp7vhKqj
LxSexZrhiHtRdmpQQLsjaK0JbqpKG+0F5wpnyKyiSAV/jCbzpuzXbmG312VyLEYNg2HedeyCg5R9
9LvNivth5hTfGjH7mXKA51uiakMB1H92jDoDYEotWnzRcHPG6EYZA4W2mO6ijqIgncyjySe0zubc
XUtHr2G2u9ba4aIBz9Iy0U4j9wx+OXkRY3fXGs6wgbHRbwucyIrfehlOnR3nR/CmLgeJUYw76G8U
bnGCR8Ky5wfgGmwYi+pY1MWzY5SfWuRdBunVDLGSPGhVrm/SpJr2WupxM7GsqjEhrRwxLJeibcsP
OXfjpab6gsYRxacEWP0OL+h0cMUPLCyIAAZrk5s53lM170zGK/RSyxQyFyw3ggsJpVE8J1kAHHcH
JG0OIoPQpGSvUvuQzA44zviYL6lzjt1YHCsPYB1LlSkPEPA2YSEk4FCFLG9qY7Hq5fTU8DBtrCqu
A6wqTcDsLUU2h80mZhq+j7rYOnrDaD1YovQOUm/kehAZ2GLNQxTH034csSrBAKw7QQla6bevoR2g
Ey3WmuqKsLbVLgKmt4UaePDYtYHaC4WX3MRSfKfnYKoY/FB1pAfoL1nQGZk6drhWQqSmNX1WjaRJ
uKXYZHhsVrFld11Q5p1FCqra3RS2rU4NsVjSC2yD7WzsZMU+WkrOPwaHLyJqapZG5Qw0EZLdMYlb
/1W3G2sLIFR865hJBjgEikOjlpEVqYjPLKvBT0++3C0yM76DiDG/Oe7SXKmAs/1A+NtLXkX4FqpG
u6Jut6/50uaclTagRKw+yem2ZUdZ3y5rnaLtA/MaLbRomJNZQ/3TTFqbVe5wUm12JFLIDmc9+qEr
7r4/VCe5HaA9eII/APVils6KfU2/w1/j7pUx+ufJmfxHwLUM0+E1B7WggJVuZa5BonpAFBvWihXw
4rQOHZ3tjmnRRerlFVFOTp1Qde+MPq2wBLkcWLT4e1Y3O9A1Gtq3tFxXYhpgqA9I2/z8akPesb3K
YXnf3dUGw391HiGpkmq4MQbnDa/HpZp0sYOu/ogkfBNrIJDKbhfl4nYtOQjhQaUHlIbfuth/xTRD
XkH63jHYCIoub8MYacMVm1658wF2r7hmqhPx2gbf467e+15+9NDYg1m2lqPTJew1bFbIZe5tLZYv
QQ5maBfpCPCnoYi3eEMedRMLsTdXMjDA0IULbJ2cL0ft7HWb5grPbP7BnqWGRuMCfUmnysEWwRkJ
s3yHq88M7aHQt3hZok2du9FRFXAGocv1O59ogQjLWeae0tiIVp5yEb14ck9SdLFN3b0YkyOC2x0R
JihxRWo/N407nHTLNZ+RigBU7uTgr22DzN1tXpa4hvNo9sbAwyi0Wfq0edEmhK2eSYuyONjxysVv
jhCi5COA1/scD0822/z/Qe9A0zgMZftZsdw646NAYxF7OnQcD+5+42EDEeWGEVOzZ7IaBa2p8tBA
SXteDHiHDobPD5PfD4brmKNiAgHxOmpeu5ewpe7VWNmbCEg5KAlMkHHRrGWr9I2DdHQ0I50zr341
HU2/SpYYdDjKnx9K1GeQ+zSn2wwMpbdTWtXIQ3XeehAxsIQmH106QHfUsvapBAQROo0zsSeLvJM0
mQ6n5B4u4hPcfsIS3T34/qPClsHG4H5Oi305pD+Q53/OcYfaXG9qCnGjVbgGnLjd9aLDFjiCp5ns
QoWZoenrWiunuzGXgMJdLd1xc+3gRu4E7tAJ9RdOTBydPlper+aBcss1t+2nMxl3WmX7W3xqO1sT
Rxt754paa9NK+TYaU8zSyUQi2XIdPHYsRO4QQLyNpgGastZezNS3LyUiknfCjhtk9DNCYMoWlwZi
b7Z0Y5Qo2qPyzXNtEtCb4b5068Y5tQaw+sw2XjnAY2g3rf1iImZH4uzMoTeLlxLTbZg5XhcsoP2p
oYOuyQOoN5+jjsAEw2u98l02i/nodewJna8ci5+TpPsyV0EylU8t5GhWilOQthLMAxf4pozQ4mOh
Lar5VWs8i6dHy9cYsdjhFmDLHmmy+01hpecsIgPEF8P9bWuxNjFg3ie9+ZyBYglc9m2hKHTqRcHE
yEWgy0o23SjSvAMrNQpGecK6U8rpQ69AYZZ3WRRiWFqTC7F2urruAlvIg5WfNF8/NlOa8jhWjzfR
PV7JQ+T3/i7txzuHJWeHQHn0w7EW5VPc1uoV4yyyV3g3BQ3HqmzUzmkLtSUz16gQbM31Ph1YdWpk
zOw1kRi7vBfyvl1k/D1GQR/whL7T8j+ZHeLse6NZgRX76TLnegKdU+8Fpe8+YTK0rpQ8aU5BQw3g
dqMr19tZrFLpTXC2loxbRlSLL6bIiH/I5jFepZrHfrshTaEaJA60hn2R4TIxo22IUBssziPo+xQx
1aLO9WIpZpmG0+4RSY1hp6k0rHxFgHOJAIR4Kz4oPSZtIUrXruHO/qptTFaQtrLu+J6tDfxesxP1
JzCQy6rGCqpzP2aGt+bvovJBObbH/pyua1OfQ17T/WiWqN/Bfn30o+yxNOpkixyl2UKHy180FpFh
a3f3I5S2VZbq6ToH5gmBUCN3j3ueOhkII/40iDJFc4V3JlcLdcK8uEjwdA2D9NLkuNGm6c2uwYJi
U0n2Thpb5wL1GPCkRGNEXOTNzdvFZ7ablOmd3BiGItpQp3FD1JB5CLgcrWZFfC8PxU+XUReItJnc
RSdTD1mPRTHMb/NwX3fh4bGzyg0j/kZEAuYND05/ZcKeWfdpFgEujG6Y/mhW2ZbVd/69y6DtDblp
b2oqTQqqfMQ9zI2cLnrHdsttkGh0wwwu3bddGZ+kMx+hAmsvcNRhvjW0HuteE+LJt20BTczLcyJn
WLWeSBmKj27UiJ2chA5vkv0V/MJySVZqdtw710S1jtWw3fFX2Osa6UAqDlauFFPKXgxO+9UnDaVj
ZPWnqaNhQl+kPxiVHV80pza3bdJlWyjBFEAkXYp1nI7cvLIp7ZMuh7Cj+DOR65KiwJTi5He28TiW
RnxAcWM8cfBXl9Exk62M8fUAXUL0YBCx0MIFwjeyKlqw8zT/DVcf/s8ZOQBjthY1VFDPRvLuOZwX
QG6m/NkQ3nkkuIBh5lSh+amdQCjrM/J18weq+jqBD2hGP6MiLZ8oQ94y34YVmHcPxtg/GX4uQ3kb
eKFC2JEt1mxyauejUjpfV5vBF7JHuVPaUr036JR2HtEGAUgSfS1rYJMx48EQNcZyj2FTBewRMLzP
rsfYDJMLj5bFgM5ha49bHQdv1tx5uQkzvVXuFmHEs5wTlrxG9y0VwGbgSkOhN2znbhniFKRj3363
CBJKVnrkTlvTHq02YFecIFjVt3kcPZGH4u89/1buEIGFUeio4IZy4KnsMBvuV0r5vzKzcghzRlCc
BMpGNzjewooKeNjIjXIVjoOoTs4S3Y/ucu/Ejv+QIB8NcCA2m3owPqrE48top+YZuWDEIvYGts9m
7f2G+yUUy//uD8LbOQ1bWqokC2Y1iUzA7FDAllGRoQEwxI5bl9bYOKRUTc9ZIew7Q/D1A8QeH0bl
aTsaO/x/XfEwpI6G3FHoG7cdToJCvfcGuTUXppJraSz9Hi+cdidndaMXW09J4/ByOUZtqwM3lWiO
DEdod3PV8csjlByEeUE/pZ9Y/C6rm5SDCKmYpjjPfSZDrLWHSl2F0fFwdhVmn2kSByPyH2c1WMek
qrDkCH2l2xhlpOuvgYo+obq4m0HpQiBoMH+DcxarJReuGxCFddPqdMPGoMLhLGQ0aq0HNAvxanJz
Aplqc0D4jHOGL/MERkE4HMjC75rn2decn7XtMrVEHhxQWCx8vDa2J76G4XzLvaKlzhu8blV2HtAi
36OQWw7zgEfL84ciyJvs2Y6dB6fPgCwQc+Fk4lhAQvSYdm8tu6cUnM0HbFH5MQV73bVpmJboqcfs
1ZY1g1bwxUFbu3ihH6JeJuHCguWxw9sWGGhNrqZed8cWpWMoYyd5sSH971A4U9KoviaBwAM3jYCv
TRqsjl6jbcsBhP/4oNg1neMpyQ43xc97qaI0Cgq3oeweyD5YjTZPQFzZJ4GGM1u1VklwQjMcYkh5
+My6vXA4T1cW+sktCQtUgynVwipzZ66TEp16oNuWzsjRqbZmW/p8jPh5X/Q2sW4FENA5TxXVD/gP
WPQbcKgn/tHsAOH6efAYURWasak5384o9zM30Mgh+VhyCjPuw+khnRa5jxtsVSsfhOwrEd/aE30/
WWJ8lV8waeOMZ8aehAAn+gvnQo82ebSK747y5QfiSvo6hga+ZCmU5/Zy7Cs7zZneWuOLPfTpRWqK
x3jO+RDYMU3JHT60bMaLnlJmFo3pPxXC6feJqnFvkRUn3ybdtZ/xtiUkArjMqarYRvAP99tCzVEb
xSWGiQctq1A+cRRxOS28JTf5q4VG5hmHU7dnHUUZV41GuqGjtnYugbwLnISGzAcX1R60+Em+Zm71
gc9VA943fNCWayTIpWQe6K3xUVDwsXBbGFittIyRSD/q3lGiQOGkqPlPCPy3P89OnVBS6vYrIUI8
S/yx3p810+l/QNfHt9cbUQ1KQ9o/MwryDZhTZ+9FsXNmy6ru0AQBfpbshDtnGjZNWtgPo2NxoiVu
zBelxT+wGYGB7DQt6tg/wcUmvse/TbqqFaWi/OTdGTfVoECLiizd6aq7OspiDUn8Boo8y9aQ+GTF
GRWsemSylmzQLAXLgq4v8LS2xJqf4x7k8cskbAZHJaErIvtHXbeDXMMFaA89SXTPxuCL0GAquwOb
bl6KScsBbUTexCoaO4rZYlWXFkoiiM9cfCrdsFHcthNf4Hjx3qsEW4kHNfqeL367XnCm7TFyGBdd
Ju9+z0RvlVLTwsqTbxZBUUEPJmGdW8s9IHSUSE3pr0Ydul2EQi9whnIJ2/m1ScO817EqGPUdG0GE
Z2MrnuOmDeWcd2QVeMsL4GI9JHyvW4/ZOIVKCRRzRXcACEnX4S4dOnY92fSmFl3HBr6sOzrfVTQk
8xr0QLvW4YufMwATa8UI7GrlEX7aDFLkE8umZZMkWfQwVVO6GZSm3iIMsqQz2kGO/+NSdV35UgGZ
Ccj91leu76cPI4TnrcToWQYdhkCUb1wMC+G8kX9MGUvSdeRZ9pSM+nB1DRY+a8R8sQxKQ0+Ptj9T
EsSehavE5E62czeIFlM9qjkXO+IK5daCToIQ9LZVS8Gt1KxOTTS1t5vapfFYuz5KzQZBwApXqP6i
xqZbqRFJjzVI5Pv4p0N8KXJNYsYTnRlVymB1W69uzHM2ZcQrz0Uazrnxnf1bdKQQyU4F1WRQtjQ0
qOSdo91w1MosK9a4qeUZF7L9zdWwTcb6tMlSc0ZSNbi7HObAsVlEusnHXr8mkyHJe+QeRFU8oa2k
akEyWk3RYyKVg3C25VfJWAq6bWUdWU2Le95ViLAOAsyziEY7YLtWKWTqLpbPpPGWEzFS7tc8Y1LY
sn2hB2Trpg5EcKWBh1kA4GZTPcWLNV5MFLkamBvwHu25JTRqD5E681c6YW7HmOxHHUUfuRAo+SXR
hOieA3+pv9rJEUSJO6xU3NocAaE42mbQimhnxgWvV/eNsRUUCkd4m7uinIf3nDQgsfalNrmrGFnZ
C5/v99losy3CS4i30CYYzZWCtk1FoZP1r7qVJdvESrFlwkC3u5XFmI7hDvs7PbQspLA4OUdnPeUO
K8VOyOO8oEHz2mp8G9DM3mcz92PTuhkCVxqDzqyPbmX3OIQcm8uGnTn1fzsn6XUAHsq4OIP6bsac
0EOt37Nr2KQT3198N8+isPOfi1amT73fuT/ZwPknexSHdMzMBsVnBKzEw3gFVyUVRdAprX7VWMhe
atF2t4QwwbdCaKGem833ySeaaAX/PAfaQPDEkbsg+WAGSudhtOYlNmD6IwwifcCryguLfwWKvyIY
qFeWfoxLWKSkG7Fg0mzwKIP2FnWq++5DmHYCp5Y6ikkwafTxdvYRMaykTYDWvzUnke3Q7BBxUI/t
NwZDb2my/JiUX3CNO92zacAyTpGWwzkSXfpKUMHybZgxL3MK6Xh+Oup0eo2ebkovUAfQs4Sxn0qS
XFX14M3lgg/bcy5DWbqYnYppBzVeLgGTPhSeoDesTdVAeI4nAgYmOtGByDQYgH80ODljic3idg9s
vMSqS2vBFCPu1c7TSNBaEs1D9q6Mh9rS5QnlpnkYOI+uiDy0YGHSH1K0q/vCji0kk0P8CuDCfEYR
nqN1QLXCtkdHzKFZEjbLbT6u5Z24y4yJuZPelR4LLwjfE1bwOrURE7kxN0FazQzaZUr6rJjIxkP6
edJJAQ2GykDkUy1QwJHlu1mIY4oUGbf/ykRKdmENFQQ7CXKGLi+WtWGKJ5fZfoBTB3Q4pyn8lLk8
aYVxb8tq2fRk9SCTXNw7CMhE76ZK/cChQZhH703eg8Xyu6NFWmAwpaK8sqT1Hw3NUvcssJ0fKISr
ozY77NUqXR6yjkjAII4LYLZ14j1aM1tG+KqvyP3BYXRjt5yx4+UblDTdlqsUvQss8ctolFfEe/lJ
UXPtMvDLoTV5L23ZJSR/timlpKey5xa9zv1EIJxa6aOVvah2YUegeQviplSSN2kuZxJkqgAyh8SJ
N7v7Psm3STklB7skW5GEAu+A4eyuibCfIJr1dlU9V3tmGTJY0qbkiVDTQTQIZ5asY77Z4ZQnsRbX
V0RS9JlH4oY1M69eFz37qpnuky6uQjeii8u7Pg4JdEzCUmUPCXvCFDXUzvLwLfc+otU5a5i8Fqq6
y2uJC6PL9ybl7EOF+HcHeyM/+XMJT4HmyTw3rl/vmPt9eH3zZOkzmB4WRp5mH6q2ZGkDk23cZZHS
XxPI1Zu+KP0tSvvyWYwuB9fAThpuSXUQtTNiEszRhFi2ClNhtC8FSSQ4JSAV0SZD8+1YVJNs6pAq
h16pDVpMdZu4jbOdoaXIOjCWkFrbwujPBwYAapwNKA4xe9nE0osHjmlipljJqzU3R71hJ6kfR0N+
Np1g1tPHABBTVNarglXkHeeWDcLEnA/oCUDa+7F6upkl7/CwTDsc9MsViWWxXtKIkZQvqmtLcXGd
CM9cx0nZvM2FBGyRjEoeVamTSeYL78tRZvQiAYusMO1w13tZ1OY8+QvphKntf6vSYg6btGZqkNRa
mFdGvrZhm+8zYGz7MnGNB5E66Z1Z9QzKl4T8MH8yh3tmA8lHMbFPxmpTkcrBIBK5g3COs9NbryKf
FOfZ0jM1VPZxXGa/C0A+Fei2UvYJtuV/tJFvERkg4g+GhNQQ2W0UZbaQyWjCSxqB0T54w+ttFPRN
j1BlrfxaH96WyDFemG6kb+jTlguzDXMd+5FG1LqffSaaJa4zOXp73E7FU5RFyZq1AO09IYIr02/c
R1sX+jYZWyygnpNcZcz6HEvEWBwGjEZfBHPIx4rrlcXMHF1av7VttBNFuSuHzFprpOEextI0N23P
XUPzXOn3RTFPb4xZnDMrq2Lt1fA7+Mpb/YWNgfWI31gj52XOH/Na+5H1nbdxOu5PsukOBED3rHPs
7hK3SrzbxFut6ZxRYFQ1TBDLTTWEQQRlDS1pxn0O447xjLwCUacANKaxC4vKbeCeMMhoMn8KGt8Q
X0bmRUcUOjitG23s6GujMbl3KA5IsVDRoax5DqeuLW8RjmRTTy7TArZRxnWq++ia+X69jhECPFVR
+sjtSs1j00tz/Zq47lyXXVqSH/u8UM/OlCy7eQBLi/8IXopBWRtSI+fffPhADKO1KHmVlsvMzS+y
ibED823g3+yFsJ7lG1c3LQTnzvJeNamz9RK2d/1QEpxMyxmQWsB1xa7vkWkYAZY4QlH33WbvjT72
X4hr5sCrY/txAc6/l/NY3KgK/Yqmyz80OUgGyYo+4FEFDWnBWiXw2WWuMDs4K5HlpXwt2WCX6g7E
yEO5iAFl3CA3ox95G9Rk1JxxituF1c1jL0nBi2Vv73Tk6HRVnphsmsrZ+1qI6OOmWKrnHDAptWBv
btICJXstp+iuy0bU71GPZUXw88ckujPLdy2Pt1x8cuBoZxnN/QDvSfO0lV0UnEH/gVYsyzD0zJtE
TrYICq/+tNs6AuMUFW/FMMesUJAMPzsF+w8b9dW9rKKMbLJe3hEwoqNEqhDD5hJXBaix6uEPNfP/
b7n8/yKqg8vY0jBBLPzftfBbssy697+RWP/nb/2pg3eBObiO6VuObZpUhjfk9p86eMf7T+HbOg51
ATrCMG/U1f8Dc2B1YpvQGgwkxH9wHv5bCW/o/4k43vR0YRkG6FVh/b/AHHiJv6EcdF4B7wtubl8Y
LiM5/vwvcGPfQLzWF/CxBhvVxAo91fwNWIL6N6zhv6O+XfTQ2LcMrPm+6xj8Xr+8TA9OLGP45qwd
K5ffpa55G46OmG5hyOU2xl+5/cun8A/SenEjYf+VUXF7RQdMhafrus9S/BfgtE98AaduRGcpbqo7
0i6KJBg1ipxV5ZpVSIRo+uixHN4NkXcdJ534l5a/9b2aTbHVWz874IQxD6KVxtpYxuzAqGo6E9Gw
nITKm/O/+XlvjOpff14+cgi3NtsL3b19UH/5ILC95vOkwJAiLit/TkwKAlik/HdOKmeYoUJZTTFR
XsBh658dGMifzHGnlzlmiWOPtfUVw6p4rshgYo1OC/j7H8/41++J57g3ErCwTBALHl/iv/548OB1
bpPZWY9Ufed0ESwaU/umXe+nhJJNuWSgiKY+FoOp1rqmx7shRmzFz+ztEDm73ww0bJdZsToXzV5P
tAfFhYI/lwE5sNBW5m84JLwtOxBwbgxhfoyxyLfl3DbX3/8uFmaWf3mrwUiZnmGalJU3Y8pffxcv
XYhNQDW9bsYiOQGJ8PCRKyMOVeMltOEcorf9m73W6n76WTkTc/iirHxoHCiWdsrxtYdRqeHNsaSJ
b5WBfolF8VWBXOt7++x26S2bIZU4s7SY/nCUeyzaQK3j7K2xb0q8yH717cG8G8h0xbF8gaEldw2a
wH3eFc6dKKv2hOp4oXdFallB0hTRJinRaMCkctfjzP7WKCbz3DV68tNzAHqhpzObo+20cDhZ7sRU
EYYOOUVnFsaS3B/Cmqzu19+/l//wVuJe4XDjKPJMXOR/fyu7YsqaBuDWmhwT42hq5fJzodM6WZ2p
Xw3V832t4G3VYDr06t4n0SL8/Q/wx8nxy3NDRWBbUKZNYTrOL885egnS2PrZhhdhlpea7CxSOif9
psTbuqb40rJJXcY5VX1AwmxS7kZ+6C9WkN0Pq2kHhMaTBFvB/b3HIlqgemJ4sqoqJG6AuJp76mD2
pkhF4bA05fzTHyfxODYRm4VCaa/CzONTs7CbCYqGK3aOdXXy8jHbDKOj/5tvLkf7v3xzORpud5Jn
Yb3548//ckg0HuIssnScdZ+38g6LEEElfLYWsnASUWkw/U0rhIEcp1geutaLj3QRWPcJVUKgsFje
s93b82c3xfrH7z+Hfzjgvdspf8N+O0R1//JFKOK5lIWNv2UC9BCYXf2VSLSnAxsvl9jw37/YP7wN
nuUbhq8TZ4mP6wbT/8vbAHOI4NL5FtY89+6rDgvydoxkl9+/yj+cyH97lV+OicLLUqc3WeHnZpp+
6vCsTqj3SVO1hmre/P61/uE38i3X8l2P89/if/7yG2kT/OPEtnGZufJFTKjDVcSw4fevYtz+mb8+
LLYnKBwQqXGEGzoeuL+/jMGR67FwoQi2u2vTG7d+FetHKh8UrHw/vShYMKaaft40yGNSaBe6RFSc
S+2FSAzn0B8RaA+JBfUamu2WGcywstW1NxoSw+aEyKwUBro+JvsGEemtw1o6Op/2E4Bl8Ptf5teP
BzgWjTp3JUyrW131S3LCAnaoZSjmrluunQC4rbdChB+Hi0Pj+vuX+pe3DZrA7eLDFIVpEMPg39+2
ZImMwh01H2WrEx+iOdd27DblMe6qYmMCB9/xVvv/5kUpBX99qDBJ8rhTLnGwuTbl2d9fd8JfYpRQ
q0C0TE8ssOq1GdOB+JGaXsntZe4iVH8lU3VPUPGb61fZxp1m4x2Kk1gNenKk9rktyF1SOJ37vml0
hFRmu027Zot1h3lLlL5FRv9WY9RIdZA4UHX7FXpFGKzFgDRjUns7lxbznV6/vzGDghvWyk9nGhbN
Jowv1Wd907GawUUU0cp0+gkdRbFx1cTyLjKI7mzKh7FNfBR1bIG5FqCcBJy5+9zyHknK+i/yzmS5
cSTN1q/S1uv2MkyOYdEbgjNFStQUUmxgCikCM+BwzHj6+zGr2m5mVt0su+vepFWlRYZEEnT/h3O+
098v7oejlq/KWNr7Cq4N1FcZv7W16O9Fk1nbEeXHOloyc1U2frnSrZftCuayjH6bInufb8uBqU8r
OGBTO3xZRaB3TuIEyJU723mfUgsEglE+KzU8aH/X8zrxn5mfUUpOmCRWEfUO+XSelKzjukLqrWzy
fFOlAbZBZIGhNevy4jRgR8zJRRxvZU2HAxPpjal762dr5/6ZiWq7TU2mT1Gaj1iWzCHaIIL2ynXE
JfGdLfq4SWFnVWj7QlW4T8D9WOE2pH6tqp7lJemHyXwiesm5RskAAiYFh4nnJMDWwHh52VmFTUjz
MynbSK6dNZOe4Nc8Aosc+2cYjD8zqsvX1CJ6AOlFuQn84RtgqWNbTu227Tt8SDBnX5sss0FAkP+7
mlVd8ncVKBCDJSDAtblis3md4t4/D/Sje1g22OX6mIYx95ndQysd7vW0AA5fCvmALLr8AnLb3vfa
h38TJfEvH+njDm54uzcaX12xkJhvVaOKb2Nq72BY1x0ruMl/qOtSXaEr9ux5wOaS62k1M1PMgXDT
eOmudjT3qLuzIGyI63wmQ1rtkPnmF6EacFGTFo85hdalz5rbet8y1mZTevxkV7HMRbfEyMnY9ECY
P0TEQhv0FCIIzRIu4dPDM1V216QvfqAxmH9kt1c4GiTUwl58MGJnt9TPeJTN0If820TzORJeu4NO
M2JpyevPKDKTZ6KozVVj9ykFuA+Ao8nNo/CKZd11TbdeArAuxIDKq9ewYM7hYK0NNZvIEHT1ixDD
aSsGZz6WTHPuK+n/RDL8XpHehRDTJKZ3pa10+ua1Xg1XeETcPwe07TZbmL5NECqMLCfxtH3Tqv2m
Ahi6q06a+kdRm91r7OfuHtdSuQvsud7gVLHQR4/tnS41KYSBdvfAyYqtFn68kdAbQtNwq1dHV+Kc
8lutYSzzh/PqkRN22jdlMyJTst0NfyreWd54h1jhpy1jVPITWNkswGJQGfaEiyLhD4g4ecLf6DPo
HARid9+/j1oiRMmN9p/sfv7R+rJ+LPTo3pMpqWCcAShnPTwcilI+LMqwr31S8plAeK3WSTv2R8ck
zw5RYrJNgnEM+4CthFWrOy+7cRdYeqx+E83LaEleOhAN/Du1nAyj4QXWTRuyocy20mlnLghkOtJM
so+2r/q7IZbjJV0iBrRzPZ7JM0MHrHS3TgqwEk763uAS2yI5r9YMtJgaGdDvBwyqkyizC8hdCN1i
sj7tMSPlzG/ILA1YgKV53DxYomSZE9HauVu7dF7tqJGcgTHgtCSp1qaX38Oa6R9hJKIoHtDckveN
vzcCLsMrVvnVNiYmPXNqfSEcLIhPz6j0/RE0a9ZaHjPpBVvUpN17bRFqVRGGvced9mRiyJCVY6FT
BO/gef2uWlS/IfrwB8nkp8SUmHfyH1UKETqtBmc3KtfaaWE81blatxC/zpUcojuCn7NmJSFEv3UL
ElXVjFX0PaY9G1ZJVHpw/+eO7nrRp87scC6W9mZq8/jSo5gOO2s0kaPaCzIAglOZP+keJUlQMdNq
K+dm1b65SaIjZQce9izLT7UthgdhAvq/oZyAadfqKN22fnTc5prk6O4gmoqP1NH1x6KNfIfpjagT
8kc23eSkd2mkb6HSdb1hiSSxfqbFDmPXskM5xErfFNmx8ZlSey43p4a3yvdCoVzAWsr6OaMdLGZ/
zSasPChbphz9smFlkRvnAozstms4vLNUX7X5i/hpu1q5UJ6f/Q6MTmsm6sEai/nRjXP/pHQxn7zF
y07wkmc0C130rVqC+a1HBgkXujAfSXluduzIuAsTK9s5uku/g2IHP+K0zXZofO9NxYZxSBNCMDI7
5rpNSBVw82Q95Xb8wGSn2xi82js2pfLUMYq8i+xebpJoMJ4tYkCuCHDsg25H/84J4h7ZQBafh9Ln
f7XBcGH3+qXKhr0+RK4Qz7qx5xHd4ML74Zcy2VYF9eLK07fTJcA3h/BWUXYvnjsfWsfe2EIfVX+P
1wmWlFvdjwW82lhNfhdC+4ch0PveGRFG/dgtqfySaVO+sQWXIWu+1zly5LpGgUFlgOJMjoMOVt3S
ZTvDCdgEOm6J9b9xOcMc/CseuZOo6pB3CN08CTngeZ+WIhi2nmJB0dhMvQ2CLVcFwWLrxSl58KMO
1NR6qlznwM4fQr1vfPOdzntgQTSs+kmIaxUgQ1nS5stt2X8bsGyogAsN4k33F9HaWPucXyS5HuN8
iR9kHrhrrHCIERFXHdAwGM8ABiW6ezKtGEed2xgNfRyFFGrRVkfliPLNnJPNIACkjzhv77uujVnl
+q6JVTw1t0SDuMkK4Ju+OHYQvXraMx/LsjPOVjeqI/qA6TxNU/vVEq/BsrNJkueRrOkHgWHppz0Z
waePI+mYpxjzrIT/zgTIt9ao4ky2McrYosGzURFN9vxhBa13Vw7tLFaxXVcbHXjVo6o8/LtNNvws
xoklZWYLBZ3GZxOLwEKtcMUSUh9Rk8BfCHwMP9zXA+OfelW6kBGcUaGx8fsmenYUxMvQJPJ61Y5l
vJsbm11tGzWuIm0QoVPaWsVrLYPpjayRAhs9MCeNozqJok2GlAhCfZ0FFxS7w9bKsW/aNEOsqyIh
3+OGK8hTTLtdq/d2gRQscXIogdgPyuAM1kHxyxvubV20ZPZmUKJBogvT4n6Cf0bJpFt1r+akPWdD
9ggG/4fjZd/60ulRzMzWUcdRvO/75Y2wVL7Q0OTDOcn1vrcX0I0l6ib/dt0YlkdGSaCX5jYiwhxZ
uuj7C7+/s2wN657dyhaEAmsV4QEg1WU0HYZk3KJgW2dlEWy5XYEOgtoGIjhX2Qn9t3qtpuXUR1+L
4z36o/Ws/eHDbJIDNNnvMm/f2IM4+xLrzbUhsX3fGhXx5Ebp3RUDnqt1UaflujZMQE/1whq6NJTG
SEfQcFmI3mQUZVEnQUhC3ay7J9Hm+dqsfdKmHGX1l7xCrL1qXSk/phFPWciv0D80kYyvRTA9RVNp
74GEV+8ThvAalCCLH0ZL488hi7qnpfSa3TzVMO6wwmAnn2N/hYZj/up7H2p6iVQgdtxoFRGluuOb
7MNa0/XVj7NxPxgmLPu6Q1Ng9jAr6hjAbBwghcrV1c2Zd6ywjiGewjhz8GQ1viJ44NLx/QEkaRoj
snXrhZ7VSJFtYLlNf/Hf4AfQIDHRY6FQDSljEgd9WSuO+eiTG41w4d6DjZ1sHEatG20F5R2ICiFX
qYsmCXWQt8My3XHkOrWN0coS24r9z5OYbhp9j6HhC2T3mr2Lh57DTusdPrOALzfLehEL4kSi5Qpq
LxxQNn0B5l22k90ZH3yHrc1sg7pDy7c84MPsN5MXgKWY0N1hOPPF2Uig860QzeXnImmie03xsSE3
GWK8WdS7PvKRkdqOeSpj/4XE9yPm5vrH0scp1jtQIvDY6qdFoiHsFfF0KeQLmrrAvQaBZXxPZBE8
9ijnz5aHd4y/Mv68HYXfy7hOnvqxxLpGkUsiAB4VdogieCGBr3v2cOJixujSTw6W4sISanoZjTnN
1ilC262JPv07LEa8L1WS75MYoVMBGutiLnFzHfSEwTdT9kHFfXdBI4H5ViDeT1UfEYuBOgBEo3Ua
XZ+ADAq2b2WQ2siGAH/uqHkUWVmDIzZ+OQX7ZvAGlvJwEe8ZzGHVcxjMTWIuj3UwtIAK6rG9Gm3i
MU5Z9LxH4wKrpujcn6PZWM1qyar0irVPXYlbn+EMiNGyDrjqDIo+ukkktjeMZJWy3yeRpNrj98y+
tW2p35vMMcyNbbA4WNXNYkDHj8fspTclnje8OxunxOC7In+OxsZHLQlAZkguwsWyZUo4NEOkh5Ww
TUUbmOgHrslsq+2lsPmWNDGLSH9+FWZVvbAMhURR+BIzyRLRHFbdJfemK+pGj4d/yGE48BLESvmq
+sX/ddxwdApKSxaQ4EYCZJQjvZUvH0VCfAgLV6qQyMqdsMHm9mJ2JvNKg/gWciLS5rNQEcKEZbDu
zaHEWyQoeLDdiuGDaPPsvZKi0pvIlN0Q1pUzpo92knS7orEpdv+eD1+DZF3peEajgucgVKisaKqw
HHGpz+Bz3HKf28KwX8soan8NVoYAwWJwVx0tp3QRDfSzHE/BnLowaCPTm9cFkoZxTSUtxL2BSsQ/
mbhREK5L+daXU7knH8R+LBYbz5BISUMoMQoQpuXCMODbLpW/oc8cSbsZG46CZemh3gNVSrZlRUhx
Vw8UtzB31AbkzmzdMaW+RdQjSNmgf86WlRwbIiSINiOgNmhf0gEw4SiInRqbm2FO+NOvRQULRCXL
GY+LqMsf0lS3qKeCK3LmhsUeMw5gzrxy+WZVTvsrYQ50NhYpvnjpzXsfjS3YjQjxNVchxwCfjYO9
ry99fZF+PF/a2vVJeSMqdzvIwbhjGhZzng8gjteIplICBWp1nyKdvdSGzL7TWtIuemPj/8gyjTLK
4uD+1ph+kG98ezxlXeITBTGKCobJ6Kr3tgnqdUFQ0hsrJb5XQ5HS6KX1UzXg2Ituhukt9qYfhcUA
amwB83YOyxPmmbtsWI55DvkSBqVHPbOI+DGdveJ5gsq2tQ0Vn1Tim/e5zAWDD5RNWKeIo9jO1dId
YF1YGyVS3W1wJOlvNvFr+4zr6zXGb9Fxwicu7PjRbI96yfKPmnJpM451t+erGhNP1JsPqs0EJF0U
Nz7GABxLYTd1yHunaY7QwXkJt+Q0LGfiAmkM6IZ/WLLxD0xX45M1TD8xiP3UrXgxaAFuyhvzYN92
8j78y60zcoTWsupftYrjox+o4C4j2ebn4JVQg5c6nS9MtrgZSgprLJGW16OlNxmD6hRRw6TEzzYY
byRgz/7VWnJsP28/AmE9wmqAf4mTyI1rDQZhhENKa++yzgS8ZM9QGkwANU7EiwN9Swu+vGKLBrSV
L+OPlIyNPBx8QrmmyAOF0MlzxxkMCWWJ1mkHRH4V5HZ/GpCJHDQMHhhf87vB34KEEe/zmsYk37nd
jJiSI2KCYbV893vmcPEuKG95f/54T16N/dby0o8+1zA6YWIr2XHVG6ZL9iu3EwqPpMEaFc3yIlCE
YQLJ4C8WObZUczknVdmcAgKLwqhr1NdcTIzbyl7sIkWvK6YMvkYzdiTyVcBsEcnwPRCmPLSUtAhD
uazGFfJluepya9qBShU7oEc4yTVISPT+lrq0lqhgFmjvUHtWjMIhic0n5Wv3k1EGHvYRXK0Rigx3
nNk+lpFOHgirByYjUBV6bm+fo6gPu4zncHbnGgeSX897PvEOFaTlsHT10cP2CQD5IXgbhe29JpCW
jvmsVZj7i8lotgTbyt17BO1kn/2hd9c+5crbYLrZqYTwG1IcqI01DbgxBzKPnSAYz9PoA93vDDGD
30/Y1lX0V1dvpit2BpCg2gvSz1gTpqAgpYW2ZIuVp3H1UkKSf47jfnnEYuu9sq+vaYnSqIxWTo/2
iXieOizwoaANrDr/1RdpwQy2sJ66uYImOmMEoQVSB3NpW5wttg9JVmfhLZOsCp2KRyVwpjLdYfhu
d1zTZDOlnjEix5QYLoLEiSm35uE7xygJesB8sL4E9UhpHy0E37GF9lFnt40qt23q9Y+4lYw9Jsio
5jT1m5G2y0oRb8lRXNNizi5NXUdHH83/LqmhCYxQqu/AAjf7kQAJ1PlLtsZ6Rw/U3rAsEezcdAIA
iubqBYDrqtLW97R2P4KC4C9ZkxKwouJrCLEhgwZdtBvi6Tu7fST3kFONR1VLMqkq2z+W81ic0zZ/
rpLAWmH+TMgNsswnTzsO7L06OqSUIBvgk08gGHIOaXd8JGfL2MM/yC8TNympttWmjbP+MRJL/OQu
JQkVnXa3VsmUmYGufR4rp99JV3XbvsVSwzLkHdeucTLiQuymqDwMhfZ2vcNjlCXdr45u5Qu+coih
awr7uccOgOwUkr+C/K7KA6QUBPEkc+68pGU2FJGWxBNux/j1l+S56/vtwjrUbio+Y1a2G2NuP522
XE7xOAKR7TuNgA0UiFoJTtKK+RM5PkaPDd4QzUp1uEgted9go181Xa4gDUs8tRmZOwnwigxoi9EU
Jx8R2aLEJsgqpFKify8D+YWwLd71AgbgXGH8werjXntDh3Xr3llLtxeK/q7uAE7oJrln9luzOyh3
qPWvtZDGj0QBwsArC+xlLEGKoEU7MQB7yQMyayCJhyweQislkjUeegUANEUEnxFUoafiywbbEOa2
/r4s8Z1p0lWs4rRGq4tWEFmbgp8qPQFRCdeRXGR6wMfQYgQNiD1fdRWbLEoP7yQFMmC90CC7xQxd
3gZ26JsAdaNbOyFBc32vMAGSZpY7a7t2adr7aUvSQLs2vBiHY5HiU8GA9+Q2cYV/NrFA90ORdbfO
nHX7Yp5JGqWrQGwr0hzZd2nKdz2AVfqI+Bd8PTV2+bUdmM82ej96rYFpWz6j4uZ7q0J66c3ig1/c
sqBglKHT+RoJJ3rCI4z8sg9qMi186xBIG/ACEYiNtEgWq4ZxnPc4kYGVexG3opfxSOnUrLNnkS4Z
K0fTToKPGEGpXJnS9jDhEtV7clP6kzDGUz2+B0GWX4PYkzY4DlD24dyzH2E/it1C3oTk+TSFI8EF
OIA7VOkx96FrsELgPA0IC4QQ8piNQ/7Ug/iOQ84N/GPZwkwTS45EB5K63ruqiv5jri35hW8OObQT
9CX2fermlr4utOqp2C5LZ2ElmM1uDzu3CguDj5pmcKBbJNJMXH2h3xgU6w0Kcuz2U+cdPVcywydg
ivwmkkKX4gJBBjC3au7tDDFlqT4AaaFodcd7yf0e1+D/RIz9shNPjjnO6C/xXFwlBcmZJy55j5qs
oSNuVmMbGwAOSHSUU49H1VL7YmhStkvAOMss2MEQ+w4y6FE20xvKv6nDCUWZgbuzOUwIkWMfICJg
ERxDtk3mLMyqsEwZNsbSuolszP6Ru7vihsyZkmWFKhGz39wzHSJzEOPLUP5cSAAItWO3IWXPoSLz
ctV5KGF9ZzBQmbhspVTQjk9BXXUvcY+peUpthtTgei4Z+gHo8+eb4WgDAMNcA3BhSNHWUfRGv4Dt
C1UaaB400SDj7e57amawpjXQztPStUaMIjTPKHxBe+Ek5dIt+5gjD9gT84I5i4P9bJg9SlDaPM6f
sr4YRSWfGsLFKLSYn6YGIYkEUb63sTB388CJy2x1Oqe11ECfp+Vt9ujaypBVFpMNl4fl3tXl24iQ
+ooNMoq3bWfP38EagcOmOj470Ebe5maBstyw1qMkWiRZO3NgnKdC4NDyPN4G9GAi25VtHN3bjIY+
6U3pQpYsuqRDXDGo4P3jnRSJZ24iaRYvtHDputV6hzU9HEsc3w7oJNYUQ/5Sds1e9wr0YDm+dm3Z
8A7GLyyQdwre7b5gl7TpF92Gxkzo3RrNMjPuTGBrYaXIuZK+dLWHStzHECNxkzO+cg39q1rSC06Z
W8LavPMsva7Ggpy2fOTKZpAfLlCATrhowIXAZ2gRumA1sFS8RSoPwqRGjOKuHZn+sHpLKkSNatyX
9J9vRhUwW3Wd5hZH1HxhuTTQQVk8IGOqcdGXcOyfCmlaU9iYXb7HGUHXgNr4DkYu/js4DySiMKwL
QsO5GZVGj4SGygUR1+SXzoPg2A4qPbI5YeUAp2s/6QDDsjZ6wnwQ4C6Py5RWe4RnY7u24Ifv/dwg
IbS6qektYoXfMk7Fz8XUUNvQtjy5KhqYE08K39nicIRJb3joctZmA/rmDeeGOBWppWiZmto5aGsg
osJFoH4ZqWOOwxwRNtS3hAuvkmRCGrwUNV/2zrCc9djxlofC6l/zFvO+7y/+JoUxuxt9M6OsA7Lh
YSNbjYncyZYKCiRJZ53p4OpVotkqDmsSUK7EiLZZKn7WxNmF2iOGOb9VvONipY/o9eqLjT85rMsi
e8iWxd3zVbIfbpL+VyexvI0fCLJ+hqWi3yPZAu+ZFcoc+i9ccc4tNPl3yIxuOU4DtXPUjCdO3AkD
DbyenlN659oI/MF03jZjTWR+Kxg3HCO2QGsFpZ5gQdt97EkWJAWzlp/kX8CHYarH5ZFnk73usWeu
klFkkD/xJjJDstcGQETCGET3ptNEPpk8n9dEmTxKsQ0j3VnqR4lSivA64pm4eQgh5pBlQDU4B4Ow
zxsbZU7Xfi7Lp7RU+a5v3e5bE3HW1YbNQn+sULatZiPjFZcCe2VYVDA+VOx16LHr5NNBR/suySq+
ny0iE1knitBCqAj+wpah7wWggIwY/GNe1CH83vmEI4krJ64HPp2xbvwPMYp3LMg/48GzzzKwH3ig
mNYzTQrLosseEmGWPYhWfescHFiAl2BhdU0K4tj2u5rDMwkT3Q57HuuG8tFmZDqWfoI1KY1fvMZo
59tFNBhr5PTzhGnD85AMLMFdNZhIsr1Sf1p4q2xm7pFnd/eNKOcDTjIvzHOB16UbM+QzCX7dK/Zi
9cTTlX7LK2W+4WYlCdNr400sZLyN6mi5d6u6CBuvp7+M5oG1c2Eab6guu5ccXOPa8Us8TtligjXU
hFug2op/Bthe1yoy8k3gLvMTdgZ1V4Gq2HJbFBvX0+2xmgzS1RZjsFi/mL91yX042VVzEjCAyMAo
iqOcYwgrN4LU7Q6xw6Xw523rDMuFQQvA1yQXH3kcu682lqZjRZO0b0XSMof1kh3UhHQL9WJTWFP/
JQJQ7ukI1X/lWaNbhASw3GHHnh54IgtKake/E72ZfdoBIc06iZcnz7MGolLpd9R6Zn2MgmHN1HiF
vpF/4mQcnmfY8wBqyaYHbTF07ZM5le3FyetGXgwSiY7dbJK9KMXYbyS91h73FBv0JTceZjvB5iPc
0oSHkRQb5XZoVEzFVA9+4zOWKeuSqJpCxPQY2pCrxfeZr56KW5aY/lK8JLpEQgK6ki1ofRa1ePEq
QRqELp5LJZrHuncioiSm9FbV3sBZafpqCD3cQ5LxniE4DY8EZ9brLLuOjFq3lpP1bzmsyAdp2tMb
BopuQ4RGf7Jr6Ku9F/VvHCtvbl7Y51nc6oOxzC+kulmnqmiNXYEh6CEm3DeM5JB/DQTqbpvRMkJd
DimtisHpgMBqT2+YxmGjLIgJyD/kofDaZjdof3kv4wZwRwdh8BNvOvVYq4hsKaiTT1kq43XluMxl
nYq0IjhqYYznP2ycmzSi6n2OplgdSgVfiLJwp22vPyoMOeAcTPNNBgWgBZ/fqsTpXppXhq3pCVCt
vWVmm/G3etO2VkZ+iMG5PiivaTdlgO+bbDP/1JuMNLLq18i8xp24MwpyZneU0djwZ9uBD5wlRhgR
IrpvwFoxYYnf/ST5QqX002faCjbU26aRuYXaQn4VmeY71dQ/ge3CWHJvycm6WN3sZiTREJdQDnex
ju9Gr8ajzLEzLR4BDyyGhDkb7I2TDV/ZsDcdyMGeeSgG9TS35h7FUOhhKt/PGbRDOUJnkmyFutU4
scjye8Y9ZYu3zBL7BW97YTukSs93TsP0ewYh/8ioy9m3uPu2ThejR1ZLSjNJ6Md3T80auHKcnX1S
554s9l/PsqJjrJeUUXhZm7v/WmoIWJrVPQDvLv4AgeqcaYGN7eLHORzutH35TTH3v9gLYhu+RBf4
/3aCPKV5npa/z/X8x3/yjzgE/2/kZQZIsFD1IWS/ZRv83Qbi+38zkNdY6In+kXnwPyYQ/CEWf/CW
kmBK9H9IHP/HBOL9zfBY1iDk/M05gob9/yPR0/yjjNsNkE/zW4GVZglq+I78k9AQZIBRjZVl7R1A
TcflxhOK6/TMtkAdUfLd8n/ofZ2krTcAtKeXdMzjY2VWcKmMLlmbOFFXpTX4nxkjiXXUKe+xKntc
0cTRnUsPCPLv3tmHvytW/4PZyUOdVl373//5R3PHP/++f9J+SpTOXcq2ZR+keJhn51YoIBGFDByh
sWKyYTXU+EFpRLu//sH2n8wD//yjb0re32mPlesg2FLQAtKY9miZuuxC5La/XZqpZoEtkB4E6CJ7
ExwOdKH7ic0X9oagXBPmE4dgpPR+XmjkajGWt+EDg1Wd3FuEWR8sxbvn2tN9YUfxOepgf4KPQMqk
K2NP2txN/rPRRfqSZ4aEL9qgU2I+6EPCJkRiWc+sORCsl/Uu6cr+abCN+C5vUQnhy0s3hbLKYxkY
9RlDcXrW1TK+U991EDFVfYctnhko2TtbrRCVVJ8zhIpDgdxLdJgMGU9iJQfM8+KM9XTwBmjGhV34
q2iK023m9Z+ZDlpGKLXVA8CAmJQwgN0uNYSfLKYT1onkdrSyFxKq0eOP1yZT+tCO67EQb05bBaeu
yMrjnAXf2sUSOwkRUc9kn88JSbGMCFBYEh9FPWjDyMsw7XO52KMqVoPvfXQl9Q+uOJwSGHfsIQL0
OMz3E8LCLZPNbtPfcr1FYndHhQt9G5GWuo6K9EIdZW8nbex1XD8XznSMFoLmYq2gawE6FTH9YnN0
Ebiil4DRnOWkdKkYRVi6QIYg0Y8wyZFmDUAyHs/ZqDe8MLCGKWWQ1K7xHYxgvHHjkXmYNLt5T4LW
dewDnEVoJBicnaI5oBPyrWGrkukZwdxNjT1164nk95Vy+22MvmKPY+bZrCY0pCA2sSLzmSCOgtRP
Ab6h9C/uGM1uaMHNTeu70cGvSK/u0iQ6OI7yQx/iG+kQoJBRtcsw6IGUDJO9PIupOTZQwkUNjn5I
ysNia3tdJIRmph1P88QaeTsqQZ6gH1C65v0MlJordUo71s1DiYSieu5gS+rAkrsGn3SQ+M+YsqgE
gDBZUMLXcnQkAdvD3rUZBOVodcLKg89SWD5zVxDIY0BEwRDIPQW+tyqdaOfKV2DtTOLIC10lUhVr
whmzG5LOJ9gXzVsFuKHxfLhoxfhoIpw8iRihiDtO4FRAFKxq1XmnuVb5U2aDdpghMk2jg+cWfzdq
ViIrEayDUMwurk+254y5mY0g6pUuM6b1LKydGPVOWoIsNTd+7K0JTUMZnGIJErL0H1Mf1FgzT8/d
RCuq0rDrksvQmARCyGU9egNKuNelaO69m8PVQ+aXQP94scDvbk3AVhXw7Ty1IpjHGj8+AS1l9dwK
zaoAG0dSfhpmtUE3BWfbM4ewseg+Wtu54P9I0N8OiJgbUEnBUWjznurlmNEanpGiCAwg8+xtiVOF
zFnbdfuDsTbwl6YynqaWQt0qrEfBzGaL4ZzIGDLRPwcrBhfAuJx9IVEEH0lBHrDByzpMS8vEvAgc
QL59b68iWqKtO6P2oz3EXtvY1R6YfHWwcuTeCtL1Wpe5vPoRk4diyNm9GU2/xwqVHG3OxRuG+qVM
Uyvk9BtPMwK2Zx34HBadg1w8FsZuTMx2XxQooFdj5d1QYpNxCJpePzZR2T+MOJ32aQ2kOkIbvi8y
ALbDYidhV2jjzkUxoeb5qC1kd9ASntlKdcc86rgfcue1J1JuoxUi9IImBpVtBZPbUvqCxb+nSWLJ
0TlFvrL0iAE9JxIzaNv0EAMYWpFGQiR8nEJlNIaIw44IBrL2jl6EwPA2iC4XP9tXKEzWlucuez16
C5Vh/Qsi4N7o0o5FAIR1MRDY1gbpO/o5Z+PQ7XkprBoTkdN2IpWFFgb4Gg24SdHMfH3R8t84if5o
nvjtFsM+YUmMpKZHEfEnP6YJddoElWTu66C+ohxCLcy2u6e1P/31hflbgNH/tZz880/6U2mRdxOQ
JSu290Pcy70TBT8Zm5B6xhoD/oT7w7Vui1vpkD9xO3mVN9b/xkhxM+z+zvXy91/BNalxGFPZBh6b
P17ZgMzQSreLuee08uBfO5ZAawAyzC88by20J9ZpY+ZP3aK6fV6J5hLdTpKEjfoJUjw7zBGJGv6f
NzfN9DUfk2CdJ5pTnnDx6oKA4IabNdJ1NhTxPo26am+h19vQHHEIVsZRNwi2PBX/qlxPrETX1mGp
S6AhHC1xV3z89Vv+rz7b37/cW7H3uwolcwoW9bk09+RsRI+tnoh3nsmzKn3icP76R/3RoPKPd9Yz
2GjzDwfD7R9/lDmKqMTiBeOp9351HuroWTrfbR9atZbq33gN7duj8udHyf3dT7vZdH73wgRLzmGq
M2sv0+Fh6aX9zS6THjRF/GWm+sbjyLsHXEsJnAhr2XeCWZaVK2bmbtydgwwQCJ/kuuVrWLjNtM3a
vjuyF7RDwmzKdQr3dJ3LERFQl8m1NdfVg5ElEBNyTeL5xEbVqknnZERObg9FSXMrTxzqlL9+U//o
NvrtTaXiNzEvW77Py709zr97mXkJRkNwj+zdRsZhjsAyLG0rp3RzxUM6iBuPrCnyf/NR/qsv6h9+
7J9qagtMjzbqEaibQxYywUJfXm5yM+soX6XaEMdqni6RaHHn3qocb4Tl8tcv/F/+ChxKgesjRvGd
4E9f1MLAzqTK1NzbKWuY9v+wd2a7cSNbl36VfgEaZHAMoG86kzlJSs2TdUNIlsx5ZnB6+v+jy9Ul
yz42CuibBs7FwUHBlilmkhE79l7rW2yJsd1CWnRoc6LLR3yMX8DTqTdN54lVv/6DC+8Xj7N8f/0P
bw4MtLY0CvhEXaaeoBqP510RmCd5TRtx0sKz39/uclL48Dhzp7rNd4zVn///8XuGBqw1XclwnG5p
cmYMKd5u2A+b31/lF6vBD1f5cE+tqZsYM0uko91oMKcqyQRYCJlErv7h6/vVlZZb0SEWcFr9aTGo
pCroZuv7ORgGnBD0nR15YJ/5wx398jF5f6EP6wDnD9UBFbHYTSr3LR66i4QUiB0N9GAFJsm8ScNu
8YMs5TE+fo4CVfdHv/7PR2ZLx5vHK6oLCUDhw74WRCMSsJhAHpSA1X4emv62EpaBZGA095U53tEu
XsDHobuK+4nyLYxoAdUZvL1ce9Zo1WywM7FiUl0Up2mYPziNmV0iNL1P0Lf84cBs/vywoUskPNGj
KcFvbH94DDSjT5lfN/xqoTotJjriRkSyWzln6N20+ThKZ9xUCmkD5o9VOMTVikOotoVCRfluF9mm
z1lOm75AtUUfKSkNP68400BEnlYcIr5WhPzS6s8p4QC4GG6PNjdnlNVP5F8j8uo21QwfGDAMA6Ls
TcRETk1Dna91p7fO2rb9q8T5f92COkL4Yuv+2v3v5V/+UtItI4Gm+9ZN+ee//j+CliBsIGfSYvn+
z72qdfRcvMbhcxO971f985PfySXOp29PtwUBEvue47FC/dWyWhI8DU/ouuOZtKeWXtb3npWpf3Kl
oZPTaXkMqr2FafK9Z8Uf0fZaekymJw1HN5x/1bNalsd/lk/aXrhbcP9Cy9Adig/x4QWEP+rmep5M
Owdu0V0ORPexdon28ATt8VUim/Fzp+kvZFQ0b15jok1WjGccmPxqY7UDO1gPfdO1NfkIm7A86Yl1
Z+gdZ692FqqHbx/vfx/GP0TJCsdcVsb//CReqlf1JXprmun9k/j9x753TsUnIS1wwhYtSte03gXJ
2p+o6nkGbOpd+DnLn3x/Dg2eUGsJjOVg64AlWKqo78+hoX8C/oAgGxyPQKkijX/zHP64D7hEyZqu
Zzm6CwSDQaX3oWyyKznpqlI4QTz7czCCiKX6XSHQc9fkvjONqhd1kHTPqsL88u6TuvzrWX/fBf2x
XPn50sua/65QFAn+wVRv6420UrUKI3IRIgIJqjR4GZD7/mELEcudvH/hiAqBseHxxusO75tYXsh3
lyMVInE6C/QBMenWSVgHHTQuF3uVJ9ItSirCxpNkxzddb7IMI4d0e+aalW77vaMe+xK5sTWH90me
Xk6de7RJOSAnEnWnHjzUNZbztEYyBOr41AAv96ei4Re/PjMhDr3wAmzQEd8au+9+fdHkrYsucOmR
deXeNc2EaXVHXge+gmmjdUhDhgrv35yaI8P4JL6xAvtCjLXugwxrsRvUjymgD0w0+mfNwptoEmNV
pi+h29tkisYHXL/JCmEnzLOc3kHh0TsIB28HjRkZiTfVh7AW+q1WIFhdYL979n8fZMHKna8mcjGT
KAbMEF1bNhjQaXgBbIK7Kdr0HE6gkXbrME6v3Ci9rrLpxqpfp8ZSbL2rpzEe5x15TJPfmbl7LBtJ
VC7u0YP0FF3lCEh32zqZb3vcDF5LjL6GiZ1chLdOql8VWgaYWXJls+6zMxpB0zP2aHdXymTcjVHX
nKLVRyhF/8hdObDTfctQzOEbbAZWNtSoN9Jwa7sAAGwtkCeWNgRnoARmtK5JC4oysPaIMYsTTr7e
E3N8wtqKuLzwcIGulKQkWXI2nkaGdgtITrxU9gwWUXXINYzTAQTO+aDPxN7rHppVwupQOjtiPikU
l9DBFFt9YWw1uHevKNHY+IgBGsi/RB9QD6hbjCutpVNeTtEJmOTPMZSf2pJ3YY/RwOWrsdup2Rst
P1CRHLEf8iDxs7ytj+yBm1GVtySlF3+o/gUL0A+vk2eza7F6WDySAszXUk6/ex5lCHoWd46xURld
dk469MrXEGkIGSvg5e8gQpi3dMnGM1LitKcI6RHqTA/iaBDX5Rlco7tRILzvg+KUvpz3NiJtuDER
z+xaO2jXjmz168gs04e2VurokrT39b+bWkETbvrTpmYsfJb/vKf9n7Z9/mEQSP45P/DXbiYdpn2m
oKACZ+W4cola/z4HlJ+oZvirrK6c+r/9yd+TQPcTnDa0peSmgznyTLaCvyeBFkPCpbB3DPZBKEj/
ajdzFhrdu8eSQzedea5EWohkpTSND49lGbkDo4YW0kQ0lwMmNC3iEQWuhC23VKqArjhnl14cROA2
aCgUa9LqOjqxXUJ8X9S5fbtqbN1t/BlL3xbH7WyvzBxEGcEeKuDIMVnkgaPm3AjDsN5QcJrDinc3
PrHsTGXo+j0C+GQfH2ANbBK7aC+tuBBXkrCB81BMDqQIrTgbhYwPaPaIKhPWjWdVPPEuCbt6RYe5
JFv0mLTwXr0KIdKQ0Ac2TzBlrd1KKZ8B57wGFsO0aOFUzo1Xbl1yRXz2UUKYbeZuZS2PATrE815r
w501R0+FEcenk8gg4ZB4SS5uK7dIyV/ha7Jz9O0XwkG9XVrBoelam2bqGEwHxF7d1YzgH3cuoC6J
BIG2M36Wwuie3VHzWDr1ZpuoCvGZ5Jpe7LwFvWucd/X4OivywvRxQg+YaOcOo0I8SS/g2Q9aaPpd
HjzQfD8Fmn6GmNfvJnWSW4BcGObiJ661L1bpYTodzdcsq3atxaaQOhPi9alci8G8DZnprchJmdkS
SaDE/leuaiN5wLo0bjrXfXQS/SxpqCQ81x/aoVnHaqTaCGvP95TWnyLZaxi1Gid5Xk7k4Fo7AsRR
/WbdZdpUeMjmsc03VkhWGg7hl2lgv8O8oV/NpiMQu9iEjbKHPeWtyDH2O334RQS4RKNk5F9QJuoL
Y7C+NA2ekUzV3kWeh+6pOTrT10Z2GLgt9Ks0ZjHOIrAbzpoovdCNKv5qNQOpcVNlrozFiok7EuJA
nHWvVYoxDabmtVHLk1R1+RpiC+DUWWvMCxjOAQRO7zItXQRgznztReVV6i4t/8G9nPN4ONiYo07j
uuOErqeBuCRAu2btnr5k1DNbT8uecnBvR0qNA426WUeU2KbXSO9sjMs1YTE6ftjaId4zqQZipsx5
jTtrOu1S94KuvH3dhW1rnKHIg3yyZPzVfjFpMcldVprDH8hBQq+1bAjJyJN0MVdJz80u7i3eu8RR
AF8dFefZxpqDnNiaOHG4YS0R143nARBJzLwlhIdxA2MlZ9b1teprkh0q3KbhhlnxBEFpjmJn7Rpl
4DIjDVBIhYlByaK0gt5AETaEI2lWnHd7ZciqW0cibXHApVZcPRD+2iDP1wqvm/009xZQt156a8QB
BRTSKGEC6hXk050GdZQNW4+4TWMVEkng3UCAATKcghUqv1ZpPEuuS4DQFidnhgCdoBIHbm1QWJh8
JeCSiT00X4e9zmQ5Mp0JKaANvG3TkUkQYbbWvPa1FMw01yX9RmLLAIWR4VtL+4mJxPRQDLwxskuI
dQkbb/KTAO7ECkFzVO4xfNCqEb1GLAHEYQRPdpmFNvrnjA/LTbVV01sbxa+xDON5QzqS2ESMaDRN
ivymJd/+bQgQoJJqNwzAsbB9pZdOmeTMuZRVeJscXEN4jqmXb5+ogGgX9iOJxoJI34yeiDebaNsA
o+9yhfL44NRNl32pG03FW+mmpB2K3Atwb/cGpFzpol0aVXQti1nfEO7DBVWV+h1UEW60ilx1mIIR
50dNOldWzieOJsRT6sTRsZBW9zygtwWdEI31UZVwUVaRNyeHfATD6xHWYUetRaXV3iadext146NX
JCOzDUxlnj3UBDBF2ZWZGMsMKXS2YVF0N5brllvIed7nUNS4RczOmp8MwJUDZpxFAFzcB1rjV7Lw
Nbg/q7zpu1OHf7dZOZ2OAYElFE7UWYfrzdxJLeATJVx1yYgdGEdn5IRQgmbGRovGQO3CAeuKX7ro
nDaiKLLhlFX7vu+s0d06Ud3dJHSjzOsgq/tgy+DHgxnVOpCGCytZTU2nj9d2RkrtPrPq0O8Rw0c3
DF6jV3LgDHuFZKuNfK+x4tsG/XwPBGXumpMZrTxxG33c4pahQjXidNqDHnoZowT3GABfGq4eMU9r
EVbzYvwn/3RsUSx3U3xhaYRe9eY4Hj1TXU14eA8Blscrz8GP02YzLuBZd4lcyMbP7WhXV5Wmy5iW
mpS37ZxNV1PQ5NllL8vypTBte09BPBwCxlw4b5WXPztBvBS/aOFc0cmLEZ0EBBsj8V5C4amHDMFv
7TeE44BwN1WAQLAzva9eNtdn1aSGr4CoBrWOJZp0RtM1jGNXI2hdmA44SxcAUvY1XuiT60SL9PO0
753rsjSch5zh5S7uY+GCt8Cye2YQms6qAAhDQ3F+W4Z1FdLhH4o3KDbl156g7kdUzEgBaovxmmPn
pDND/McaweGmvtDK2DyGWavlR/Ap1i2Gpzo/K6rRQ5NulJZDJpqGOkbqkffoliG2tqSV4y6B1CjQ
b6TWK/ONHp6AQJxQFtlZgX4Bj3sXuHdZY9hPs2IHwbvKIunmU/jo9Jp+JUYDRWmGdfFITHDve4x1
9wFZKRsjtA2SZkV36C2R9uANsLDbatA11oiySbde04CPmLUJCo8m5/ZupBV+Dh6fMIwxpCYHYJ/N
zTHXSF9fEoOKgVWyzqZVo8tiTazMlG0iKGwnbTcqsZ1Ns7WvGmaMj3gVeOjKMDSXfN0+YDAVSLLf
ZYGTnCAf2uPEEwutAUyts//VIcFqVz1ShukC+U0krjR9IluFYRpoazCXjGBb050qv4q4dSx4WZii
wk4HE9ws8PZd2Eg7PIsLzZnWSH/6K4NowvAEbJutnw1JMhOsJjV0JhWoHoBllYvJXpuwxdWxXd0H
xLOPZJoTAZggzpJQzYqUVx7Po1wPhtMfU/qNu6Gr5S2oCecqoXIBThiw7jtjHTOTms29tDGqViIW
e/az/ALTPImebgsz1orAcaCYJckraeezNrDwMRcM6k5jEw8GuLW6Gngg+ubLiCa8IJYPS5Uy9fN2
GmApNMG1zgu/bto42HQO2RltVvWPnqHq03zRdidt3a1TfNU45isnvLXsMArRd7A7YPrGXTp5CKkB
13vpDs5zIvcO+Cu+VnA55hoJqtVdCgLMLzwyyUkfjkx0VN1Yw7HjrLwu0caM0OocJyUnNMkPmheY
d5PRQ40okXKEGzkpdTOayYCpb/IAh4s5fGWbY7EMmsEeV/2Ai3SfxTr2Hc4fz5WBVIUBZXY5W+Ul
ndFx15IayDkfyRTaL/usJC3EL5R9WoOK2BSiuw2dOAUZUwSnA8Hbz2wYyU3oiuy1UgCa67Q26i2W
6PRgdE1QrDjK1K8hFplVWdrBIcz0AddTzgZVjZGLyTluUCPpaFa2KH6ALsXEuOKlGCnbj3YEJ67F
NyrRwI7zRUpM8brupvJL1U5fkLYRxQChIF/8ATi2t6QRysAnswCH8bvD2S/aaD+ORn4+8SxttncH
cZMQXL0su/FglRmOVtNum5Mi05Lbf38ZqK0SDraDQN3+ILno57zAS6UNB3dEiYsoLkzW9VRb7h9u
58e++HI7y/cLrdLUORHynz/ejiE10XnSVodZFeo5WXZ4p5s5EYSTBwJ71NL4LetB6MMxzdFf/f4u
xY9Nyb8uT/MMlimIZel8vM14CFNUiWZ3sJq42hLn190IL8f7uBQHPWEuV15N8mRaWtPndCpBRlJN
9Lq8nakuUJhSZhihny2FR+FQ98/jJWzp8uCYNbR9XQ87yBlz5+JeHeLsAhsWS1WJBANSCf7hlS3/
0Kj5+YY4CdPehTZLu8f5OKadTStysxK36Ry3LVF5uLArQo4QTm2U00v2+DDzzMPvP8afL2ouUw3D
WCbhaB4+PJNNgAKlB9zPRcP5zETzmOYdkRLhSexO9fPvL7Yc6f9p7C5fGRdbZjb0FuivL63y9y9A
CFCiyLy8OwxzrG3sRryOqbbN9bH7w139/KbRo6cMoeNFkwNo848XEnkLqrVGKRaTTtpdALgL2DgL
w1b7398Ro6SfbsmWiJrp/sOGtT9KfsI0thI8vtmhs8ggiTDw+9gCovCM7oep/BTCcruTpE5Itryh
vUiRlFmXDA3wPVDyqW/VHwQGIoUaFcyY1pb6EK0YteLvf9WfPhM8azxaksYOH4u9jDB++PA1K4SE
5MUg4CLdPVSe6i7HcuSw9K+vw9iNwbxcOkkMK368jlNHbc1UAl9owGHAb8CwxX4Y4OX5dp3/Trr+
0BT8Pjxltf3PjUH/Dd3s+znXPz/0feLqfmJouuQ9UOEjV7N5rv/vxNVjTZeSAaqAXO8xVfu7Oegx
pnWZw9J5NyyMBLzffzcHvU+LPYA3e5nD8S+KfzXq+nGhYORKecvkhFfGZB5HC/PHZygu7Crn11sA
wrCvVqjNu1vVh8Nj1MOFhRt9qzS4rIXZLaOoLKooQCB52JVBNIk9JNnnPG36ZwK04kOQSrUpMrTI
0MoUtUQHGBbr/NXo8KbxzyMtoNq5DGlmvCWO88L41vGHWWoIrJEeOSVlDdzT4LYWISZ/NLYPZmnl
zyWwEl8TE25xMJqXU2lfp2XWE1llMp0xneEezIy+0Yk2ZGYmlS+ZB92UpXwcNRScxIiRZJDW48bR
tGFHch9kLiEw/C4jBDXVNxCNok3UEtRkVp28rthRfaW6+sbKAVQBg8g34dAKJFSEBcT4ZXedLgfy
D0Z7T/Bm9lUSw3OGJSp68RwMwh5JLy+q8DhcK5HvCBRyegAxJg6+3nRRFeYj2TTkcRtPaULUpmPZ
4BtrT54NMFemNeEUtEEoUMcnk2IV4QbDeZTJuL4/lwiNyTOuGEd5ocGRquntIwgnfKRgmBc6SNae
RjV5A2vTmytSvQEyD38tcf9dEv6wJJi413iF/vN68PDWdv9rRRjqc/Z+Vfj+c9/nBfonxq3IL3TX
NSwKSDaI7/MCmzm2NB2PocFiNVqW9L+XBPcTSldX/6aPEC6b+j9LgsHMHIkIqjP32zT0Xy0JP+6z
jKARFEmg6KwspC07zofdy7W0sM48x9s1kUq3NBJxYXOK8IGV0wYvpj8UEMbHGTTXoygStI74RHiM
P6xAiRhxDDPA2BkpbflQpMmbZVrg5Yyi2sDlHPw8mFH2Kv4Wzu6p9zBDRra6n5sgo0svzLsUqFXv
v/vafnGE+Kb2+qeE+vY5WMLDOoVEgWmM+6GEWhTiVjLlHGFF9tSB2vDRxnoMdu296KwTSSjnrszM
BsF9NvrRdLQbpf/LVITls2FegypHOJwAWOt/qCRSjyViTJS3q2IOlkHaQtUx4vL297f6i2+cCtFD
tWhKl+SP5c/fnZZcPuQkmhNvZ5a4NdIBnqrLyDTO4HsyI/jDB8tz+q40/fa52pxjTL5xWyAw/vB8
NaIxyNn05E4WhE+OhEqv6GuKP1zl477GJ0f6EXIiqjCeYfHhqaLlatSDHbg7GxgwFf4ELSVT130e
/1vFxnIh5s0uCQ82cukPF7K1mU90eXyDWIderyVfh3imOWwWl2aS/qHi+8U3hcyKeluyW+u2/uFi
o7LK0m0txvimpa/hsFtI2gUmpRmT9UiQ+O8fjG/6jw/vAGobVF9Ec1DdL2qx909GbJBd27ihu6s1
C2pLX7JBuYF+nRmRcyjziNZGUTvbqBvEfi4TiJF6Hrw4GRDloRjr6yT1mh18j943ET0bmE9qyJ6m
h26B6MTLTlR55ROkKeuDAuBIxmBOl6ep5mWKNdQk3XWz4SsbiNxKT5yrJs+bq9/f46/ec2atDm48
nbX4p+dxKGIx2FCCdmERiUNia95h6m0dGp99p03FFv1Aeyia8KtrAuOgMShuh5Bct9//Gr96XpnO
CksS2GWjIPjxkwbkaBVkvskdOhvrAPb6vNAduTL0yFn/2ysxD2b/EJ7pMSL9+J1GFex1mUiidII4
X4/Kgzhe5k8tlo7N76/Ek/nzAyt1gRUWJRdxPn/9+bulpc4NU3NF6+6Y/ooNMXXxvmHFvxS6M147
Gg+CoOAM0zHHaNlht+s8vV5jcqpwzJTjsJdgF3f4vKgnW2U7Nwpe47Pd195+cJIugzanphvZdtZZ
1/XlaYpoZ1c00YR71FCM7zIOUOtaGbAScgYmupy8fRVZzlY2xbSDJUyvvAEVZ9qNNPiLOqMrO6T3
RecSwALpyMFRRYkNzt8YAZ9ELW1ppjp+TxT8RYBa8Xmq6e5ZvRw2esasYYJhvIJC6R4QP7mP4Mas
i4E00f3cWi0BRHQibWj9J0h6g6OREMCSduYmA6B3iOwYjXxu4PAiLfvWItvgUaiieoYA51HZ1oVY
RVMdrAlggqBR9NO2kEW2j/UuudH0qr7w9NyrV6Nbgdgk1IE6dzDrx2rsgyPokOA+4oAMuKj2vjjD
Uu7CCPicaslDkQmq+lQrHViSzYUpG/PczSO/1uO9aWn5vugNqNGMCcU1HQ6oIGCdvQWD3l7MPRSl
sIPq3dZNuuN2qrXXA09kLkONvSAfTmiujDoQz2w6k0ryZcapWrgcIkBUp7Q6hjo69G+UTHwmg4kS
KyLLpMyUcV53QcBHZmKmZfbWPhikRN4jVWXKkdsVM5qA5vo9ZdsE+6GQ3Z2X5RbMOh06S10Da3Fs
66zunXxT1jrTtTj0EAjUM1v/Kg0NIHtJZpU0EOCQ7EUIO6fw+L5F2/PxIRWwnwOgPH7Id8si1Bvx
xqps+3NUCVjwmMM/m1Gt9ytPT6OLPqx1vCkIs9uVp3R4+SweUPIba2qcFTYQeQ9YpsvuMXcWqx5S
65faTrgHN7B54mWftDeZRSHk59EA+YcS5ySniZrRl/06h+YEQphUlNDXO3DCO09UWLySVE1nIs3r
k9lhiO3jn554hUAnRsHo7MRMgbNiPchfHNOGswNrQPOl1dSHRubkyIRgZ/tAH48OqM94BQ1T7spS
m5u1nua5TzjtearGEE9DCX1mLAx+32hoTPg4HqJ8tBsOUTAawLEzMTRb1Rv1SSTt5jQkMvfGLAba
7PG0ZYAQ3QpdjpsYI+225XfbM/SDZ1R3co+0Kuf7HXM/pM0OtnNO+VWjTDlbRj/GfW96yASm+q00
COCOVRNTn9b1kww4Q1OgwtzSDJJNHOYI61T0+DiN2R528GIsH2sNnz68hKOnACaCCIoOUdF43Ksd
rnCF5M/04ZLzBG3C3jOb4BUklh0w9x2Gqz7RKz/jK76B76LvgQBlmwEn9U4b2YUpRZsvvU3yiJDt
tJeDlu+aFqkkR1hji2JIw0Uvt2NPgTjOhnXKFDqBDs2JrFGJteqJG7Vj7xQVHeOIfAa/3bYhftgk
uAun3jqtGyO8ALstTpumk8+M5sw7MdvdhtB3E+pf0Ciq8ibY0zMrcSJ3MSjdmFcBbt8Jvf/edyqK
41zYEWlnDEA8eDAeoWprdj28mEqpfRPMxZGUHMySlTXMfkmIBKHITcLcTMuStaUSXMM5hbdpz+et
WSNgTNz5RtRue6zmNH4ZY1ZcXRPJmm0+3tV1Ol62fTkciDILlsSDcMUcU945tTVvxmbSkEC48zGU
yaNypLMrSbRZkyXXrkPnMshyZjdpRjhxjupPkZ8dpAmZqn2PZsTTtiVH/jfoBh0C0ypl+IZ0xXgc
ZW0eraw9DkHU+l6VhOtx0DlMW5MBttq0QkghEQkpmUvrIiuHbYnTi2SWjgOFAcx+bpr+mlCTIt42
lgumq5sFHBLt6+gQoD249i1F0rxTdQTIq+RVpgO7M3B9LQBb4wib86qKmzMzATTt4sBfz6zgO9QN
z0ZZNuuIOzcbnFch7Yja6sZV67Z+FM/WZhTwdk01mOf1oILrQg/yjRuEgFg862iVfeFLnH5Lq2Pc
DoOqnwKya9fuZJRrZ5ovHRtaQTKAg1s54+A8Fm40bmCATyTxBgxdPD2Eo2gV2kBZNRXVHXXZeEW3
0NxnjhnsGqjYa4PF5jwGHLMyak3eRNzv50YOPebeMYN/nTm5gz5grpNxMXiXru+SVIsyYWrSHsQ7
nwgwv9klDr5w0HyxeD30oJVehCbwu9WubNQhTKaRaGTwROuunb9OIkZYHTvpanDVcw6268A/R2KT
R75RYjX0bmwJGGrKrhfdhc7ic85LWO/mpA0YWcv0M4yI+kQA+V8ZCnGugf/ET6HjbGPG9ivDwUCU
Ds1pMwcjdHjrvsel4odSuzOBYa9NNvlLRysJAp6DBBJvZEA3AArKk5u25De5Vn0jHP3GjUlPLiGn
r2Q363u6YckJpDE8WCgxD4px4BLyXtSY3Hko+lqIXVhmzo4lRdsEDSCYoRLZGckq4lJVEJ4LlECf
S89qNzXk5UCbklNGvdpqbGX5lQ0p3iQA4faYr/q7kKYjML3RHt6abLatValD5UmadibdVQIDyuxp
q2leufcyUk6GuP1aClGejENg3JiGBAChT5cxoouTabbh5UkmZCvD0Pp7bMvhV3tOSa/hu7movUkH
yF/DMmKmf027HQJfHrw2OLXPjUILt+gpihOHIL2U5VGl+7HXxx15DZCRQCdiQtOvajiS2NojBtxe
P27nYOldLcN0Auh5EnDm61vDVB1NuIRh6BinqGVihvQQLuJhPaYABZQdlF/EKLLTBY7WbYuOT0Q6
SbYLCmkcrKj0SJhwTlNLPU6A6I802M/HrGxf7bxSZ3AzKz80snHN2fBc4ZffyACNp0kcwo5A9/6Q
Iywkq/u+IPstXam5Cjd1ERQnZZAnm6gaQz9UTn6Hd7s7lziYdzqb4H6EnFxMeXNnwcBeFbDtfGh6
zWtdDDM7N0UBiqGSBBwVDsy1WZthPIXnbgVj0ugLAiiYNa885I7pytSz0qeR0V+OUfNQgVcFIKLO
ItFncAyGTRmxbs/gWjeZguZcjh4ykXLe9ejkwCzQDJ0r9yhmSCkLP/WKwh4gYpgE/jQHFfhhes6r
fCzuwWkzv3WLTZ/qXwon3qvB6A6ZmpCQRK3YmyXTaM/o2YXNEackuuVdBttbSdSWpU0ikDNNcDoq
zTtBCIAR3ozdvZnd9qOW+7VKDZ8jlL+Ewe0o5UGShxI+BmqZHYZrkB5cf9XkNiNgO3h0c6dDm8bb
PJB6OeNu6Kr6bupaBAv9dNJp6t5LRH8Zgf/go/0sO+QOZqSRiFLeCzM9FrFzE/bsUIClLsg5fgvT
t2Yg2aSOY7XS4/C2c1QE5rA6qWz3LLaNo0ZDdU3eX3uWNdpZwxN0RvJlugsG0/tSji559QLZGcTL
wmMsbjp1/jCbr9hUsq2HGpIWcpKvURzg07XByHp5G9+qEiB41xZ3zezdg6fnf/VzWgVPYwkB0sg+
k63anba51axV1iTbIo/uIiH38KNvwQl8LkR9qOASrJHMn5sOfg9d9OXKqfpho/opXHUJal2hgciw
bPoXUS0ggKLMgqh2TasbllcSvdB2ODjEOGpeba80QUhg3YMsTKJgj1K4vyhkaF9Mldu+dVkmaZrZ
hzTQ8hMZ2862D4Z5lw/BS2rionc47t92iHVYjQOdV1aznS8RmLRt3lrrEMXHtpF6djKlOAxRViL0
iEan3lgmrO+IrBS/HYmu8nATrGRRHIWFybotRmqVKpAc7gcL2SVHhHaAgKFsjRqGG05EkrIUkHuK
9axAY8z3zbkVwJ/m3uDzvrDMIV47onnq8xkeKHV+4VB95qlQK8LBsEUQzlObkhGDeSSj5QEs9jkp
NhYEF753FHf6KnGz5hBFc8WmX9zpSMjWDQhQAbH8McEr5ht4PnGqvLia9eBkeoeEmD17qlq+tCa9
r4SpLiekEETpoYedbDvbk7lq7K0ZhH4VRKTV123yHPcK6LXFKF7REDlxCx1mGcJdn+QGalu3QXSs
+p3lONwp2XOQZPsLbAATdhMTDDtElK/uFJkXcTlS3Tlmtp10vdxqEnzMlOrHgjPLNuH8cwL7i+LI
Kde2aC4bCNVMZbz6Mao0e1cQWLOjxXJTq7DcBhWGiD489ygPL9qaJL2RtWNjycA5llIgyEpGzs2x
0dTns9ALEMJjukUbWFP9w/BP0RMrbKhbgWt8A8Zfrt3BGW8RbXN0KSpqyWbQt2Hpll9GburEbVzQ
hiNfqTBUtReRpnbstzrAUwhEIQlrOLD3xTQnG3gm4qhPdbYJW5WQyeBZ94TlOffISN+C0RC+EEW/
izJTf8j6DLq1kWg3VdU3LwPP9mXXeM5xik0oOCbqYvyr/Q7WTrQeCCw6t9WiVqaN47tR5K70GtQO
NPuae2yN1r3TS6S0KoRLpxsxj2FLj2+dITDSIcRXCoAwktFRzz5PNaViSMfrSxBGxQa4xAQ3klKo
44i8kwlymxGEkY9yVOHyL2w/wf9yQujc9FnNk8+BCTgir+9WB/x7CCyyjIbEHuCqhONlTMgD1WIK
mssFylS0zlVEI2rd53zjICfkXvQ2PDt6KSkkQMCVooXlNTbNIdGzTSGHcSt50TlL5c0pRIN+Q6IZ
daVt5kcJmogyFqGInRrkS8wBUa4zBFQ1CmcHJdM+5TowbOM02s226PcBgTongQfApwXp6psx1TwH
sBtGYOZTWiQGCq7udZTm8Gik4VNB6tOxHqMA8eH8ynG8uZZDTfR8iLR1DQ+p3RoMCU81vb0Twn7g
sqjlG4zkjrI2bUQ53FrTtCao0QY/C7qOL6qJzoWu0Rsqmtbc5Aohksw1g64jQubQgyVfECS3hVAK
JJhDn/WgwsZALFpWD33CNh2kJXEThUKbHZWcraYEwRy9iuKu0gYJ2iiqnpM0Mv+HvTPZrRxJs/Sr
FGrPhHEykova3HmSdDW6XBtCLrk4k8aZxqevj8psdGRkdQUK6E0DvQwE3F33irTh/Od85wFPo7ha
NaD9WHM1XMk5aa6ZFfyq8yJ4QI9bss42CFOHUtqR0tJ1F3j0UaneA8VVNpeyqrOtDKbsOEx4sFVN
RX1Nb8jeAGeIfc4vwYOayUnHeuZi1lTeyjcrzGvl/Da2jjhEc6Rfcbpg46XeA4VD/vIw8nE4CPSa
AQEu7sJWC0IMC/ygk4ukaWXtB3ZKQE3cB45UUG/KqD5MkR1foqFMt3NVJWdroCxvZeDcn8/51Odw
snt7uNepcD6HFHPmyZgzvR9GD3OlLWfvFR4VIFHgzZO7bWjj+ap4yDzI9TpVlzgiaDMXIFBhohpN
uPWNqXOIWDT56ygZYRp65KY3d/MTbmxnr4ac3VEDVWdq8oiVnTUzaLKPAqP4LvVNOjmmKYJMJluc
eMp9DjNy891w6xdmc8o9CFNVxt7Bu5rPN9gsg226oG9Wjje3/YoIHkB6nDwv/EPNc5GX1SuNxfad
WRW3GHqzXVoq7+LG4Khzc4xZ5vyu/KkoQDt1bmFtZ8er9Map6vBguuHwPNZ6fszCoX5KMtu5EZDV
QPaA7BLUX4GLSFHZcRHmB1MFzJA7L+lpoAlnCUXTZE0sBPuvUWG8YegKHTjyRmML7g0OOz1UsHe7
PtzVXoSWruss3FAJadJb2Pcgj2Xd5vg2R/Uus4W6xe8ke/JYf26pjel/Y+g1ilXIZXLf81X7F/bv
ONslVvMQui2rV/Yg/YBy0CGmJhL9cqUCEd2Mbn91IqohUXKGdRsOklYS4xbBHYZBOAJyDll4mSPs
DHdsYHireu9hkVEJTR49BT6BYbQb8PkuBqmgzm7ciHKhrG5fvDpJ402cgRJrCyXfwYBZh2DwrXXT
QLwYA0xddEz1D1wpQ97/Atd7bMjtVCt+qi5+HTW7n+X209YwM7FH+viEiuwcS6pdAF2OUJ3iA10i
4x6lFpSQH4orzu52S0QdwFVvQHtKKLQtO/CbVLrVJ9tPHmQHnx/u2Sl0yDmteVrA76EKb1F1SMy1
qfVrqoA8bIq0KEzO4Nrbd40g7hkK1Z0dr+n3HgnyisVL+J8yHYJ9ry31A/lD3TPR7x7If3avwE7S
O7557sVIdztzaLw7znJENXDm7grevo0YrN9dHDWHAEf5nQsRHyRzkIe/0GA54aOXq3NpRx0tH6x5
xEpaz/N2PbSibDtipk7XWRV03RdsLXPaCjOcxQYUGmNHbLcxa6atCDxWWU9UlXpDSGa65xpMyUUz
H7uAJmAO3YKRqt+Rhqm8giLULH3OJC3GZuzXlzaikyAUy8QlTIw3TRHBlFOflkOhY+Uf2weXjM++
UKZYul49/mqauIAkouhhB5sQ0TnL0uY71VZ+pzKW6dgCv8bMcl02WKdJsNxhR9p0LcHc0U633IAA
1jfqq5+b57KbgmfwdyXbbqRTD9tYW2w8c4a/Nf2Y2yTGzphZixOfNEEGT1YBKKt0kpyiCk2IgQ4G
1cR4wcObbIIE7RLZPVsn8ZycaL7aFEXs7LqKW1cdkb/1qaDZtTSOIbzEjX3kBEtcLGnoDNyJjl2R
2JEPEtitRszajU/yF6gAvDvfiHuQYUIYt1VL3dBOGAU6DopG/Ij7zj1z6KuOViqrLXQ+9SgHTRWa
10lQ7zBgmVIjeJCBmnuru7Z26ZgsYLZ8EpGCLJ9FXCLxlatqY4dOczJwv3VQs/W0y3zCWHWErClG
T77yueZdp7HcMahwqxd7Hjp7ubHk11BEFcLNXNuf2qo59BrKwAcXlCZINnzMzz4tbgRZhkVCzuzQ
/nKwzXMU8n2DUrwyZ3tDL/nhTpn32unYuzCRqm5yLAIPDD69o7ToZhFuFCmM/Eaccqp2xpZq7Tb4
CQ6k4iBDruYo2OFgGzkCz8osEe3okuDdSpeo+MYwHfM3dTT2MyEb8RKKVH1lXkmnche0FCbXwmLE
UKdiXtXk3z9r+kOO4aQnSIluAmPcDSMoXUbLvlPJN+053p2r0vxXjlcUxTSK7vqpcl57wx64HfdR
8Z7SlnhShcN/lyPVtKvc4MKEcZ0Go0BV7mNQub6C2+6Y762KCLU13QAJmZaqayZA6VFI0UZXY3bQ
dmNjZ8Vh8kJMsPuqSqt6YYgU/iiioiI9ToeZ0fLNk28qs6PkJHnQZTL/CEkovZaRxasJjLn7aTWG
fEcFdt7yVrfrgaLdXWhTn4NbmtXZHrxtySNyUobjsKVU6bbw9PRlzT6FPeg2a7Lm1Dq2vlOsNcTf
F8Mt4qM9CX3TjGPwMzWtbC08etuE9pOTRGaWzDE6tVNVE77PiCy8APiif/plF5J2qSSH6jmn+4AD
IEFHQjG7aHCf2LzK30PZV1dqR8WeYYNhr1yXTBnHvHRtZsYbnY2CTAc2CrQbEW4GM8r3Q5SlpDqp
71qx7Ndbu1LFlXFZxy0vQu8itcehpLQK9ahJIAb0oOQ+X46LCOlYbbp0pOZHZ9RLpVfcnehVUZ8p
h7Sa0Fdn01hq0si9suB6PFHFJcSmo3rihgWDZKiT8JuzlG6qPdfkyVoPVs0tuipcPFxlkmecs0lu
f5hpM94jWI9X+uHqR3fwqt9u3ec3pSiz00zl5BcACx9iq1KXiKZayPS0d325fQdJ2spGZ2UMVf9z
6VN7TZum9YDreA1FUUlNolaPjhOudGnLA49qsKHDwXlqXaKYq6UNOKFKkig3sCjnJSLD+kkC78UM
UEXLlhPJoNVMSVoemROKe51BRhv1e9EGNJ81aKf9UqjDCoP0Ph/aDlnPpSSx2HEN4EvG2M8Bw5Bq
Fqc0rp0C+JkpmDdMYXKrp86tNi5TV9aIqCS0CDnnHKfsX1ho3W43zjWPTlHSRbe26PnYE3ZkEK18
Q9yAWqDrnkfCuhX9d6qGyNPalV703jcqhI3UtK+OqVW6oT00Pg4kfh5iflH+zvFb57llQKi3oqi9
T45GDmGRpNAfAN5HxJVceelBeQX1AUyMtd7xNKftPsTlzALRtHTVU1cm3/oqoExIceQ/R6E9Pstu
2dkCSaJlNlDtjdIMThEN8E0DSoDJ8UgMw654Tzgj8QkYJpgUGmBaFouOPTHH8X4S28k/m2gMkSw7
F4i5xipimhe3Q8JkL3AauSf87cQbDwXbWiVuw8DD5n88md0w0KMAsbjcqsgumHSYXtVtnThBOmvN
9CNsnfzoOcmSjY06YW48sbQr52H90WgiOuvJMdn+Gd3oM6UBRAXHTr7ONVMHhhhc3gpKh7NDk2f2
Z5p34qwbp+SCO+ulU6WgbicjvZyTw4SuzhCIR7I8jlHPoMxjmHaVAXImM8ie3aQN2485xb2JOmk0
P1IvLjbjwGmiitWXPZgBZUlOcEpxW13H2aavnY/dnnTTNjda98aGWS13fJ3tAKgAPmTat+duAwWK
W7P6qv3BJrdDI9419t27nLnv3orq6CkuCjtZW60xHdLCjIcdc3vKqFvn3a2EfjBk6nyQROpWYF8v
2jKrz96102fbi3PoY2MVIP469Ss9N+XFgLNwm4PaeogM66+MGIvR4p8tL4GAjmSzcQP2dpzFqPEH
x0KciaUOpPaXOz3DU27MVw/ax13eqYR9m6Pq3UDl+LMYBrbS/94w4fxXdgksKExBceVivPmTvwdI
svQTus33GrzhXSBVcxialimCYGxvj/Te0UPM1kpKb/gcZ7aUpu+LnRrI+PT8ZjPVArD3C8ROJRLq
NhgwlZO0dyPHeObNlnkto9FGlimkRxCscAGaSqc6jU4633RtQvvewKjCRRu0cWrl637MZtYVTsDs
9TnViX1m7QvCBKsEd9BGUhC36htypmJ0aYjkcuCO2rzWifxIy8pZG97QHeqlsC6FG01fXLxYpSbf
/ouv7l9YMBKrF5otYQTbQh30/mRiK3iU+PocTut4KLk3iKvjEAlbw9w/liaWpVHjzaBwgl1JAzxO
2l7vgnzLKWDxGIywoxOYPusiHojO9YXcpoE9HEUForeaDFLePffdPOMAbKcAYdPM+wtjzjeH4U+P
3mIUD8CHLBkHf3HO/eHRS9hL1BA0wV40ioo+GL4zdbHzFJ9no3swp0FuBjZn0J9tfDKF6H8z8eqP
jVjceghurkmDpNWC//VLfBt/8Wz+63uBORPaF4ClAGfqn77fCA1PmrII9pmJUMUoMgougujjX/wz
f+LWL/bA5ReJ45FXgKX9Owbyhy9BMTB22lAFe8afmkJMyzMO49j0m2nK5S+LCzxrZKYoDgpLAiCk
UxMOoRR2j3V2xrMT3OWE6bDN8LIotyzuOrsXVIqHM8znRDypLmtf/vuvxvyzpZH1WpiuK5YkmI/2
8yebZp3XM4IEz97QUm+0omjcXXsCcTANM7qouIa8BNldRZ/Zz3xGPWP+I9bxANVUk6TdYGbQn3Qu
Tn+POf1/k/ZfmLRJTNisnP9nk/YBQ8dH/J7/27V5//zdxn90av/jD/8jvBH8TWDDtolIYFWFlxf8
L6e2B6eMF5WNGeiL+Xfmyz+c2rb9N8ultUV40vMt65ua2QIZj//j3+Hl2Z6HEIMfHEfx8r/+Bx0P
1r/Y66BVEhARrrMkSPBQkyD544phcQ5WqBH+vkQYorO71ZSTBYgXytD1h9PZdOWJGKdC7cKsWtoJ
4LB3G29Mw6Mla+tTNHN5yHhsN+BV7voCBckpuvQtbzJvV82SeSZHyvqj7vAFBG3dQkDT0a2Bq+nB
Xy5EVV9+R+S75hP7BpXQces9MIFIxm0slPMRMpBmDuPIeAd4YaeD/iYBZ3xmKcfYOcruWM/RUUrG
ebT3iF2igjssTvVBBVH/KqM6+MwM2dsUe2mMCkbY7+zSRK3MwVd9RokTvjEq7k8zys7GRZbe088T
H4i6QC9hlLFvp5r2Piu/oQnSv7NhX2y1lVaHKuYgVut+6X1Ggk36dr6OKEW0X5Lq5sQo9T7MS/xV
c5io5wFF53fCtnZDwat9qv3+aW5F8MOaW/9qezQEo2UBuLFkFdorRpXUUOYd0ukWM4qeV5o5z97X
NEh1lZW9svkI9KqpO5WZ9cHxbrihxDq5cHuhhsDzsYFxCjnauvWwDOLgWkWZl/yKvcn4wU3SP9dJ
61wivw1/Ye5j2Du1rvE10KFxU2jKI0AqFzf8wvmcLlSVsC5pHRTOLZbollmI71ZrXeX5FvXna3Ky
ciNljGUqH4aC6oAlTpzbH2MxcpqlB6rfJTZQex54hy/KKInFWOkun0MuNtjcXrG9kaKUeX0IXEZp
qs/MG6rE2wPJ7nozUo229yPQ7hA03NVAlxOjFOQgjprhi9/QD+pS0PdEsLlDBEOB6ebY/jlplR16
i17rwfGKuyTPU24/fozHZeg4+FjM07yw3Y4ZkH9rlM22cOPfYN1CkLGlcm9Nc0iPIGZW/NLFRXWi
uIzVHHwiS0XPE1fVHk2qeOE4n5/8OJRPY4kEsZrwEV38gcnFqIR139a2KKn9Mpwln0QDiNP0dME5
7R0WOmNt9pHa9exat7OtC0w4crqNp5z5s7R4ahMuL885NsF6MxHZ3RkF31mQmvSrN2X/NjO+OBu+
rx76QnnnOVH+Dgm9WdlT+lk7LWQ2uvgU/teXTGHXzAp3WDX0V3L9SDejy8CGS135bPo6uI35dAhz
xjBvRTiaMXOPNLrtKhFdbZxnmy62OZtrc8bpWY7c6FsbPxCODKwbml3JQ1b88OesDWh7M2pY442z
o/Ddx7C1XEGrj9acTn4WpmtDjBtUKmPXVONNMYDu92uIEYGQTzGzThjq1lGVC6fGiqXxF9b+P0HD
yayxcqJxCJIRJmcFn0X5j6te6KX4MVqWA4Z5VryiCw4oj1K0Y/I4luqCDWQpccTU25av+ZST7arq
prl1ZjOxV1FY9uduHiBhgBrflHGZnwOiW8UavEJ2gTNRvlZ13uxab0zsrbRjp9h2aMQhKv+cPQTf
73P2/W7bMUn4IzkGRx7bZV3AUwdpahxs+t57x8je/rBN/RehFG9hrf7T9YTcBLoDx1ygh9jLxJ9W
fG10RPqyCN+ZGz3SugjYIrMfKa1/wzsLIRA5GG02qi8I2V60hvoFkGeYANvXjcLaZERuY27dOa7y
FTYRaBrWMoRM8+E35eLLPW3SR68eD86UH2t7rqe11Tdv6N67Km5qur/aE5RBn3a75KOmIGfNs1Vc
sZE3R45z9QawBgQekxOqVReFAxCE4uasyexjOTS2xFMqui3fo7UOR/TBQQ4UigVTce29MXgDtlC+
6UEMi8mh/GVBXrp1I13f5lET7+LRpFm4G71XwB/hURZ2eNVFMjzwn96umfuEWb4dn6YBE2MQdP52
LvD7jPSi7is52hfLH/UxwrYKS8XpQip+reiRqjm4FeMctWt+7HFNbCPeZRj1983IPShjk93mlKR0
7EF9sm3asHnp6GHYRHagXlKbZsE6L50vib5MUXuWnXuEC9qJ3fSsMFDJdU9P/IvRudZdMPvGo92O
1oEyOypycSFXv+u0ml4wockX1wNQH4d1c/UzdziJmcI623TiS1iLhhmwcywaf9MNsb/xqqZb1z72
JAZIJm6+Ea/qtJTEDWPZ11hn8WHGUBT5jWAfSnXdPPYW8A1hIerElWn9cpQdPlWhUwXUrzxDyB/h
M8zuiP+unYs3rIDjzWxb3WVuungvyEeeS7Ajl8LP7J0v8+TiuRpNoWHKQulzqklfUp24Fs2gLljQ
w7vWGNW99Eav3kNdoYW9WJCVjl1umwYGFRec7NqPcXUjp3lpWy1BBkW2Ok1Q9u6x4llH2lU5rnhH
iD1rID0URYLwwR9cjznz1QhTbUujW+p7jFPZJtaYEa/tsmZhX3V24bKO2ZEZ3xezYXz5ywrHtZ2K
7QYIxdhYsJbwypZt7u7n74Wx/14kWSmcTb+snM2yhlKMzTpDA+nMQhDjDbGW9VYvK++0rMGNRctQ
iQcUXcqq9WsZDv7OGjUrulnVDwNGyfNMU+6bSw/AploqKjKjsXbF98aQLnuEt+wWZm6C386WPaQm
724cPGsmFdN9b0EiUDEd64bu8PabtfcEst+9Ix7hhJtp2ddI8DKl9iszc/et8JkkDEpRDMM+2Tfp
vEm/d9BSRf6vUaUuWwXPNAUqVqLOKi+496sOV0bF9H8fxjj8Ns33lg4Wj1+sNmAlQRUadib6XbOa
W35F3vepQS8HCIOTxLwcKfzvw0Umx3Rd9p7LEJtzh+D4GAZxvZZFjC4c5r6P57GfzkVOIUEeGNMx
5LKGk5m2dcXRZzP4RXpMe0YmtBTFzgZ7Gt3sU4V4HeQZg0iU4qPdVUABgdH9iCvp3ALp8x8YFtI6
2JDUQK1vgt/UnFnXKR/djyHHa5e0OnnGU9U9IrpT8B2hZB67KEbZChuDoZFwkjtpBqOPwhHbt9Kw
MUgbjD450+GCGx1LLugly70WIL4YNKnituvxua3U6DW/pmZ4FVKpxbFL4XNmC3dXhL659/GAP3kR
Hzzl1nBsDEVtaEyyCWifD7kH6cbeUvBoXMGG2keUO+exSCt5hTrjUhrG1mUWZP8U3kImXaLJj7aR
pN2mSEBykAOjoSYyFdJPMKXtjcRyuJXDGODmSMSvKZj7D7sqFd8xhm3kdl603TgC+1lJGdHwSxTC
+qG9xN3j6+QthteR0K+tuFU3vnEK6oF+4XSaTqlnyG8SDAOmmlbghHqfn+bkX2e4H09MIkkVgcHd
A51JTtjH2okvzcfRoq3sLbVliPFJuDbqadH9ivAlvYGFbbfCc1BjqizEfhf+EgB8tvxELo7SUp4t
FfDwG16XLymO5N7gzo3BEb8ngDhOgSu8hM414WPgFC+RpLFHVDgtgSv+FnSy4NOpEgBjHACMjRIk
1fykq7eoMOK1amEfD7rtb1w7GfkevH6LQS3lD3vz0bNimnfH0q+3Pgf2bcMdYJUH8oSM+EWg45cm
BrBnAyMtGYRVefQa1+dtp1RvVaZ19ICvS+9ZeThYh5l4SaeEgXRVvJiOsl6d2iR80efqB5pb+oOh
QPM7433fBFCPDkM3v5WBeLFljqM6RZA8uk51Y8nxLkWG4NDPOKifJrnNYHJiD8iXOj8x4MxZ0xkv
xblRjjr6xELWIszcU2Dn9mHuVLo1G1f/TAyeU4FL/TyNBk3CsQw/rAbmY4TBd1xjXOBYP5d4hcep
n9dT7Hz2fRzuA6c2dtLU1oXpaXJWGvTeuS+NikjXYD3F3F+mNQa27veAHzJd21nrX8q6ZLUhqZE+
ku5C254hx6xARxc7L3XUvqlsl6OxgupnhC6BYwzjkr91SN7zZHBWoaeaE35xkmI+3YTTkC/2Nx/b
tMk82ueDauqzCGc4XEfuMtnGh7LxZpwIebtX4TxxcbLtFRQifZyAjO8Tl38fb5f3WnASTLbUxAU3
RQAN21V2tbPN3nuL68TcW0NCmMk3cGgWFEwxSdECfbSEfLhSVXtM8/ZngLtg9sTXAqPd0gxsvneD
4d0Fdcj2qJ5aulcpTou79sGKGB3sxwSrVGrPvAax/1J0JYfqnr0d7chEkG/GPUG4lgYze9qLXqab
ZMrFSxdNuDxD9L9N3QwNS9LQbSLHgiLnhYW1Zivh+c4hNT4hT8xPEsqTWpN86deAhS5ElBQJAD7z
Fa+MdcOkMlwZYSRvCEdY9/2YdFSK46gr9wSFjUeXrfpqm+X45WS/wnapAleTXFnRHMs71Hrn0CQZ
xyKjvCl8puWilpumzUOPrG26l0lfs4pgVHan1tgU7qeW9GPv0PA78LA6L9cjbIyNGsILLcnzLQfC
c2eBlBT9q5+9VfODjikMdzpQCaWVfqVuRDFjUe78Rol7zw3rnzxfbF7MDe7G2YvOeVzCLB+GMVqR
XjbctcE+uydy2f+c3ZZZURHYP2lKdn/IVFIDL1rn2BoiPbETxBeZh8baj9NFS8+ZFhoth4o0OnYN
FUHgGL1VD4/xHmuMfNAi1G9urOgC86Pi2MwO0NkUw4xXQrs8kLKBF6s6b3rtWfLWqqxMe8FexYfI
cYtjnoBUd8x0hjUWTI+YX9Ue08m817ie6K2t0oOzmHggTdIBmdMwPyTmdOAMKSiMh4fhrBpbhFc3
L9XR+ebRkxvdZpYZPzcJJ7/BYozVBH19YHYVHCh4xv5YJRhpkhAQIT8DzvWomLeD6tLXetAEobop
wgCdFA8RJDcMkmTAdsw4p5UPbJGgS/acG1qdwHr1+yxUHMiyeN5RlsKdn9nYE9Pwdjv3qjqlrBlM
4HWumPZWnkWLmzFC+W0z3sCMeAtvf0PkRfa8WfwoFZa6gj8xdAVGvZChNqNzwpLO7H2oqLQPccYK
EdpFu2k7eHUQM4kkWhgYurJsVqafpcT4KlYzwJzjOsrcje6z8GyZYXhDqSlaevzLRZhJs8V+yp+I
w3NTUINkZZO97ZnQd4XvrGNIydvcnfUJha/ccHx44F6+tgKG+5nF2IN8WVjcxJlFVmscPCrdjXlL
MAPTlUV3+6rxs/zM5MvjKwjN49hUJsjfgWGu1ZZfccgsUo6QgXxbG+vaCE21skN4gCXzhE8rr7Kf
RK9oJ64zK3xwjCG4KTloX7mr4E1KIIAJLVGWXNnaL6nhDOsuStTPQtrF2lJ5dYbZmHL/U0xSRwrK
BK1Le2do6ktpl+2hxc+gpnJN/p4WF7LI8272UnPPG2Y/d1zXrp2RglMdvGabFGgfccCMVEQ2VvTs
XFnuaWoP2uf7JEb3s60xO9Sx/4A/N9ino4cDXuTOsc7y/EJeBlYer+CRPr9rRGCr/6uJz391FWZA
5+NBYVgg/lwtRQGcFYaE1vcGA5Gt66Tyo4H/DibFLYmqBQTX13Y+RTDwSjxGTRbQQ0dfo3Gfj5n+
Jb1ZNdvcceOtBpgMsXbRK9F0YFf3gegx/ccz7YXlt8IpJI6blT8hEOpK+qeE/iWyY9wQjb+Pgf5v
q/b/L9XXSCgnForuH8SOzXv3/m+/v9Hst+/F7//491P8znJBh80/ifH/+0/+XZD3vb+BhETu/pf+
Gt+Gs4QqtNDI/qm+xnL/BhnF5w/wLDieXABM/5DjLfNvASd1mm2wdQtXSud/Isd737Opfx7g2T5z
O1/w1zlk6/80IxOFSCOSXEQqTLgJ67yHSrpCwEeAanu35+7thvIHZjeRbzD7LP1JbYa/INJNZG5a
3I9cjVQ9PI5iDOyV53bujpWzuPGnvtvhYO0eqlGzmn27h91ixpeh8+QQ91V55gcqNoVTjYcx6OV4
o11/nC6Si8JZRSQ679y+p2Y2QNBKNstVMD43ntdaWxh7+QPhRVev5kLjw6b90KYkAZM8QWCPUAUn
4QS+YR9R0Lvy05SFJSjdgcFBmD4M+AwOtTYIVZpT+eqW1RSQBTP7Tz6cucbDRnxbRnaPm1W6AFEN
ANSrkWD9fnTxfKzZGUbCHmVh7xhADtGusWsww8k8OhWJEkwrSbf4V7JvL0uE60WcrCxcUqHffpcU
SdI7pBSdCNIYaVmSt3MSb40lRHIMpbT4rYIuHRAnxzpdhVX6XhM0u7SIjAL2AXbQ82R5Yt74ue5K
mvkWH0/27empFntPNGL0yb89P3Kx/1izYX/FzuIJwlalLszA0SFG2M+rzmVIsurbgGitq6bsYC4W
I2OmADjlvvNBuyE+YJhPUb7V9Wi8trVDGDbE61HtnbqVV8NyQ7WxnIhBNa2ac7QOqyF/qux80CvR
ia5ZO8xlKozIvvklFeIBXjzSRrNHJnzXG7CwOSvPsHqTBsh4rPDjEn/JSK/3oRGczQRVwFTlsLGa
tr4qbSiyVk1z4DJdP8SpL27rKYFhkM5pAYYc9t82cwv1LoDW3oohtXt8ZxpfIczsExYmaytJLqyD
SbE7Jz7i/qxhK3ROXe0q19S7mFDYD0+H+kZEZXBo3ax9mVSV/HA47kMSWJxtpPF9zuHd/GhW04RL
gQuC003DOuMqfpeyw2/zzCXEqriJ92Ye7Hr+rr2Xc4UPzXFpQ+n8DRRuwp0tP9I4N3Rfk0m/Id6B
uyUkSW+atMRYRRzs8GWVe1fExUvDNQyHpP0MH40Es7TwxpH0qIczk2ee/KCgsBYnErrv4NrHJOaT
jr3wN4mftOeasAPd6Il+5pRCgKrvp5PdlUyrvJl+OBI0xAk0WpNZOHz/bOrRFVF7vreBp28osZ3u
eNbtvbJSWnfiyi2/fITJe46D1ibtXfNxjsb5BbupPOQeotNuTGuOGfakyhcOu9YPGgDUC0mH/qsn
jvLimS5pML8/OBl/d/rtYGyzTl61VdQ/a3CN9+XidaScmRFQzaj/0Up6sS7pBqatpuhdTrqsKQz4
ETa3o00FOZu39T7O2IvYz3FxWVYd3TlDnm04whW/pij17nyk3bd0sWbG3y7NQbbDAy4N4PvYZo5J
UeWfXhsGVAJ8uzw7w9V36bf3M1hsoMyJTPys/vhkM0r/4hw2AoYZRf4818K718V09Spo0Cuqa4pm
7bnmyOc06mGDFm3+tHGxGfsedxpXyDwPb7H39CfNGvEQTkn0m9wO0xM5TPpH9m12bVmaD2TuOEGm
ixs2ayocd21AtH1FSaV86r+ts32fcELP3eiBmE75jqTI2z9A5FhVi+tWJAQx1rhs0UBNf7q4VtSZ
62ix6U5w5DaQ/TitJ+G0xSGJZCZ5BhrKlKj/ZnqCBxC7L7O9Wm2avJHmhjQArHLtY9wCq90DryQ0
RQSCl0RBsUjWfme1DwwzwfVVIO1XA2PLxzSli51WmvoIq0ueEQvChyh3nJ9hg5WxFHP4Zozto1DF
dMFOBgBaCZ3ec7vOikM1kv4aqGdHPbCj/phNjUVs2tDW0TS1fZGZ393kdUZ4wpRBfJe5U3BLPkGQ
jJ+NfmF0OPM91/loPFhJh6omsGXGQ+S+WakxbgfaEs+mH4t7uyQYljiBvJBdLUAT9AXzCVJW2yyb
grui1PowEHo7UTdgNLxkA3og/GH4pR2HfgPFBvD0epRBfcOrYD1LxI57Jo/R2eoGedJBWLxPbR28
G7nd72uw4ah1tt18ml3n7aYqsZ6gdzATcEpv63NwvURNoz6Ijo/vASCNjDp4t2OyYVDwRUxibA6S
kyFOpy5HWDLLr7CFAo7x1PMPvUFmbKhtQ28st3WPXThVl3REGCcMtODcbezr3uhWu27WmuThkN0b
sNXkmlhBoZYSRvZbXwX1bUCbAG5y0yWPEI/D+G4wsKSruOAKENMAgi3PLfo7M+vJmJMYh0w+Fl55
E8In25V9osEiaShtAR69+7LycOS3FUX0ZpF6Drkatrpy6MmgyEFmt207RTtcf9UpRv+ghsROrU+P
DCjOSQvW+RqRJDkHBE6DnYUZ7Fl6efLCnp0la/C/RAm8oBreiKO45zz31R5gcPAcxI1EYmi+y2Qw
dILg6I1znjC6PiZDWz7ZZW23q5okwHmuDeGc41LbPyoFB4g++uaYtFJyr2lLWvvasT53/8nemexI
jqTb+V20FgtGI2kkF9r4HO4xjxmxIbIiIznPZpye/n4MlS66GtK9aEBaSNCigWpUZ0a0Owf7z3/O
d5gaH2nWkGc3JOeCMMauNYjXIMMy3i9VzwdCy1S1aoL6DUhA/Zu49PImRpyahW6rq36BLpQtQfUY
Rq3LPozC3Q3Tk3rTErTdRo9YmGD9uHCus65RN2mSpLeYMvO3GlvSDQe21j2yOWeZ0vZhcQ2vO3gn
uzFtplT9EC4FLLPKpx2GJS7n2GXlhNy2Yuxzkm0l7Vqh0wA/xoTnv2RKG/yhBXHoxKOwqorF+Cp5
dII+ll1zCRM73CegBchPLHI6yQl3kEprOh5mthlyxeuAmj6kBtzMxsoyMubpOHzMEvwQNB0XA6jj
5+/B3JEjT4wTQPUQwa0zm4RJ3xbDF2mVcG+AGHUcjPaiWQVlp/9ZsXTGYcXlb3TuXWwdPLt0EBzH
cHiy/aF561y84YPbsXT3B9YKSwYe6zhZkL65++PiKeUyeWsnMaEtDMspHa2h3NuOnT7KhR76s7G8
MMM5SHxjX+G6/AGvaf6zwTxDkJanuiaRGfJUz8qoN2CSSNNucSXDn4kLv9/yNYO+iIzX4+lv6Ppq
8foSjcPTP0ten8cok/Z2gVZ4n80Vd2pY0zpez5Z1r+r0uRCxD3LUjZ5TgXS9rfECXxl3NDubvRs5
KVFbX41XimedZ84pK2ZevXXcHWKRuESMBud5pMOBj/yAyLMh0OHdkA8V16UY3f1YdmiRoWARWyXl
VWljFsCuH9/3gW52WObAKKX2LTD4iA2sGB8oEEmv86WwD7mVWvTb27xjN2MkEzxj7ejvBtoNDjhx
slt7mrrrmOBwTrIg8cpTSQvuTfdtDO4YZ169wSskcbs6oS5ghuR/waejXwlCqmBHlD9+bXnW8Qab
vcfGH2W2cwynxIPdVgWmECsI6dABlf2SdUt4O85zch/72iJIjPcOrXaelnPQDe2PHusfXCU1o5H5
UbNxq0G99jA/HnjY2e6mbEXyzg0sDs6Mi2JbWuQjuWeqJ3+Z4psm9yAh8HvKXbg0ASqulfwO1VCy
8xvZPexyzptXuMBZbNCQEfZb19e9ODWllgend5BykdediqfmbFs7QxkaxKlCtpQxCNx1qCCxA6Wm
99M9u0h81uhxNPLiJHyq4mhhrcmZfdeU2AEXvzDvta9oRkD1qm5M4G9b1hN622cWR5wZxipIf1W8
9/nEhJa4wPvvehrvKS9p28LbeQldXyziIiJG9gBjY0s5E+1aU2O7nDS5lE/RIMO3yDcMOoMfheUm
97lUt6XBW3+2CowBgPNmdmJqsd/6HmD0kYqC4BLO4zhtMxmnL7UVlPNDWXczal1Wu7/7zo3rY0PA
dz5EQvvxRvhBrHdFzMWBy5EE7aYoamjWQWIvvPSKkHxdMD9yz4zws0o0eU0AHk50Ul6ISZ86U1YX
rLjuG48l71GxvUNBj8ILYDH9NM15n3OaWt5YjVM+EiaIpDx+M73tEkEAg0cSycfvmf9/t/jx/17D
r0LF+o/kkcvPrkIyyX/+XR75/lN/eRWDP9aKblJsCjPgf8dJj1+9/m//xXf/wBjtsVPDMAKp/R+o
sjY0aUw0QnzLaP4/UmVtqLKrvZCmVehiElLOvyKOrJ6cv0kjHkBruWoivDtZlP2TZ0dhT2t8Heo9
hyVyUfOdivLfdlAdBsDP9AA9DHX+GyhS95+ohIH/zzKhonoeZjxmesWoKr/b8f7BUBwnnsPBuzB7
FYXdV+T6RPuRkTpc7njAriT7L16guG0QXFJreZz6ButLMSTLbWoTacCNg2svx0ShgEgzpdbBjNAq
XQnFKZ2J18Qx77eN6Ofg3i1abhIjhuTgeJHcJmDSjosa/LMVa0qUmC2XTTXzCGWRhNdMdXdjXKid
cpzPjOl4Z3JITqFjb7UFA9Nvq8e5LNnZxgJ4tRTct3D03KnLHp3JVsxD0+Dc2rVl35MWym/9HicM
a4psvHWCbN0s8/OieeqPk6PKB0rC93mTXTPb9Td5w0fBXthethGJDt7eecofHuc035Z1O3w6ynJf
tN9P/bY3UMhSNnLXbOm9rZ3i9ZAseEjBS+AfUnsZNrssfk1HO3xU3jCxTktA8BT10R6leZgJQe+i
mtyvRk+Ot3nnWgdsQA4GosEK7kar17+jSYa0kdUhXrI40+Ev3YwIVPOoLOK4oXiZxNLzj5JrbBc1
TvLYk90mS+bOeQUSJ846qCDzujsLkot0xHhBn62uJSeYrQPN5HZKS/dOpAspV5nP3j3bQB/6di+u
0+9dKur4/RSTndnSTYpRYWl9faaVukJpa8he166Zrgdi5IfEiui+6bLwkKV6uZBabl7aKvDNtm16
K975DglNySlpJzXtdBs/HxtG1IBip/tYOhT3JS7pOK4Dqn12Q0Vruts3IQ5IWrtOioQQukQiltey
kCKnEsaPNcaT2YYb1hTBfMf/bmw3cqzsL8/yPbgcTEz7wdPhfaJGMqJiwOy1NR27cM+29JUh+wp7
qKpxotKwVhO7hdt5pAtjanZ13Hiv3jywMF2ymR29GtgNRpMOaMPoehpaar+ZryIad3sIgl5zwyZY
f7CX40LKW/EjFnXyFWm/+eSTSR/7vArv/NxDeG/nYoaY4Zrkh1thVtikFIodZFZBz1PCHu5xSvJT
FplgdoIhzwaIJdjH2Lj9WbFTm7YRagO7MCjF7GQce97LdJKHrC/mJ1kvzmOFPITP1JYU1GWcRdb4
/TB9tqWvmO9jPEhDZIcffVAnb8wwRbB3g66+QSkAXRSEsXodNJX3vsFItTfYQn6Wte5fxjjkeCWr
Tv0k7E7FUOPz4rbtDsK9KrIOqJnd2l9Wn9pPiW7K18HLogc1Of6PyqyAJmLZoBbl6IjnmPI/Q3yI
heXeVF75VCt6i3v8xzgOACcxfmOXREBzDDpoikUt43MvLNLrky+hqSm14KiWwZHwlAEmF7OxGKCl
nuDowcVL8qR7RI+hkiuMRXFZGKptYG+0fXH4KFlal8VoAQKaewoS8yB/zWYLzwpsmUyQT4bcIkSH
eqY4KZwY0dAciDn5M09C6V8ZKLnDRpmy5o7PguzeKovkXmrfM2wZPT/fLqzhH1KUtFe+UrgNDbi4
jQoatY9c1T3FzC07t3FHPBde+YARA0RFw9CHsjG1P8iOYUiceAy9j9jwP3iY840GTWWhx/g2eQo3
KC2i5kMMpSVGXaEsJiinhQT/SAhaT/ymVqPPJlYI5PyGIfPiUPFYGCKkLvxWy3A7ajW+FgIzFLCV
Ao9eNISyOQnc/++p7gdvS2jOa8jaWxXlnbPIWJFLc2+RESZBPXkw+WnyxLo0Vu6PsVyaX228dDRg
Jih2q9nXYqksu3ihnipZMG0H3Rxf2ZGF+dl3nPyWE6hI7jGW0QFN2sA514OKk2NfODo8z5BSMOYY
m7sLJG/KLr7NrJ9jRHJzO8dQ5Kh0qqJDX/UN0kbPpth12qzYjc2Cxknnl+UiEWUd/Kc6J/Ln1laZ
43MTOBSjevbQIj1ITnSieIA8u8Bcdz0NrwQIlnOYDc22kUF0w5XUffiDBTYr7/xXk3XleSiH/LJk
ggex4Gx8UsnMGzSvzPxWBjYPvThIx1tX50G1L3Oe1EuVY5Oa0exbIqyu/6sGh/M05RJPNLJYucFc
TTbGN373ezZD8tApp0m2aZVhn6BbAQTISNVs38BFpBLyrWIiO8d5AFst83ntxGrtM1PVcillJYiZ
mf7ic+vtHX5zQs7ZLb7CaEMYbF1r2Er+GUdecetGpoeuNUb1as3CVMXa1PPFibDRumEwQfRTxPCa
NkbpfL6u1QwPOFBD8iZIWPNFB0WKtWiacFQ0Nv/fSCjPP7BxqGcev8096pk6xmKa32vez9eK4m1U
u0JSk2Fw5WzsfvEVm0aFrg9CE81VGrsFnEhVLbehJbqP0Xj6nuXCcBtNtJEKv/e+mKpwJkTp8uJx
I32GbKEZeoRKkbWKo3RTQqRBrSMwa4QOfi3pEDdbryWDTqGvxWqfL00+pBgFaMUAP2SEzAuguIP/
7pkk+b3kOGDYd7YAXu0ih5loIMJ3KZaACSTHMrkD4euYXchsw/rg7ZI+KNtOJh5b9IdMGzzCS7Gr
dWNpgVpC8yn+iLrdusPiTleFX8E3spzOZe1lvN3kFD03wYzK3FtsY2QY3dZD/UZeGI9hx1yFCaPe
pmVPRpSDQbtsjSZJeJkTVz2pxcGl285rJWYJSOnQJJPV7JCYj9B8525vGotekFIGn63UzqWCVOzB
RLbjjl1K2BNHtNS1ce136PrtCwYA988gZ8d/8gWX2T6ErYTcJzkkbFzm5d8BUFk0IOMPhggZFkPh
qJhVy+AwcmHGjqB4En3k7nTMylQYnY6LZigNTWkBZmLwpJNVX8zgum/04XFFlXZVcRAqiPC7gtde
Vwhq0wPEqnzDC97+3eURrB9qbOMfaVcNC0KpO92pNCWpI+Zy2CfpHKM5UCPqXEPPns+IoxYwuM7g
W0Qqhs7YBWsCLtcfTjuwh6Bl1vqILVWrrdPP2U/I0DwFQlki49iLZT8BknDdUzw0nE1cexlfxnzE
64rx0+lpGqXlZsMlwLibZ9kc38yOcB5FVSzBoWCDx+i4FC2oO5S+K62k/6uMZEe0OQJUlBe7rm1A
wGlbHTy6/d7GSQIssRZObF1E3ian0HcziLWIknQocIYK0NJG29bnbMfNu/C2LCgxDLkWwjMuaoDT
QXlwU7g8fYSSZVjmb6EzyjuTBTGPBy/ZlQ6eVhYNOCSn6hSH3kQrKETVh6yxLJQb0u+y74q9H0Yu
r9wBM3nkseX3TbDgMSo/w0Xab1yJDkz/Ptt3dOxyh9V+eO+brrvOEmxz/I2F/7jYc4rzTkMEsWa7
vEFJ5fPjpnidUJrQsR1nqY5Bn81vFBn2zz2OarFLF2+ad0bFvU0otTG/Q06Dny4JVJyLQb+23DqR
6Lcl081vJ+iHDrtQkjxjdat5xbIvvhkBkmwILqxEDslVuMnZ1CY728zj79TyKVdc2vJpXHiobJoq
aszOKjF5biJiWxwqtZ7kybjOxDYqn+azy4XIoRc3MHMAb1ocY6wZPHd2El5jVVvclpzmy12OCCiu
PNYW+9hW6VOTt9ZjPS/xfvEdMkOlvwRbIF7+fsRzv63DDLSp16Ivb4pKWee8iAbe93NajlzEKsSG
PrBtc6KZkyAvyqKFJTAU7q62Wwhs8aISdHh2f8CI3JmP1nfrF1uXZJ9Tkau9yRtxmYjKDiwLVgEp
Rtx+Q7AN+3PJkuEr9wkQgGyBKLeprJIjoq0oniOHJOtXYYBZjnimf0kas08IYVNzBWe7+lExGYMC
crrsZ+bWsTgwxnp345xjpHKsqggxwwn7EsYDx8OwCkFqNlUQOLthjFweDq7NQpHShvahC8YMu07J
ZQheb+GATbESfaluJ+6lz/rrUgSwRw5k+8WzDwp2M1rFF1yOCe7OFOB+7Ww/guRBxQQsbhXbZ4X7
5LZm94GPWI8hppQyEGe2PlxwEXf+lc687r534oYtVO4iArkeY94w0UCc4te4GoPYa7ZWnf1SPs5T
KGXUpzIlew8qq9jaEKsZ2/qqlHK5nZL8JVmwGGiGr33tjEcS15h8a0vvpB3LzSjVXc8NcJdaUbAn
idZs4e0K5gaOH1099GSPfJ3vDbGTDStz8GamMPg4IQfmDjzvqrWrB7afJcbqrt5pm1MjMuJMzcuR
Obu4rulrBzHGLILCyuFiyhSkeuhXVV2cDC82IgAjGMF8vK9UJ16B5EqkRLZiu7Lr33Dlm61OpXoc
FC5sVj44PSuowIk1EWfyjDrV7hReRX6Ezjs2Msa5aIVix/4gvWB/Q+7u0oB0VVdUt0lQh2coeqO7
raExU3kVVF9UgR7bQPS/G4BU9/Ew6I0esErV1hCc/UQ6PySO6V8BL9CtzwdkugJInXaNaDdNGiXe
nr8xt+4X5cBYm5xm4sSb9M1z2Wlxkm0UNJsxnO3n1UdwKUgyQeWymhM+/OGl8dv8I6JkFo+FmEkD
Gr/qP5ycMYgDQDrIQxVhEz52GXg/nqRy2unUjVnQoBD+smzdXc92wslySEJeYNlE+cTGbuZ8PBQD
p8mc0pYHulCC7GAHrTkYb0SCJ+UJscOkVIszZnJS2OXrO7MJmtSjTSvgQRWMzpjvOCP1Z0zpPHY0
v9q7hqU97CaDH5Fst8VFMRBN8ciIMCYc6syp8NTVvZtvG984ZkPsU31of7S/Gi+V0c6VYT7vgj4I
r8IhnEJIzGOP4wstlnewU6ivIHYKaPhDcunHfryds2nxt0IkHEyNneEWK11db9y4TR+QBeqTNo7z
6GrB9iIOBI/EKACQhX4cz9um6fGap6B4PIwVJELpva0GyU5NimvgJ82p0AOnJx0k6LM1XLxP0mKB
Pv5/ffTbBPafRLp9F/eOJEElHcU/SPb3/5Faev3z18/8b7Hu/+lf8JenjFC2BJvPDgOLGO4xFMS/
hFP5h4dmioKIfEq+GhbI/8h4+38In5jsX+HvwOdf/WUqcyRGNH9NhnMicjxmm39FN6WF6W/KKcRe
10eT5D9/Tzm61ETndq6TUzH65cHwy6tN1qBJ4HUvWzwg9MJffKsKjsYB6S80ptNaBmw2B8X4w0zI
Yq0KZo+YLAD3V8K25rYPg/m1yco1S5OSlTx0eZlzdBvb1ema9Q9+LkDj+hlvEl4HS81JuIlj9vEN
pvZ9j+cYNFxGucGfA97X5mqoa/eGeJtzLiZ7/DlEc/Vnk+Rev+/crDnWJdTGzeKlYbwthl4JXq5K
fcCEZGB16nAipY2pSWxkUQztFZZjLNgtx3zIYY2dtecsUOkD1RFevM2Wrn32GP6e2NlMhCjMEG2n
uVPvcs6JIE42ntqJOiSAPdlSFAdWo4li+kzEe5vNOWYex+rSLQUl/uNUpaCHvcwZPjPPmhh/S/dM
mDd+ZLFd7dsglU/Sy8ybiDqSPlZSPpK0VEfyl+GJ1S8YbjHhNLOUH10P6N47jmSwrmL22RJnSnBA
pSkNWqVJPlcuU3Kily8J94VU4ILKfFwujaU4WUbD9CSQEb7SseTYFQGFe19k7t6FayqXVsIs6iCq
ZfELARkqpQG+6PsEuiMPtGyiNGRqUBpMPA/HvEhjoBPxML5gXrRe2zBN8N6NvngJjA2iOFTtnO9p
sBD3eLrln5k9tsduCdot2llOilzE/T15GwgCdVOV/r4E3Hxhoa2vs4r456Z1uurkYzjpr9yyhfOc
25X+KF1s9uT6TP8Vl9H0TAh8HDc9rmXmINTPrR+Z4KZuOjifWBFXIiAIkGPe0ud+54WmaPd6xjO+
ZakLfXq2ijq9wdA/pZtyBvy/z4bKcg54qPyvCr+Ou0sKUOLbBr7nsodjUNgktAlL4b/rmg+0neSH
kPAP1Xryvyu9yaOgpSlnAtXkBseTV/lG083SkZ9J3ZI3lRkMv6fDD5p2qTcnjx7TMFD8XsV0szvR
b1z//nzuChl95ZHSJ/pnjP3ZFANHScwP9nB06Knjkpo8XR9wGyT1/QA/79qEyaqk4pW4wujRfxpF
OYPVNabaCSbcT8KhvXVtUxmf7wdjwg+3XpbsngWdQjCcwHxn41y+tDp2f82gw96nOI/obAoJxOxw
69PcQBDwkAkrd7dAqMarJvE5tCeZQt9PLVyvO8nJnfN4nWNPGgArwGEQc7NJljn4grGu5I7Ut70P
/AIdf5i0/wDtpr8inNsPmwLp4smCpvwnJ8P+LcsScetOy3LwTK9rtK9JBZumC4eHdeH6NnYeJ1xv
JPK4UC4+FFQh76cgI42VDhHt9jLUKZTUxN3Lpir4LMqavS8DRfM2kxAgz5PjySagQconI516VRF7
kRs7chY8lRUTA66gOtkkrL83iChqj3lyYFgrJsb2DDDZllcvrqW8mB9VuCTBAdNnE2Hsn6djC9X8
aDcFNQdNjqlV8jW+d2G+/NIWQEycFoD0RKmtG+Mn8U2IWzHZyNr1H8eySZ8GwACMc4Oyr8SolhOs
mu4xDcbhro+l0qseT/4dKsaPuk78/bCMCVU3UfSsDY8cGOjxcuD8VWAPDRtOs1pgmVk4U31U6Vjf
ZUXn7Wn1BdgcThO9Et3yy8xOHUA4JbN7zPMa/K0aZr57Zp7E2bgj4zFI2/wdgUOORLxsdireREST
Z7h+4duZ6C2aY/sOADu8Qcwx89nyppHQHEEqLL4B7S4AQA3YwN4ZCWoWWf1n4aFpcTLlImyFCZGg
xzb7sHG9//DacQw3bdsh2UrjYlJ2Fer9ts6zvIKK2wGrko1oKB6ws/wRhAOpDo1ecE+PlQtP2qqE
hDmH5LYb+PiXvZ9qInqqmQecL8VIpr4Tc+/cNW3T3eCnQ9gC9k09mM/u57Zr/eJPmp+T34nFoND0
In2OMbMWm5A+RlQRFKxj1tLJAW+thsCBaNVs4wpMEv5QE++sup3OSFpTsnHmqDibcVALhPSihG9S
6/pWZHLod3bcx7shiKb7sSEKv7NmKz8OJQRzW0eGBjBTuKAkbW86tI6TXSP7EDmStXZOHIqT4zDd
dWZa4k1S99A5O9y813PWsAAoy8qDce3SwtOqMvuTk3tFe5hzGaeUoERWGP5UzW/40ND39+YUwUgx
AicOrOIa1abP8eHSkCfoe9Z+fea28eo3Vl94gVzdMw8ER90XrOdnnMEMluFFr3p8lgPWhJscFufE
GW06U7KuzXdpHxED5bFT8RzyrGNn490kUm5T6RKIYflV8DbgRZ3q54Ja8Uu81NN2JtVKpwxA3AoM
EwmxAkRZrJ0zlKSffjeq3WLQ1JbRiSnM7PsXZ/KcE7l2n1u3wGqgwQ5/tWkYDdu6GMJ7Y9vOIS9G
M1G7EjRnO9LlHgeeOUUhZNONg6G5241pNl0vTquvq7hmNhui/KbweJDvKcBpYaBOMV0kbmBbWLyU
HeWAliz7iPLCjnZJ2/yK0vf6UWZucSYV7FwHKOaXJUzdi0lM0KIymP5HyHW268mRfKo5khVCs9ve
uWVBvLgUmM21rmy8yKBGWPHJXyEXzC7qmV/bLGTjVSypiw4euyfh6eZFgOM6YmhcruuwTX7gRvUR
wGW+MFGsPV10D/i3VR6qTzsl4bWndodin043H5rlynbRrX5uZd9/TgR875VW000Fn5UhLied3nu9
D2TTT/DTC9jpFlYZzZlL+h/l4mTzlgK26UW5KYq9h8fmK0ra5K6MLOea4k0y86g9GB7HRlM8p2tj
3gd39vc+JXtPlrtqaPSmxe8+WhAp4XSYPizUmI/cuAjEmc6m1ybM1DEJGv8uFMo5h9PILh9p7d6P
+xncsSF6u7B54niWduRkhy7Qz3hdWH9m/ehhS4rTgFmKQqqHIO6CA1PW+LpQknBgA17+pJySowZx
AnJ9uo9GTecbnVdb2Trxka9qvLbjGB8BXOfuIe0c1a77JxK8eil4UkmSqMW+wSBNoDmzTH000Dui
q4ahOmb/N6kCPnhi3/ZN475JfxyIavYinw8pew973ZQQgQK1HVzS2F9Q5QA2aySesEvgswn8RYa5
HorCPHbvo067bNeliUDBXoroJoWdC3JTq+SKKyRctjVG2Z8xa1dEEy+wH3MAAdQbBpjSAChkBvNf
Wby6btI+Nm3RE11iHnqkITLcDfaAaVYKH36dF9zZkxFfqd0GxYaroJJ73ru4Zn1psPzkZBCBWxh2
3SlEX1o9CMVX+zhdmnRnW4ww9wF03ugwDp578gsJszonZxfwequQsIgd6OFGpvjxyF+WZAOnsPaP
ytYBVHzZtLuFlDys7rBwf2ds56iACS37BXjM/DOFF/orCApjsBgvvMnJU2jDYZV8BlJ6OzUQnDKq
bXqdbBO3iH9T+Z0+6gXs9Rw2dnrgjEmk2Q1SJMW6ezBB1WNd6nhEVX2gDnA/uHBcCiL2YYJoGAis
E0TZ++gn5QMSZZojxp5TL4tAwPFesZ8aRYAvigvrd2FoEsGt2l1RWLVa6AayCiz0iXdjkek2Lu/l
HVc2Cj444vqnE7ZABLKB1EY0qGnDf5tYYBTNvK2aepQb0aBiQyntwJqUbUKFWe5eOXkQ3+WiLNGq
4AFDnQBGuxDcpKxm6/NXxi9Z6vI72Z3TvDajH/S7NqRNvAY18dg5BQuSAnVzhykV3Tazlp1vJr7k
brJO2uk0lhanISAiOAFu5pgsQlxpvTeL4Fps0tzbeDCmfyaF1V3yaWE3MdnLQorUDn/Prg+uiyYY
f6KFMrWeBwtPAN4xzMyxH+SMZMyc8gg+LzrXXNOfM9wNalFcOyb9usbbHZmGl2DNvDd6XeZNaxJe
WL3ZDi2VOnQKTPu4k+1efWfoqzVO72ZJtrEEEfsQUYzydWL3/NLu2XWk+ME5oN2HWPQP+XdS39MF
cjydC9EmHNqC1V+c7iYKDx8xYkC0LL8JANE3DGDFAhDiKfZ2s7ICPIo/L6IEIMAJLtpLmAKcU2Er
ck/uobX1e5fGjA/ZlfrP+ZtHYKV2tItXSEHc1/4DC3bIBUwH2XlccQaLVYIXWREH08SmAKbuuy2K
5MFLO+5LOflkt5QHIGkFJbhNEV8wROZ87mAUqJ0Lk+20whXqXMi3tlvYMUIkUOsJnYV/gt8De63r
YgTQccZpdoU2eDxiTinH0n3+zXQYqTDmInIYjju4r3QDrfyH2FmKq/qbCiFWQEQN4ObAEU7dq5Uh
4S7fNIneuq97CBOjAmNBSxTcCZb8+AJ48sortXIp/JVQwa0XvSdKLjzaIkMII4yBd/bfgIuiEuVt
tVIvnAjM8vCNwmiDACyGowRMjpWVkazUDFApU8CSIcvuuqKN550nSmuXrKyNqIxnMjsrgWOWRfqC
CDzch1hVPrl37Xv7m9mx0ju6MAPkoeSM9G+Nrv0mV9pHYefZldeq7AYqI14YsXJBSs3zKv0LFgI3
pKhMsjMrSyQKWtyXK19ENqrZRYU7XayVPpLTckZ3qAWWgE+8VnuP1MBbx6su4ae1xQH2En+n0MVT
JIvgWSeGzq7ZNJIwRjKqQ5tTkZA4crqhLNMm6MbJBZuCn1TPdmlnB+UO2X3tyt8+wyBvZXYXPXKn
pa9nd4LnxeuTQi4W5o8FO6JXItYJ3+XS0kVnhlr/ysGXbv8rwzkFGJAuTs7scaIpumnaCZXV+Gnn
xLtbeKUYACoZa6L/I1Lj/1U5VHfV9v7XXMjLV/ez+CeH5fcf+cth6f/hhHYQhjZhtED5K7v03x2W
LHUIfoJ1lI7rrHLgX0qhLf/wBRaIEKR/4KvQc/5dKQz+gDAscFjaoE4Jov6LNEi10oH/0WNJxFVB
jhXAU3ErOqRZ/8ZFCw2BmxzNcE+knFdDzWLX1GCatgRlzHXFbMmrwsiLcpb6JEpHU6bT5SBmy7Ah
027pN3dkHY1omGQ/YA+PHmp5VV8VkQ1tPAzywIcpp6sD0JbgTiRaBUgEakyvO6+tP93FM5e+wiR4
NkLhUaIgzQxknaKe3B7IiHyvWacAFkibDCIVNpBdUhbxL2B9iJTBgEa7CxzA7Fzma8qBaXCqLiMW
vRcCS1m+r3AcXHuLiC5L33aGx6pQb+0ySrzWMnjuE2u8g4EH7GxYfYKqEvF5sANGWMj29MtxHAnP
0s7pMKU9lLYdi5FmM1BJMJwlL3DaXuhTtc5qTuSTqLifD3kepgWcSEz3a1swMwSHbL+i8yaZorvE
782y95KFIR7OJZCWHjDVeIe13e+vpWIWY59NoH/b1Lnro8lA8d0AZsM7lmYlvOyR2BBRmRT+TTp3
1zXVPB5sSrByW4W4jANhzGb2t7J0QNvINDmwsi006q1mrTWGkPjQtJr8M4ce0VzNtqFUcO5zfoAL
xeUHA0F2l1sRscvKd5/xIwynOYrmW/xA4b2kAUNv0jDrpn3fi/qFgyYRX4KfU3RUVLWdmw5NEBtH
N72KJvcfsPqpT3YjTrpHGvAAipqJjyaIAw5rIwU5e3IavOBMat7YLrqA3AqXHmSKqYXh6ei3F1KG
1RMNaa3Gp9UysTJ4WOOVi0ZKbzF1WFD81u2L972JMetSBnG2Pnnroqb/3tkM6/qG9RSbnDZZDahU
5oy3QOwSVrEsfWKOLjRNrJugaKGxYIvRiw1RHy3hlTtYlG633zskmHNrIwWLpfZ7x1Qq4VBmRnkP
xZHfe6jxeyc1f++n5u9dlfneW6EX+u/t9zYLN0h/7uE05xjc1n1X+7374khofqvvjZhcPHpP0u9N
WYnqNODLZ4EWfe/ShFNFD+W6YJPfuzZ8e9yD4/cODqM0+7hYspprC5X/Mt/7OpxwJDYjz3Q7bIgY
qzajmwQ5pyFdPoVhGux6LAyMPwgaEr8EO+bstSHhQQPitK9MN/qaqGvYXITEe2R8wqUzTNiT6EX2
WslRHF262VBl3OU6DvsC3w3bw3aSUbtN89Efb+aw0vaD3aX1azdCKxrIP9gcV8w2dMAL/Rt7Z7Lb
uLJm61epBygekAwGm2Gpl+VWcrqbEHY6HeyCZLAnn74+nVMobBTurWZwJxc1SWBvI52yRUXzr7W+
RWhLlxeV0AdKycWwz2KMT0fd8KSwbco7uw9TZEAw1SP/AITFlR1baf1F8Rol0lxyojU2Zd3fUB2b
zy/SCynyNvM80C4l5snPma7bBb0ozZBhYtRZnn7FlknOY1/6X+zERCpR96kgGMHMLA9pXtDX5vCR
6emsqYGwIX1PeEeABIrwyJCwXx6IP87EhS0re6FjMOAaLzqJzDlhOIBSkrh9wNF5ZplfxW0S4kPO
iamHFq2P1USVTxtmW8wIG6jjhipHIXDf9ABhpOSnXf2zrKPZ7useGqKe6sfWHTrmkHW++3+ybf//
l6CIYJP/Z5v73ed3Mn/+0/8J+fyPv/pvaqD7NzQ4j92dfZSlPISw+e+bPEc++5qVuKYr/qIGuv7f
/n4cQCaEcsFezwthS70Sn0FMgMUFMeH7gZAh3VT/EzXQIXz1HzZ5oJ8+SiV8OT8AgXqlWfwVfpo6
8IKo/Wh3V8gsJaoN9lGnbZIHnlv7JZGd8xpSQQWch5vtbYpz0LlB6OuOIZOzS+m56UNjIGRBUJy9
b5nm0fNSdhF0nYoB9i2Wgj55oaE6nlcWvcgvIB7wQNeuu5ksYWMZL84Gv9CvgJIx8kT98FCX9gs+
rsnC+jI+p7LWz2opy+9eBuKhsXV2cFkXsXIvybFRun/UFEoT+w8k9NC26HS9Nom1YJydqc6EKMni
1qFthrZDHBVD2/wU9TH0gyz1i4qN2pzpNNDLeYharjZ+suhLbYeYCeg8HC6a9jecGd6Io5u20qvl
3XOT4egqFMaVgLH/TVVyT9KLvl/qLajI6m4ZzkfRzRC7QUDcwHObJ+Dz9TcN1BRYKKr9BupDVPTN
jHT6WhxQjweXTmTAsAEbhspGy9+lUYQV2CJUrh9kGJTjzWLJ4aeLAybKE/vdR8GV+rnyyVrTRhY+
uR5mgjHLSIsKYd3UVlLbe9rj/K8ZCNtwFAzE2eDixqhVkfjUIiVTDYZ4aKqdkyny4OwgqBOsK89e
W6XvzKPVd2+s5vdkt8G9DlLmeC3F8kCoR+WtoTiMpwCpb08qDsAhsTy957fiETeR9DUWrRkY7Kf1
cpBDDkfJ6dStAECSfyw8HGeScBbLNuNMuA9sOFyLQTst2ORXdTxjFrEZ5K3rnoEH2FNuYIK9SXo5
ZdiUWZOBoc7k1ivz373maZlKkwNM1RVhi1Rll7AlYQorG9dZwc+NF9dfM/NwCIN6U/VpX8OaLfnX
H1Xo8BUUMw+5Y4OU+khqTLX4+pmq9NOXcCobE/xgHbJJqg1B/nRvZ0uXbDodpSe/0+daZClBkya5
lXKWT0Ego/emKdI7hdGPns55SfamC0IsIi7xidy2ijeOQH1PRlpCXPXRWdU68FxN+wXpP6rowJGj
sCVFVt+0JUWkQbjgxZ8L1d4i8abUgZZnoHr2Nq0cz+y9rHNXOGeeCeoP740XQGWqsUKtGanJZD0M
gGF2YRWHaAmxXj7peOqTV6gFSbpOpwR8E7ZWSiImjk7j0Q6QC1djvwBGr7SdlkeH1h21AqaXvNG2
izCmHYUuiXo0TLdmVrSDJfkIK4uItUh2Xu67Zs352Xlo4YcFuPLR1WExgMTkcBdY8T7WvffqCdB/
99Jrk2aXyjTpdwzgqBf0QMjPa6CfQu7GeZrtTTbxRq8gsEP7YFKkyuneo/qwv4ONChrUYa6mL3Sd
eOU5CUcy7XMQO+Nrx9MVrmwknGkXKyrN1+mIxWhdzuh7q3qBaN4l6BB2VsgjUTdlLjmVSSGidhdl
f0aqk24HsJB8sNnnSxjHTvHCMLZ316Ay8j/F2EUNF6S4qVdX0yIjMxkUkH/tBTNVG1qc1cveiYcN
bfQ/jCDMWvtiVNs4q/P2yJOJx7JO8fM7UeM9YQkt78tSym/fmkr34AEuSm96TzZfIqJresWs32ww
dnHsJz6VskhM7q/S95xfxtP46+yc7kWGhVj67Nqo9XWKzpEBN+96cSKJqiAhx8O+WRLERY4lLY0m
vanW/Ih6A8sltviiIJZRTDkciqxsxveB+e3dQPjmtQoyeopGOc744V1oEI0gYYVdadqyDilrQ938
SFF0N95R7xg9kgnmvhhmMFIyy5+e5ATO2ktK96yHkqDtSNCL8BbSyzHGts0oBNvH0TFzeuo6oqvS
wqMBt1e8arIWOwabuO/LyMdNOeK21GyRejtZNkBSRc25sChgZiJtqQXL1dLv7bmPbuuqs9bQ9yD8
AMqk59Mr6wcLZeITE/70QcTMe2kTh5I1yGo7uxniM7tlGu6NE7TPlZNNXwZn2zcxsfF5bPS4G2R5
iViWAHmaIAJSMlSXDEc1yA9SajcG5D0FZ06gDsBtxUYTBdnTVUjIXnrdINaUc3DzCothoUGp8N8V
lD+z6QlinHJ/Dn8iwlirMqXvxo4j+yoP6Y8g0MTAKq7rIwmTXmxpLw7BlRTVAZ9HxRSXkJ4EL0+M
sOoYGM0OPzCKBAY3QvG3fZyJZO2WSD63sxYEd9tmqX6ZYqTGNZ70Nfc21N6x9vqBShS6WSm/BUu1
wlCTfki0+KcB6fguM3n0UDZ0lmF5DX+zNTe3IODbd2L82CvHaapv6ilXJw0wgtcys1BJMTVnndKT
gDlxiB54Lbg8RlCkudNiN+1BzZ/dgPM1Xom628Q+TVdB9scP3QJgBLXOY6zT7p53r3y3UUhgPHRg
mpuOAaiLuSel0o2s2fKY4OW+5+QyId6WmngBQwoTWWlypD2IUYTTNww/q4HPWzCJjQNy5cmurzck
3Ufzk9NbS32B32zduF7VfLhOyQOmvJ5aorgyOtyA4BtGIhxt9+WbwSMEVg9PEwBXcZRJmb9Vo6I3
cPY6bMZ25pVf1dh2v2OBBrJqp4ppQNvGM8ZxbKTZblBDcIm8Gbe+kEVwU2NvSVYEjPiTcRwWEr4b
i5ltBcGA6zWFResavpjHnXzyMkiHcmxZmXlznRfSgWW37YjfUMeQMAOpOZhhuJJTup+XsfuRVcRd
Ih/4b1sk/Y8cu+EIyri+Hf0muJHcmZ7yqqIwtQ0wO21kMWS/Ckaa+8To9pQmsb23/RhYbQPMFZ0h
LfCzw4IEjtWy2eCzHdp1kA+8wiHhi1c2Z3RoMt0Sq5jF8mmiMvO2ZhJIOrMV/+7aKSC31g7QhVXo
gctxp6vXFd24OfHGc513+etUbmoKAFaMQcoHk4fLmYNpsoHF44IcSUNF4rAv8C3xPdXejbLqIwII
w+dNUJHNbTt1GHeAkuqkqd/LqvPVmvlI+UloU548DBWfou/b7RAj4nDAs+KTqkCorGoH33PAS9oq
1sx5nQFYf+1CZX4vdmVmPGeBvE+xjhBoZzh2Tqp5uqagyucqAo++apoKT3VIJzT1D7icSupJxBYc
V/XIqj9vmiaIlgOHHQR9mgPVr9gpruvOyDLZuhFISx054KcRVnIsYVmp12KazUeYZmw1oRUtD3R9
So+SjKn/7LpKboMka6u1Nnn+IBAZPQQP7SBbzx6+OKdAn+kah4tki3n3l1q66BnpKA/X3ASIKM+J
TRP2BM5rCibvzY7kkFzyqY8ejUf+EDOJCMnRWmwf13gd6TF2Zvhas7xJigqOQsrw/AATw+rWOVbo
qzZAqtBOo2Evu44OCuk0wRONjxa11eXoXnx2nU3tq/4lWbr0ImY3fKQUhnNbQuToqXA7OezsCOAq
RxKLRtA1FnUgWoPyL4MfpQ/ZQDXoihqD+UEKQx20msQZpwfGLF+gXiCJSObxg7S+WfEQkorWx8wX
Zn/wfdcbjkLyF+OcytlBhfHPdj/6wGJJU62jhJI5/GBQesaZRF3iV8F7HgzLo7Yb66uCKX6xZ3Tg
k9t2+so5CH6oIk3rW+j/FQ2trdTfgknUyzJO84FSwOEU4KRPN8z17YwGlCErdz4W33mT0iqWHIzR
/gHbhfXLV3MxoGfW7R4vZnfSCBnrYE5tYqKyFltaxxrKOzE63ti5HpM1br75dQmZ1VZJhpIYkDsL
mIimFL86VX2L/xOmnqXSZjuWCkadanGe6P5tsjsM/silG8BzPS/ENR9xhdzM1gQ7P2GikTY1K4+n
vKeUYc9WQmgGiTvD2bNZvIguJC9U24UrryGfwFPIRKqNfqrAO7S+aI4TUCQ8kF2x86xk2ocg+vcx
me8/MbnQB5LvrH8ziOpVM3E7xBOJ0ZOKAJInHmYzisruVVRVj1Mpk6PJavrfZ6s8OC2AX6OC/veY
d/VTYM04SLA/YjGDePuM81rtfLzxB3Aw6oPjTEtwJDmnJUtz2/NC5yXAmM8ECRBNFVOuQHdEHTXQ
YVTf3pK9Yqem/gSPyPib20N3dOiTAFiEc3M7lCOaimHihFEEL16RJeEHRlaaEEvjdze0roDzs+bm
1Bjorh5mppuI8opP3JHfS21xtoK0f91OuY3VWPqO/tw0ZDbdZc8VSO2GJOFWm2JzuoOmUW6TQIq1
KRE5oZK6Oyhg/lOn6WRdG7guJ99gqrTrhJmtVZtsE8rGpiQanyt1FP6tqOJnHvsn31OnYepho40e
qUAk7lAWC8kw9NbWwdzA20laKlcAoMySJXeJ1dECl8198UIEkdyiwpjA7ZMheFSaXz6a2Wda59Mj
li34OzZe4bt58YOD74K5qWLgmnt7aj2WN/zy775rP+R12zzkjEP3cdsdekc0nAB7dHwcS/0Hp854
DfRYvrVzNXzVS3unsWee2iLTV/AQpJBUC/VFyM/+Uhw31sThqh09KVhCO2s5DWTyrrPb/qIT/m0R
Ggk3wO13BriQ4REFIqsX7d5XNEk8dwFncwbcsMT7wureyUTIm85xh22peyT4WbRfYUnAvIiC6SSj
eLzEStKpGXb2bvRCdjcckTthOf5rWBrcOjQiqGEzNMNibzmNPBY8jWaLJwanStU7emssg3+UZpWS
AL4bUJwwOibBoONhsussgU1Hc3jaJBY+qKAgBP8cqCmcMNWWJTeTDm9cx27y3bgWFRt5oSnBXNLy
Y1IN44leuKTbAyur1aPOavslxprM8RtPMykI98Olee/BzQrnG0JNRVTOKzRDc96HY8/tZgegi4sE
oJ30JTfTKAlG07t0IbFQlodJmZBaUtI4lBea5W1Iagmi3gzHCeMp94VJlI/kDF3/cB2QfCppOciS
C+NPb5h80rdexx7WlZ11cdqZnt9xACo29fUlKYLuEwWXBaB19MGV6UeTVclJgGIst0Wv8o09Mmfh
XlcQY48r+WyCuUOIWIR7p0D5tKQ1mqzZuq27BHsKmiiTF5MFVj28pvNe8Bm79r5m1xSk/IrrkVHd
QgbcpWOT8YvoInq5QYPho8qGyP6p7am/D6E0vdqTDpBbZhGTiOuC7C0t0+aGCU7JxDYzxPhcKB83
VpAJ/TxesZPMswf/VsMXbE9VMsH1WpJZb9PRGtczUwmMEMF7pI2Otobr214wnAtYkVKbxhhHLndc
OpsPUIBLtRtHHMW5Ah/O1cx6rsM4vLX8pV1zhIQN2cNP4yOXNvcs+b53Mr3OHrC3er+LrA9fmcwQ
W2Q/4iRdy32ZF/U9ZlH63BoFCQsrvbidsE3unCgpvjOavuODoa4DvGzSQIpwFuJ8aN66kZz4GBgQ
w3Epi/HrkdIa+AfjXZYzaeda2CvmEQV5XcjGdUfari37cVVjC5CEREluQVS/ijwpZEWOw1kywxbF
HCsOLTexjAKTOaTwORjsTZPLLlh7+JrfRGyuR2Vgeew5MOaec8aBEshI0T+UXF/4vxpU+DrRPJgr
9uncvzHEfj4hGcE17xMFb4WMHScctqg5IHO3Qi+absaovk73nfrV1074tsB1ngCDJFgbwkLMhOnI
Vq5H4q27cAY1t0sLLD6cxIvdsNQonfHct1zvqPkymMc7rE4yCdWHZ+Z6X/q9D/6tDD0uXTq0dh3h
dJrJQowJzD+sTeYW+cn3CjyuKWeet6y1KOdy/B5Jy/jiUZMWORSaSBFPsCjOpUUh2hgLQrEYxM0A
RlyBzwMfgYcpu0bmWqP5kGhKP+rtAOrJ7GNXW7jPxi7W9TGLmrjHLOpkeyxi3oQxN57eUVxBehGU
bF/6mRwq1NGJwOMYXDPlbo6DCkLfzABtIEP82ReJ8wywkGCk14U+54RciRN0TlzMyLjZp4uCydwi
nSxnh0kYzJ4ewPDcREG/vGZlz6WLxxOeWK6mQNKAa09kkqEl7HXp+jcMRIJ0h12shPNiF99wTNw7
rLoIpUV+jW3pNmj8h7RXHXEEKi7MaA+g5uYYNMe4hKSRcyvAkQIfxCHfy6Ny083xgimjwUmz6gcV
Peu04TY/uSw/s+9kX/jsEFZ71zXuLesE/hRCmDUPaA5D8RhOpin3KowG/LR66JcNltHgd4Ne9qvA
isRljOJbXCEuIz3gjsEMbc5n9shdwMq3ed8QgCZNKNQnjp0ANnBzLYOJsvCe8g64GBg6qHUIMmWK
FUZxnMF5SY5uI8uOgFlROgxsKMYx9mZIh/o+08U1pkG+9t2PM9pPcPu980lq3NvGtvu9qlXb39a2
i519tAIRbSzRqu8YREaym9w+47AXl5Al2JZYV6ZyKvQvgivezRJVC96zvjP+emSbpJPcj8a95wMZ
sdyWKPNQ2/MtZDhEXW6Rllqj5xpCukVVZFs3SZcnQoV5vYefUhLlzSMcaJiaeuoGvPhunKx4XDdd
tmyNnaE0j0hXLKh21Hn4vHkNKxgcOwsjcn87j7I062sxy7Iu5po5WtrYDJPawGcdWJIovG8XinZQ
3XPNFQxOxybOMkwKoYB+ig1d4TKwR8WwaK54wcqa2viu7UsZ7wrt/Ay5FZ6bMHCYPGaAQzyr6vDC
JBmd5zIpKC3E+dqU25ZlU638zlhPOKmW8MVNl5k+qCHlApN1hs3FGawd13ov/fFQOj8KDmRym6Vu
emaKC4Sbg6sBTRek5xzUzgFSIY3VMGSDl5qw5GmZB/WS6YSTNKH57LEwxVttiXhbpUGQHzM2kW3c
01ykTDfEm36Ky08EHeu7Suv5OcNHhxeqgiexAr3TzaeCrbBZTWGh6V+m/vmAiYBZdj5EvznMNV92
Fupfiz0RXqogIpG+tZIby0FsWnfw2MwKO7rAguUTd00K749jmZHUwSx2EwOFEyMdb50J2T+29uxe
E+CVcFZLMC4HwYN77sxYnylI4ROQ4bujrF65l8a0rNkdEcbnHKrWdEpMX+8W5itqt4zBkKy11TKJ
curWX3axBzbnEPL4wjWqBnFtU07G7J5hAzZagiB4n2uoYP6hxQWOPJN0oYcrw3WO3ZxcIHvDryTA
9QmxeCsswN+U9EBEMBh4fyPIQJ+IjPvGmWyS7G1Z4l9oSmJoUeVEYtPGV8+N64TPnEWBr9hRAujR
RoqyOLYZ80oSpvqBWstZVDTMAdZha+s/bgs6fI3jpNiU/sSwH9cCREF3IlWhWeg5UTa+3v+vPvvf
SXA6mFAdkpT/mUT7L/Bh/+/FvP/+Df4h1EbB3zzcVpENcl8yCr/WRP5DqI0g12HbAuvvOIHz92zm
v5mx3AjcXeRfB+cURniB+xeh1v+bL+n6jfh2AWHQwP2fCLXi71i5v5ixQltEUSB9D9+qS9+Hw6v7
q05Lt0o9p1fdsUkRtw790uYPoFz6bsOZFM7kNPVFBtayrPtVUDeMZ8hj9oYZbuIerdDLtr7jNscl
KaV/59icuFeMAfkTGkf6TlNohBk/JP5IfqpRN0vlgzVnTyE9MCLD3Vd4qtIDsIT63S9swFmVk3KH
BdPEmStXugUqy0/w0iIM7pwugMzAZHRrzyO3gjT0uMjNeb6N+WRiXmQsyIfEZUa/XsZoJAbeZ+mB
8ShoEpexknswU9bsG70MYmUN5RA+CtfAPPXq+mqblY66KwnTPiESYCfPDecZwidjLWlBMS1H1FDb
P0lqV2w1bN3dxvMs71wmMYwBwM7qzXhcCfdhGM+/hW91j3VWxJt20mWPXFETmoEuM3wySpuOIBA1
3uDaT989y28B4QKPWo+VbVOQ6BMhQdSDbg3ejeXvqg/TJEJO1BlJaWE3fXNGFRKdXdwYycWu0gPE
554Wq6XJ2XXmTEt6GwJx52pnZI9crJPQBcH/xUuXe5HCfbm4zXWJbbzZqJ0XofO9Dh1cFGa0rbMt
IpvqlKVUrtnPCHjEqArVNenRtK0EPnr9veRbs4gWFaYIkquzjcqIq72cHiq65d5ctJEtxprrLys5
YkQouaHV45Zv451E5NH6k4MPJR8wlWqtg2RwHjB1AzQAl0ypERT5zRXnAd/Gns5dav/QDzlvy5xa
zrF142PFVXZt1bG7aozj7qAmzeuBY9l9FBAk0IJzyLx43S7NHXBbitAj+7U/ehsR9cEFs9UR2p0D
AQLnGcDTXm+9LL6w3qp7JuuvLgIsamF52/B8wIeR347W14LQ4zipck8+Ve+hFbvrCQ1mK5auvIOZ
V974PDZnLWrr6E8DUw7h8aszJtxrD3h2VNU3vW9uEwUHyweUTXVzeEdQu70LPS7O5aDNbcG2zrvq
Jd9olsWe3V6/Erop7weRy0M/uIBUAAivrCjpV5JOhwd2GPI1RV+dA+wA900JD9HLJaC8KKBydUrs
+JcqpgszLTyLxGiPc0+HpuGYeFP7RPTSqKLEcoKAggT5hT4lLqZy8p0qFbu8cuOdjy9565VgwB16
R1dDHK1Tp+vvMH0RfMKYaLYZ9t/nIqkfhxoaMyBEVBjJmLjJku4hZvS0lssMM1mmggkpB1jp7geu
HuSCz57tFGiq1qUs6z8w7R/z0elo/sUqWnRQBcusDR7QrNQbE+qexsbYWRnmb28ejG0WI/GMl3lN
vzEMFx1/k5XZOzQA0Wux2H8ox+JJr641XEG/cqj0XsFBq+jbmX6Csjv1BObWZrR452tqipiLL9Yq
JnsGk5MTUiwbip0Ki3gXlPZlrlq4Ooyay5ZkK81QEzcbeDUF0dc3i9e9y7IYEl6Bhk7mbrwLk9y1
16E1XojAXfwuzm4KqWn/sIuBDk4INKE30YwlpvKpafFZOgEX0Br/yP3SYcLe0C0gDwnXb07I1tBv
/MwVmCe9UlG8ZRjf2bE7v2C0J2Ih4vE+ijhd+4xmyZ1I+bszzQ/pQLHB02YoLo0x8zOX23YO/gyw
z/oRfijIr651yZuJ/IsoXbmzJbBhIpWypNuJEBIx4vDAk8BK2Fk2bUazCV/HyFXfdT6M6X8BRfWv
puO/WoVDnE227wn8TbbrBZH4D1bhirtmQo43OYZuS4Ucyrv2oYFUM6RjLX6NVeexxlVpvhmFWTRW
iaF8Lo01bxuKZb97xQ3/dq5Gx9nmnSRSQr6CLpXru0+bBrGk1WiPAf74AAP+1qWuy+ao7CRH2etw
fJi8q3mvypfxhXlzfp4hb4mCmYU/yFOdLuHdsoDzTkJcwJ6pYdPbmRCESAkSflnCvSKqE/81Z+K4
BvI3g24NLHmNVPLdQWX6410UI9ePYzDv6QgsTwu3iV2RXLM+gpAp+djoJpqvyqDLDIkYCcTRKO5e
IuYpG/L7jLb7CI8iIagGRrckf2xJpAjUL3yLVbiqvIXCjzFa5kPoNxYC/OCMQ7HHXkMF1URs8kCG
VerbALlrS9kCDJZ+sP6EATHyFnTTkWwqV6XGs61znvv1dqo6+UBGXTy2IlEX/FnbRTT5Lk1rBjnl
0mPoBEb1oCMIrCFx9QcyZfK1tGpwQ0xNKVkz9Q5/NoBOe6ZbCIf2TqjwksiwXLfyo8zm0xB1n6jN
e3oXUOpaqlnr7GsYmjPJrfCWBluHEfrSbGj5ac+JnUdrLipUvQM8KaHUsK6MnnUgRZt+Oka6W02g
AgfpQDy1PLtjn94noOQwXgnyIWlyCDwC7GwrZIs7HydGUCOzkEMxxyXo8UvPdTswn8TFwLyqfMtA
1W6I7n9NIzz0pvEg9C8R0gHP5oMJjHNJCYoEBPDOFfn8HzH2QC062aqdRXQJSN4i4+UY9o6nbkpm
B+V3MRNZxgaGQh/m2PRprxzkfb3Ug8uiLOX0Gi2T028ibdefs+vn7wxfvOUioTaictSBmdc+PpN3
BgLJfVh3pFsSXKZjRs9hXg8o+0oK62tIcnzu2h/Gdemgc2PNpsMyCZj7MD+5CAS236JwI+YOkb64
NOQl20Dly14WxMEK08u7YEqau77qkRHpFlYfUofqbHudd0ddEycCM7LP96Pa+N50rfywwmeTe8xk
UuF/cqqFZcvgWTmH0TbFDVAPy+XddBLkEy7dZ/KxI007YY15224IGF1H0V0GNCDjUsliV5tdjh1g
o1ixiHNRqG0AXs7qXncq4tfpZmz7qPZbh3HEGXVTv7K1eH8QUsn9ZC2WJrLq3logaFBWn2F0A5RY
HmrMO6x+YUogbGTM8+LLLL/LQXLcV54ezogX0RuTOecZDo+1M1zizouVc+QRMEkvvIz8meAa765J
2ZoWr7BvEIoG7qQeNTYS7NJtkqPYr/HkyWv0od26jfs+12V6kwQO9l17zrP3okuDtzkef4a6x0Lt
OMNwANiPtpiydRFEpfs2n6cPXCvAwuKpv7bBYCj4bO1kuAAN8N7iKfBr3lFshCvVYrLC1kPnAW3F
4mPBHL9hU7Le/S7NzsTJos+6NdOzw/j0NsPkB/CwdJm2cgqXBy+zB9pKbbjFf+9t36WAqsFDeJT3
Wcx0toLI3rSVfY7vzKlSNa5RJucPO2ys+9GuSQSU2AjIt5ZxfrK8zNyBKxwpdHWHb1uTwucz14av
Tmk3WO0j1xKnisYbbhqurd7cfgTiXNQgkde11TQ+Ex3bfQ+bRl/kGObHMY6B6gOn5bbce9am9eIy
WmO5guE5DoDVWPTafmMT0wD9GBsN02AaXRhN+NgPZJqSrzmr3BhIYzHcUbDSrYwbX72BedBi7+SM
zdQO4wk1A2m9E2MXfANddm7j1O9vkgwVdx8Id3npqN+ut07ntGQAJutX2crksfPL8KuanO4yOFyh
pusjyeUJaykPAQQUENZZykfe8IysG1X6t8tQ00QkHDg6EBOvUeJO6QLzgKceOxktz52dQsjFNOiu
ArofWMUXsqIdpVL4hMBWkO5obXlPVpzpkyjEcEc5bv++UBn+xeh6bnc88ubP3KkcSxSAcyo6jHor
cT1EuzwJFBhdz/tx02FA5kXb2uoOFXlj0gBctjXgG4HNZV7w4cDwsspJb0mohCQg43AkFhlisQRS
Qc4Aa0N3apssesjCODrz+ymB2zqcOv22eddmhOUBDrbcNBxealLXmCgYTDMp0mHHyBizvdw6iHHH
xrNGyCWsAJtMSicjYlnxPGb1VD2QRkwf+tRVEDMF8ZnRU+LQlPTmrovgiqIRWd7BOE+9oNqUTRe9
FGWK+UFWwS9G9/MX9xjcTQxNPY8E8Uxxp4ZQed9gEHTWaRdNj3Mzvrm2fRmszjwjudFkhBW3eugL
wMSPQz4lh2Fx5ae/WHQ79HPR3WMhmY5GUopRT2771hvR/kyKUp2NNVbhpUL6uSzgcl7msWAnYnKe
kDzQyXClCiQnRR1ovuMgbN2pipHQrkfbPSYqgxeciuRXM/juzVwKRuB5WtjZnmEdvmFS6eM9LaLN
QxBeBevELGc/1dNKBl57DPwhhL9hTxeq4GETOQxOj1yVfLVzgJ0eS86bzQ7whr5CETj1u+5cBQ/G
gfe4sRl8rJdwmPe2GcUnpRTNkeExFArn2jwdBTj4MCKj9XJb4gSWtA25lshY06PVjIgzhRx/B6AX
vlVNQSvo1lA3pCGH64mVdeKT6yyDdK7wgNqlb4CNW3Q8TXKkn15l84saEReporjyoCOweNylSTi2
G5i/HH9xONAJqMAzbsiMm2O29N2zJ4vM2XiUHnE0K0Sp9soa6Y3C2noXWt60L1BEsPD201sNwzJ/
0Jb2eYbx6uG7TO1ZbFjPxcl0E7y/Om84BQzchNP9ZLyZ80VQLdeW7XpL2tSttgLVioe5iCjVhYTz
e2kWcWpDYsrb0MB95PSgMBPrJmxObVYY4FVjPM83zFEtdQzJpCVwqKv5o444ttnM1H9NJjJ/JCi8
o21F5auE8/ISUZQ0rwbXHvejbTlHrLrdnhQtLTxlEgLfLPuf3BlnbsSCXhAItQBs1qYNkaSduN11
E/QMtiSzgU3HPc7mMqbdgGu+Ypiy0iqQvz2gCP2K9I18XiKHIaPLJVJRKB6kg7ebi0JsyzZaLpSV
2fcF05mNa+XE7+KWPGg6ZdW59aP4N2kvF9JrYy4FuGH27LYlq4Kgzn2xE+l5YSi1a6ekePUiWMJY
TKdnGvvKI1fHNuM0W9kA/ccQf3TNlL2w5c3AB/557jj6N1YxHxT8pfUMQOmnws3+IN1GPvPYcxLO
QGWlrThOIDreVDd4J03QCfsXFcWJFPCFVVIijSAKubnBmyYvnMmbpzGY0MqU8m6TXlSH3E/9d5t3
7isWuEq5A8kdukOziRcnvwWQlD62iDOMqWCWtFojGCEyowS76if0kl/xZBUHT9Zb3RRiz9kO0Cj3
zO2/sndmvXEkZ5f+K8bcZyMzIiOXwYyBqb2KxZ0UKd0kKFLKfd/z188T1T09kj7bbV8OMIBhm92i
WKzKjIw47znPmaVqzl3VffYHoKvkbse9T5xqG5WwTjxazFaM+V98FqzrIqrGo2rjd8t1A61WEJ5s
EmxnklmMEv1JREF8cJjbXQUejI+uwH8dWlNGkf1YXC82IyBK1UFR0DJ+IOPXHbokcTdGByWR36fd
EaICpeDvcdb5vyd036f/Hn4r734XE/8GrPMOm2DX/s//Zv0S+OQUZ3sEUmzmzbZlWY4+5f1QbWGw
/BYjC8lRDLFg26l3aR4OqpsKPvm4poWBO9cl6oJbQFY7Oizc45jLYPqrFyJ16uQntVO5VLUqra3y
P9LTr/SHV9L0QQ0Ix52O4Nj2yYDZMvLluNxXg+23t55HxO4uNVMXF+ySjw/DXHL+o2S+s7bzwP0d
2cMnkMAKnWyGn77LdQcG1egqr98ctbj2xm4N9VJ3Irvz/YB33pHZq1cTG5EXQY42ZuurWzCmXsPA
q1+QP4zd1HXyUQyj8d5EARvv3gufXZMOpFVUh/FrF0t7xRJnX/uU1oUgm80Xrwm5UOJouq9LJ/E2
KLH+dl7M9MqmkWoj51KykZDh7Vg2tFaDbH3AXjRfGdMkr/ss5HFYqAwXQ/YK9cO870R4ImTorYUW
LV0tX1YXJXOYOlZIw0hFtEVyVQ/VRfYMLxKoqwRuhoswKuza/XA9x7ubVNo8LCGNQSASsYnWKbv8
FbOrajMRVBP0kHjxIdawF3xwXKfZZXdvXXb6FIGw6ydywQkgHtL5XRUNa6dJkDe5nBPoxpQHbMXY
wdraF3t5OU6gJjlv8cKEVaW+dzQC8RyquT9WUwNGKUAJTSmXYuDtl+7K0GcWnNAcXzx9ksn1mcbR
pxtPn3OCiITnlpxk/pgQPl0Bn+NEpM9Gnj4lRdEYb5oqV3tRN2iUWhFds5oYX7PLIWvS5y0aIJyv
vj6DCX0am+kj/1ybEUc0tByOa5UfieXRUW36WYmselPuYvabYu7k9JI5NW+SKjN10y2cL/ej7aCF
I6RXr01AWODDiCgk30bYIr6DvSjrux+GGf/gfhUX0f+n28Q1XaYSQgnmExYpsp9vE8KJySAjHicx
e63rypjCcznGNc5uOuMgC3nH2sMGuQ76MthOTXnrYdE8R3QXYipwxunEmLpGTVtwlqMA0ENZQBJ8
4NRTEklGJ31t8qEaoPTI+tEemZ9XgI7QAONx67jTbZ4Ft+STwbFA1x/Olpd3HQOFKXgvdJ+hE1cO
eao6vRfAspH0neQENvMRmNUtZdt3PiO6M9ZApvpUzVIM/sg9Lm/MfLnmYOav6YsxB1Y8U4HFVkvP
I7v2HIgQ2j/VOWxQeXaYh6FyM9gUiXknS2uwt6WtwifLpZI1JM65DafegH4lS3KyHNvaGxaX+s5r
2mnXspPpNgptGW6FLf1hq6YsPS1UftTrHmcFkqFTFR9u32qOiNezkVTdHb7c9hNNqrTCQfhb2wpW
vV9PAxBo6sw+R0wVPk9qxrU84sLYBV0a7eOcbhieurbLzCLpdlRhhIfCU9xytjNiW1ENIJiZcAag
c0gia9qegz0n4QJCCf2/4I1hixTAxAf/4JhNcE8GOfqaW3aw78CYbPVM/2FCGUEpiD06BdVwyhJP
w3spjENaXLgq2XRmkOCuUh/iEs2lsMNQcDDGeMVDGidAk0pV1c/4erkDQpKpw9ihmTHJiXZO3/NI
WzDjzm7dfR6EFT8ZUSs+1fizDwG2fJBtQ83SNI3J/UL6agMRV14pVqk1SW18qcwatiOkojs3spLn
grAVq2jk4xv0eGdOMYXcGYcYJzjr/oK9g0lWk+sSea7ykigyVi0g3uwtL0+iJWrte8doQtiOeBiQ
d6AMrgD9dt5dkeoRdqWHSNZlnmR1U4/N5TJnMvXIqUHVXdZhpSdRAU7XduXHIMq3TiG+Wpeplc/8
SlwmWa1UcteL0f2UXSZdhTAMgOnxyOkzZvUuNqxu1ecQdS8+SNuxwpulqixzq59jH3Y/TmSEJkLa
bASYtiVECEj9NBP/zclA0hUJ2/3YZDrogKnqWIu6Y19d2xyue39BaiKMlCYH6KVYW2YEDLVpQCRf
yV6yn6gvmu6k5d1UWa/kxRlqd+ETrIFXTBPcICJhMuTGpzpYluM0+O6usspev+p2pxi0Xk0RI6LW
KNWhSucWpsWf1It/sFBBq/j5ae6SPKcmjzSrAy7QFj8vU0B0+hRJ1D36ocLJi4G/OVfD/X8+CP/3
UshPZc5//ocukXsviTzGqAB///nL9vev2TfpYvmfvtheptP3/bdmfvjW9hnf+vsOS//Jf/df/lFV
/zRXVNW/feRxARSPB9B792MfmwThwXv551utf8JPJfdPb3mc/e3m7aP/B9/2R/4YGrGSAIRZYj3f
syXPiD/yx85vwjIFSWKp59TS/QEyIn+zfdMnmwxcD9SF4hP7I4DskT9m2u0ziSbGKAGw/Sdz7V9r
3BgVCAAoUih+mjDFL1PthjBB70xOs43D6s4KcpJpRv2FVSMkb9zhBE9Pdjsth74ll/rDO/UPLspf
d7s2v5WPhcCVMN1BA9r6qv1hj1mIvuuz2MZag6n4WHbh1yIuHmurepVaUFXFsA3cCGxfG39pMf78
fr3+0902V/7Pt4XtmUS5lS/4TJj380b//AJwyJkJQw0IU5lBBkRnUgzNrGgmQFEd1HNGWomgSWyI
9n1lxjj4LfOd5CKdIhUWbPpd7RYnGBnimwHREn1pUlc4RknksdE61Y2PtbBp/WsZt5SZN/NQHgJs
fTOrNeyipnLvsbmq9LrKvRhypPMkI+DrjBD5C4E107w+keBk1pmZm95pr8M4p4w4ThnKqG7ZZXTs
MPfLWnnj2ovxZJk1yxNC4nJPT5E4C681ntwFALQD3f4WcuPCYEXa12FqFvsYd/xzElNbRY0CPkbs
4YAcnX6PL09d+biV9iqOp+Ni27ZcT41h4LIlUZIebBejnuYtQXAz4n48YqguOfyDbKj2cHOCfRij
PTRG4KCZRbP3xaPXBae0qMQDSB7KbNrc77T6xbvWyvkwD0l77sLGOIxpHeX3GMyHb5S/mJ8Lu+V4
yw6kmNdkOvlW0CDjKymvKMUZPeaPhWxfCEkrwkOCo6DorrzCvvKRhA5h0rQH6ITxPqmNL05v+qAq
7AkCWz9R1da3vViladKTIk7k1B2WfJpu+qpe+LDS9GrwJvLUgG72AiBKv05qrzwXwhXHKJvygxyi
8Smk+g1HAyI+XS0LLjTP2C49H3drpeYb5RgU/RVVG6x9N5/2qUEz9lyPZ3hg4S6tmupaAiEthauK
lRpBOrtG6zEeoZ7E586lW6frrTP7vahaY3J0mQ+PQbWrjIyPH3vGzu/JDOIFIP5sCH8Hw2vZOF3f
vtAo4b24aWoi1VZc06G68qwa47W+zjsgYOsaS8010rj/NFCsS0E1ZpYRLP5WEhhg6IykgeMtoroa
c+qTKxbqMZRq0kcvhC68GZSjaPUhN9JGm5S0Fl6WNh6/JF4vrV1FdpByENLU1MG2Q8zdYo0q3dnL
ArhUjgKUTB5jsPAKV34t7KB7gJxCRY+bdNl+BnT+OMrA/UZQvXl0x9Z/7hi5MpCPeuML1r7pHPe5
/SRTx7Q2UznV7o0dYZLe0txXIjkMKiCvahj1HoYT0g5sVSIzU1oTdWWmP36t5gk9eUiEOCeN1Vhf
PK+d94ur5jVbfrYK/uIkX9upye5GgCSbOuyzpzYWingWZHNk04OXjd+XDjczSdRxlxaSLHvpVh8U
qyaHOVTxdU3J93FpYFlaQYUJNqzlcINiUV2ZKq64qRG8n51R+O9JIIOjUTpgaVVGXLYdiRSFba4O
HAuxd9Bd2V4vFrrXjMn+RQbIzVk/WjdYbNRbsAzFjhRn/F1woidfNBb4lQfk09G33oAUO3d00fec
2QLewslrn6HplnsQ7ua5m8L8NUpU/Yl4gnx2oWIcoxZ5sqpmqgxVqtEBfZ+O+6pts4KWsAzHBAxf
q3knLVCEV5FsQgw6SebZz4KzDaVwfOdrs5AyT+boO4MHAin2bAJXsiJVLgcxGguD1ziZ2ZRi4Z8j
gsW+Wgh4Jj2IonVoAuNh/sCovSUY10AJHOI3rrRpZkpCEAD3rB+bGwP7vNYUYQJFaRkw0a1GjKhg
j/JtT/7KRzia89MisWTuajvFp+AZwiPt7FlfQMP7d5T6DMfadIOXVgKN2iQGAgPx/pGi+iCg+P5q
oAHlDX+rzul2/nhF1m781Cfor0cqkeJgUyfpck8CXufOJc7sIKRysEim6oZRBz6BKPf87WDMn+fR
KMSGbF2wL4YM/wYyzrc6mAfazaFbjq6gksrseyLzM5299cbhEPPKxU8RD1YsGAXY6An0kD7F09yr
Ggd1PVIYgyeo1hbqrsY8a4+V9XmqBsbIXZRaOwwbBdWMPYcGoxhbe+umlf1C/sd8rWMADyYi4Hvc
I/1Le/E3frc0OxPQwe04Of5HC13sxqwnP9lLRZqf1PESYAleghIZdKJkjz8Wo/zWpF7DypVP9JM6
EI9sbnrG6l19mJOGF4BRBCR9Hi0joS8Ltz7AHQAUK2qJOZYsvc16QcQzzmAqzmCsiPn0OTqLXKad
d2nbzJ3SM1ZCP3fY7pafePQEuDoQ6Pp1OQ3Vc6qrO1PmKDs+Mk5/CcWegIynM54DHniMj308BVSA
DiUl9qj+OiVJB2JxV1NVTsCO26HSFaKWLhNlVBpFWz8He5IMZOAsXA7rsBbFmUKbkdV0ia5yv6a8
PO2xFiDqJMXac2wGS1jEogfD0r2mI/osTiFYEPpGB5OxdI3YhqbvfZDl57rtZyACmCf89nszm97t
cmlRJdeFp/nSrerrmtXcHuwN4dfuHvV4L2EG30Wj5T8sQHQ/MZ9mki8AZwWcwah0jARWPd3sGiGV
n1vY2retq4tfka3s50y3wQ66Fza6VMQyPpynlaWRJIC9oMJIWzXX3hKBNiT50ww8kPu63dtmSf2s
K6KnYSLsTgajQXqz6/RGgEy8y+JMQpK3HHKirhE/INdh8McPcxUFeB9yem+HMnvojQjfWrlYiKxQ
VnRLLhvod3sw1AY7322qm3Rz3alL4wQ/j290dkOQu6euHGnfTR2xzqsKyEUlgZ7jBiGvGlFJxbDM
knRZXap8OeuWjEfp9+Upx/m+5KJiH8RG6Huuu4DnSy2wpxuCHcEsl9hWTHHwOPCCjiLKocaKlLqj
uO2bb/2Mb3oPu7Z77z1dCJN3uhxmaOiJcRkvnNNLeQzcXl0kQ4pGsbQqjBtkh4PxWMQO7owxXNit
pRdaGkbCq3buFtCqF5yaGyqeh5WmrGF+EC8jrn3cBBrCprcqzHIdndsxPc+Ot4lmtpF/ce/tJhg/
WdQhh+t6iNNT6OHJwlXD7mvbaP4bttV22mJk4X7KZ58QcVstNymMBQZ/rv2UaJKcKUQCLQu63HQB
zeGeADqXes5UHQOGfWAbcodXMrCAw12nRDVe1YiX3/xUA+wY6DG6liNcOyUviLt2EvSRXNB3Jp7S
c4/5DkNCWJbnSFPy0EsalvhEw/P4XADpAeAiYGA5NotYPIyqPTcX8F6R25hKmtAAyAfWGoOkHRIz
vQ0ByhWb5ALwq2YN80suYL+UDbHa0fcgHocL+q+nZ9ekb0KI4URbxuDtKH5i00Gt+6kf3Mxj22NO
7IC138mabQh5QUL8xudU9gSeRLyggTgv3NTJcLLsRoJVAFq4XPiFg0YZzlUwULvuaJq2iUcDUPOE
u3njxX7DlrWayBcUmfEGWCyeNoGxAJZ1TbZRyMQFDhPByWHYdabDHJfPBNpiBNDvhf6U5FNDBDk+
Y66HzKi6MTxmZdPvKO4wvplWEpzSC8nR5KlynCewz3i1ouRVjpr6GKcAIPm0KxyTS5KtF3ByR7qz
OYK0mbhabOoTfRV0ZwbrxDrUhS/Jr76deRH9esKTclMNYIQwvVCJCNuPdtsN6qpisC6AHf/FeVBb
1H7QUi/HQcc00d8RPGymID+fxtKgFWifRrdtgrZegYEozvzy2dW/PnVeTrS//hhahzjxmfwcdeFx
/XDqnNtlEONik4gJO85kQw9w2TWk4R3siKHtOh2qXKyEX0QfBY8HsRHAYxEWh2x8taZZEe8t+rNT
5R2CneszI4gxp9qmuDHGan4Vgo16nDphAdclcbs7aTpl8P+ZcN/+ncyBltiZVP1zPeb6LXpr3lom
N28/CjJ/fN+fggxSB9oK+36tAPwAhBNEBiyL+bxiamghlv1JfRXiN4yVJj1yUkjfRUH8U5Cx1G9Q
YhVEOJIBiAye/Z8IMlyCWo378Qp1bCwqriWl9Di72K6ezf1whQqC1FMnjGk7d5UYDg5cps00tPhw
l8j+HuqU7LrLUXY2EwNRaBmhLiu0iMxd+QbP3a3nJmRqcNWUr/lMrOIGuKL+E0Ur3mUNkI6iSnmE
LkHVTXNpUMxYkDFIGUlW3SsCDi+GreLw0Zztsbxnw5O1ZO7ijsM8pmZcLYUTiI2djfQ3JFQXIXZC
gKC+d6C7k9G9yFFFLkWkOGzZTZWqCO+YZlrfrUS3/0wA9tYcjfxjrXsmRRoZ4qZPlwECUjQyAV7F
Vp3ejk01npmJoUop3WNpwUI6sadQ3qZR5RDcBJfqSwKDZvrgpeIVkWi29jAq8KvWrqDZdwwgVUxx
xPZsmWiwOtuDJKZcXMo4BZ3KDVj81k7WdZjQw+nhatg1ly5PxpbI0+OQxMlty9AWqhGkJ6du5dkw
5UxoCpdAdjC8cExPzVSRVaf3k8SbxvxVq7llgLyaEs++Fx27yXVl2tDGeDzCofeYfOtqU0AY5dlq
vOh+0qWoHHTeVdPRk4onCHWY0yzmNx9+Dbl1Onl8O4tf+NucXTiEzV0AnqY8qqyiq5UnDL2tNGDa
D+nMduBaA+GCtZP1OC7B0kjIJ/OCZXbkuKVDByYJZ5tqF+MUulblrE3WROPQKD95abxl7BG8wmC4
plFpxiMW655aj2n9XUEtFxNHL2iLs2eCtFgNfkbyosSMdaCrngbclo2lfzQh2VXQ0nOqaz1H9ox2
OJQexOR13YZKG4bE4SL4/92ga3exyMbBDlPFkB1NTOPYYnJfUJflVo6g06+aCE1E+AMIuJNl0UW/
eVRSsRw2zUcJaHw6cdWxgTMvlcFD05ElRJ7wKXMy+2NIL0EIUMFdmrVpeEyKDIASpyQx5deK8As+
B6uHNBQB5aBt2xd8YnMTlidcbMzf4qpJz8jH1FrHDE/own7GnjHh3gxq4xjSSnDy8Cbjy7TyCgxB
Yj1QUtp+WTBeXvkqPQylwKwFd84Tj0EzwAGmE6ATT3ETus6KOBAZtt6s5se4kMtHHjGBG5TJ2JSY
QmRROxO6dFPj9hu3osDqeljMML/2SRR3OPPIxG3MZMg/g1+ob/3ENetN41e4SALTT8u1oaT9RAtb
BZdV5A7zJDIA3TZNC3UGBxCpTcVIkWnsbITWVS9ZE1ZtmNvXTQWoZsPmesa6meTxl84vsTC6Mygn
hixM662K6PSmBPhItYMZfDJoyEBEIcyRTyVmXZyPq6yJ4l0Y2DhzBzpwa2Ij7t6qm/wzOD3um8pv
u9uwVA0u/by8KnD6P1HdlBAtnWE2xJk/nbCcybuGKSZlDr4kfzWUSD2xxaMZ26XID0TA7WcrT1v2
1SNWW+bw/nbpuiy4TyeMMfS10wi89xHfmCSF0deJeTwMysgTw2oxqYqj5qV+iiEGH+mVxC1oZ0Vp
rCIYeCsbu0v2UamoOclm8SXZd2/51Fth8V5zlER2y+QU7iOeOBRXpy5bimwkoT2E401Ul8YxsAUV
1kNYZuNjNVJrwiR8plsz4tzQYnDMa+pfRVCdBqfK+v00I1jDMjOrZJMyz0rXC9Fac60QeF+GZHZv
Me+WbFKpgLbCwC2evaSFfUfapsI7RWE7G00SYxuY+jDCcgNHfcaiv1fNyOUZvSyxYX5FfsdXKMqE
Fuy0QUmMCMnSxaG92zkmFwLLmjod1wfHbhX3qC99lv007E6we30QS1MP19qyKW0b7Dp4yGfDfMIZ
xTsKfcQF4aEsJtUZ1qp7RoNY7XtTcG4i4mcbV/YikjdnCMrhgEuiT69tia5AXwy+qISD3Bbqhems
FjA7d0GcMlL2WOY2Q4hmxnpBCmdjKaBI6EYF/n6aFMdnn7MAzU8xpQerlneespHKdu5pEsM6nc0F
Y+W4LyoiAbM+wAkVVQ9xLQweALSS0FxSxY7mJrKDOFKkQBzJz2NnW7Ca+WvLjZnckq46cDEvBu5P
KzxOU1nF64H9QXsQRtwEu65W/qHIkvjDmfz6BT5zeW8MHWLIVMfLOznXjBwCQx6y3/AhSpzqcZev
hz5ZjlZhp+mhVUSKV3FMhov59yLslefpN4GRCYHqNE/uWmwabBAaKd/I1OoKe+Tup5mS6evSrMht
OemUtrQEs7T6vYepGNRGfjOh8z5I4AGfsBn5J07avtyZBmfgBLMCbTVe3w7XKSGIJ+gpHtE6lC3c
bGlTV4fJ6b1v7oidD3Xeuglw9FMriEkzo2oqHetVwQm33HiD660smJbBLdk6qEt2n1T+3ew5A8f+
0Y2uDdn4nykHUveJMK7qC7vT7fKHXuM8LXzF0SbQkE/JIrcJQg3+xLm5wnz4NdFQ0LhizRQMr+UX
1WhqaCjwf3UaJdpWZBQjG7xoeiGNInSkR3MiiMUao1tz4ZLOdkLrxtgnSEdNnqyHiZy4URfuyapd
k5SVppzmmneaZQk1RXQRMZxBC6KUXKNRgaSJtcsBmA76YDkZ9RI0K1PzVO0LWjWyoKw6WjR1ymg5
TLnZo6UCHFxhTpO0xvCi90lYAiHwLNitXRSOV8YF6Go6Y7el1wzMKx0u7s2g2a8oBOEHEkb0OWrn
J+OCiBUXXKyrybHxBEM219oNWw+dlMc8xyoJ7E0MR7vonK/w6sAhWkUmjNMAntbSnFqkTu+eYQH2
3jS2nvQo6YuyaBa4kUk9fAfODPA2dFPgt07H4XwTJRqKq8SSrmF3VfnWvGBzSzudvoYClu5o08H5
qQzGIt47pVV+1Aq7//14gfCKxCKhY1/gvLFv8TaGoY8309b8XhlqlC8VksRrgwvi12A7R8X9Bf1b
FHJ4rC9AYM60lJ9fMMHlpJHBsqkfhrZKyxPOyQEcnD/O9yC9C5N4Z3SN6QAH1QVBHE1NtwctAr3s
gih2bWw4a01LAJ/lOd1dvDQYi5nznIrEiOkoG+WtSWnTiPFxLLfdRLcktYPZliRayLOcPchHY0NO
pnySYiJ3JH4CcpldNJRlwygALo/IeYCai8wp3lA0fYZjbI2e5jixP/qhliigdlPc9n5bf+qnDDyu
nME7y3TOzq0o3YwYSUhPimlbnxz2ajoZE+79bMBEStUDWXZ1ybWbOuKOabSq1xJp950HJJ4K1yEN
b3iGfOmC9k3AuKCyZsjIzIcirb5DS61frEumHvAM+XoV9Gw4jHguPjHrCJ/GSxYfp1oEVcpUj5yD
dVgfBUC8LiMRfv+S5u9sXDGEe1mNyfpP7MnfrGlxkDWjx0QDAQwhdchqUnACmDfDDDAv/ID0whIg
Md0nN/GFMeBfeAPGhT0gLhwCRLncZc3TfALzwiqINbagdWs5XfWIck/thWuAqV08xhfagbB5lEdz
Wj00cxs+cO0vhwWNCr4QBGrMY0vf38Uep3a/lcxhmJ7uhAYsxJAW7AtzodJ17VHjJerYJu0cveR1
hd/cFxVlMjlDO3YM0sTwJev+zh4nCAx4TMEJx9uaNtCTmftYnE3aUYd2oFgNS9iub5c0gObgNr72
QaobFPXuYTSCZR8C7nqteG+P8G+adC2dIi3pCfINZwOmKybdQ+w0XaOQGp/RgnrjRKoNKbuXufs8
ygH+PVRHS67zZijfzcxzYcvwoL0JbX04o3IQw3Hr+9NjPE9BtiuBn/ARquWzhOrwhWFM4GySMTKt
tcf7XWE9g3pny2b6QjMwIm5s0V8bR9J8YoPLCpss1IzNfROdAllODGrreefMbnZsLJrgD4NPiTCH
Bi84QYujlrYk0pZZHGc2bDJgqkSLj9q1EE76Mgmt9AqCFGJNDTgBtBoN1ecT61ZuKtNky81s1bBl
0uErt69zbtOM2UFER1bMtqMIDwGktmozRNluRNyXqxnG7q0w2QwRd8d8dWr9KHCYz7Wm3ISxkXCq
4njjYByLF+JjqfiiOh5g66XrOb+CfrFDmoEoaOCg5DvzM4qUZdMVIMEgxS3KEEFcdRyi3vqcTwWj
3kg1h7RimV+EpERPzQ5rTdoBhS0Y/eXKCwnnEYco1vPUE6UisN5+sY0aIdMFTesw1gNq7MGTDZll
pbsgyZx7xoZle6pJ3Jib1g8cSmfDwtl6OaOYFamxhA0lyF8iYRGt917lUUkVdrH/EfvSewQ58xxp
gjmlyI6/KgsSjXm1uDuJnw8+jOmd5hYDH8xP+r7g4Ny5A3EnOn1xg/BszrItVY3tAwozxt2mdzUh
MW7fkw62zs4Xftcc3K7Q0OKo+6i6ZbidwIVZ/G4msDFVhiEPaTzvb3Y3mpuMz4FOSXt5QHxn8p/F
ztnuI+ceShqjoSgYr8GeXoXYLbtVprANQRwdDqntvLfwiu5Q1FxyTsV4xZD8MRa1SQUkrgiGX/IF
Ev2HtirwHhNk7534A+UwP7YB04AsJnCTJ+yQGUzc2LlRnXLV8oKGsrrzeAzv4q4Jv7CnyPFkxrPz
aKdvplBqCx9RQ64KWqNm+H+WXZJ8LMzqMag6c994Q7Nm4dyUZSv3sBjcjz4zLJwdjX2UVXpYCo/g
jdOnyQYNuNgleSMfG8ua8dV75le/sYsrBy3yrW+qgOhFmuc7v5vN6ZClpRNuWSTH96V3AHgVqaWD
e8o7dSlOC2JX/O5rxpT1m0odj9mKU6vz3MvmUE7s6VNHunva+MYDGHeO+0OV3o2enG8cxWAHn0E2
n8dpYFfojd3ybU5aEIwpO0gmYLn3NCvHOc+C5j6nLWzOxHQNQzAwN4Kd/LfMmABD0MWhHyavtd/2
JPhK1V+3DotoR5VVsq6YAwT7vPTDQ2fNe8qK033R4SSwZIX4QTq2e2a7WyNQMIdZT5czx1SFm5py
t++ejPyjakASj3OyfLZgzz8U5dxTDkYocV0LGIkrIqtkjpDRmSNEe1zAx1GE1Z40s3PbE6LkF5o8
A3W9LNjsGDmIQEy469DtFEBxzqe9a9evY2NeuSAPwJcqVz1kPob/mmn+fQZXczWZTG5hI6avdSbN
V0hpFc6RprkZKVsl309uBLavBWd/3FQF1H12NOouqjXt1I3jEwyoVS3n/iAn98Zjm7fG/G1fzUpY
bKT8ZUPPek1gpFOckRH6yQEZW1yl7s7BwY7TP8zPLFTJllvGIxhc6/KYpq7XhWQEA+ryiZk0XNfY
HKYnYi3tDvsGKaHa79UtlHePnHrizNdjZpDVwX+EC7fIdgTa6tOyhJW4mqykQnFX5XEOovazASr2
iUhRx5iyXtrnZfDZ7YWpfAEHYu7hbpp8qot5qBw+/6YIu60LFzI81dOYbc0xGnGFKMU+Z0ndr1OR
vTmkZtcTOWQATkv+DUBrsGd9KB+oeYJsFQfGTSZBGtoBrPiEB2tv5QW4yKgq92pSwxoOP1DfzL2p
VAATouM40K182E0szqOKr8y0KY6u2XjfzE7eEfgY1y28YTZkwXzn2LOznYyOrhgSsystnCSTUe6j
KelATixoU3O5OJ8ckavPKoUx1EY8SUIMQW7dVXvafbOtwRA0vgkwFH/FOC+f03Qyv49Nb3Ae8NUd
aOp9QqahuyHMlY7X0UBfFX9XdIA4/17jHm+3xO2mA1vv+XvkJfld2ioAK8NQbxvge/O9mTKt7edi
N3idFazmuY3YScEOFWyHXUhhaRKTIMRu0t+bMscqoajOogr+opVrn+X/DaDgrPzRd/nLl39/+ofe
zB+/4+//nsnz/6EeOdcnbGMTtvnng4X/VXy85W/F396Kj7/dxO/l17fmb8c248v2x0HDn3/TH0gj
+ZsPmIEQjTQlcUHdVvcH0kj8JvDiogX7wnFxYDNP+D8Fc/I3/gkhKByeNudNC1/kH95P5zeEEdvx
PRdAgcmfsP6jUcMv1TN6ukA6xpSMPHAZenqm8eOgoWXrjB7Aah4RIlolKv9aVB6BKddtVxHuxF1J
ZUJHiGC9+HAurFYjWQyLUTNj/bjUeUA6XAMQpetgjD8N5Tz8VRDp10QULxFxAsg1Llj4T/4vL5F2
F0VqMmz2Xo4miWcI50SEiW2O/DPp0jfOXzcOoWXK2lseK/AMfviU/w2Tqn6PeAFEDwRvFZuPXzyi
QJUrb8T3sQ9CXgBWlGFdWRnj7jjYRnUl1j3scjzi3Qn1jKZv7va/eAnaBvvDOOjyChxiYeSwOGYx
mPrlU7Jj0WTsiveIwIg5lvvURyDP6+L8r39V+xcv8B8/yOHHQBBhRPrLr4qrp+1muq72RYlPtQs7
f+d21WsJInUHAJLsIEF8XKqkTYZxxKYamMXZmMQ9ixGWmADjowSa99Ymatw2kzAfZGoBxOHq22vh
Fr2snEFK2enWqKBM0E3sbhWRBNAcAw+SKoQ714s75IqM6483cq6dz23QHs0GP6Ud18EpLAyPzpZq
3reK8/0cPHMS5WrNl6fS8iiun8bpBhfDd0su+OmH7Gth4CnLmuBm8fxvyM8PlKC8/Ot3Tqd8fv6E
uCVMZon4E1AEvF+MzO6CYo1KWu2VDMADT/PnJAg2ng2jNeBoR99G6K/cGpn4X//cX2fZfGJk88CD
esTmL8vIz5dGXvlu1fpesmeclW3BeydH11u6g8BnS40s/aSxu9DG3gh1hWWp2hUtVlDXK/hAM4qH
syjc9V7LgIfzNMAskW78APWuhFWyz5KgA+UksH8w8hbbv3jtv0w59Wt3YLn5Hlc11mvzl8saTcxm
MxBBA7NEscG+q65w9FZrOfgPPOdKCl3xgXZ0xt9UE72U0jqOaXjqM0pKgtw5/r4A2dOuVGfHJboD
1ECu8KK2G6oT5MrJQMdPcnn/16/7v37WtiPIBdC2jqGfUcPPbznWGsNsOGoyZUQjsElM01Ttp7+/
0Y1TMdfsO39tkAn8q/vzv1xl/GQbS5TJkPp/M3dmu20r27p+Ii6wiv2tRJGSJSt23MTJDREnMfu+
59Ofj5rrYtrOsbFvNjawJrCA2GZXNWo0f/MeuNBLkEQ99Zwf0PCiW0xh78Rd6378fG9QGJfPoknh
4H3KwxFwXj8fjKRcQ/Mz86PZKnyrqRluBtHzxxex9fdxHZIrGBopoaY4cCNeX4bmFbpjCfI6pcxe
AiugTDVb0PIhYG5sk9nkjgJjPRiwvy7EklKzZS8i1GGgwtExVjvgYJ1MCtxMcAs2FFLkUN1nLYs8
TUa5bVQlRo3avldMZfZU0zpTizYHeD4o31KDo+6TOZ7CeA/BZFXu8Hn01Yn4ZoiJRgSWJYh/8mOU
9uIECbDYJD3lphPw+3ptg89kmrqh72yjrIV9NyzocsPAAtE+eHybyKl0T8r2cepAuMsKxZKgS57z
JX42Eu2WQjy4Cio03nUteWlkX+7bPgKbiDSOMjnqtjdVx8uA8zZhYMP1J+bWGsAhQPksOMH6LlAr
2Q5V9swEZaLRHz7US7UwiHLuIxYHTIaU+9Zui9gBVI/f406T3RMYAGc7rtF7hon3jaYTQwK8v1yE
5eQ21bkY3sP6T6HOhGWJX0E2xs8t6ueuVtdyG5oZExSJ9lCzCqv1ufw6lAzIyE85iBdT2VlZ8iIi
HvqCr8lz7jfsuq+NTP8wkxhQc85O4TgO28EmcI991e5SDhD8pRagmI3yZKlVSzmM2QKsV1xDbS3Y
9nobecSywk+N+FnT+RxGbcZbpeUEzmCDbhCMOzEKv0uEc1/DLWcbNp2bBnbkk/xoHCzInGcan6Zo
G5QeUFjPq/4LCYbP+Oy5Udvm0PYMSBWG8jtn4mvmZP/bpk5MEm/soevspXAauQFEBth1OC55+pJZ
heNPKIW4oc6DtmMOzVy7DoC3M5EZbJdeyDkNSok/FmcAo7zUlWhBuEHFOscNTNnNaMhuU8qw7Tyk
L0qosGL5srMVvjC+5p/U2ngc0i7hi9tYhOs5rtNB+ILIPosgIloDOoPXHJWnyYIpAQYepvCSP+Mh
ldFaRovCHBT7rpWZh5/AM2Skco/8YHM0A+te7TKekfT0ZCY9udX6YcgMzq2JG30qODwua3cGggyU
zWEmGWQd8NL42Q7IGY1Qu9XszPG7OXu21YGimxUuOrbGZeHCIWLhF5MH2IQOSm76TIvvK4dEJqrV
9J8tkLPChNBu4WfBOhhIPtEtWK6LiY/VI0uwoe0JPjavNNzsWUGa4POj4MNQpS+xtafReULdQQHm
GOBWZ7No8bd/vtw4t0sW0xcL+vucaY7Dc0ujhzDijI7XdyrxuprYalZUXZeOU+9AHzLdmZ10t9TW
QVBUw4QAtou8CWIq0wDBF22xJAVqPnUBqggEMKVdA5Zl8Ds8B0s3/ecD56pxK7P6qazYV+aUvNAd
djZBnTxfwkVvpS/dRB5tQ5PdFEnIBVp4kAwonG1lzmiWQQSh1cdLpBggH6JvDmbPsTaDIfbwq5JT
hiOGm9ZEJQIV5MmlejJkebqcTo7KKlZD3oABS/UK57uXWQ2CG2ygvJwkaRubi75r2qLyjAk/yNn5
XaBIvtEkKxeRIag5bQzQAZycrvB3B2Jtit28S2HuN1b23JFfreFsLngRUWaeL0GpNwgvUdc+JRP3
FqPCLqE17OsMwyR04fxYsFXQCniesbvf2ugzbLKBj3upJqI1YTFjTQEGyGItrfPlCYG9v6xboo6N
2/UosEx5iyIEcWv9BpV0znEOh1gtQHGm44l+q7FFQYhlg9wTvXAj35WiecIQSpyMJnlJqzDbNbgi
IELCYrxEOlsnmKAff1/OBhEV/ZQd0WT80qI9TxOB/ZuwM3cwF/gtG7RMlrbBVbd+HeRhQFAuJbYz
BbrhCftwqpbp6hKJYYOQiJlhho8JNB3OeJyEFvveyiAabfgNkzuxIUNjMUEWwwcABownQgmdCGnt
+Fw6uNDaBnQRJl/0xlXe2OVc0VJuql2T59Q0cO8Ndlg3zb4W0PNLZ17kusKmhWAcVaTpRBrAuryv
sWTRNQ6BJ6tYVvlA9EEsofA1h4Ri/bpt0mCxwA63IqI+VRC6GyF/sB6oCi7xN1ujY1BHBYYGAuED
/GH2NZJh8BTi58bhAmHEqjZ6NpC1pCfayvTA8eDYJpVI3Us63McJ/tJjk14rQTY/wPsv91bO7tYi
kit1Sp8va6Xo8ufEjl6KZboPVCgjKcO+DaZ4qrueNoFDXEw7tkAA0eYaQa/UNRVTZbaIPKDeYR5k
SKg+fVXUHuJeId+2ic/j6u1Ld4b8HGWVpK6jfYart8txUp9XRYZjjETEQR8LOFPM2TYTTH+3Fwva
T/1o78rSgSxSd/qmbMcZlcLIUPdNtYTPkTX1Dem0HnuDoKXV2XHrOxYi4vEUv5R1+RQwF/AmKqtf
ipMudxouk0e1wKMirLq7pKhDnzondmUgxBPDPxy887kgI9YQ88bMEHoLPTgEpzxjoUwaSvzrGEgO
5aExIHeLPu8wvZ6xSBxXO8G5Lg/2WsClEXlyvTRnTUS6hwOBuFKd8LlXMuzbLcTGsRjQtsBjUb6C
tnBcGrYTmmvP9lrmwWxK3UigIcnxDm0ZutreUfL6HBsZLsmrux5YAMyJmPJuQc2XmynDpHSokC2I
clwWYE4G7iCbP8lCwtYN4PxEXWQYYtKDlJZ+6Jz6KYNvAWQB3P+gIfs4aHgZpbbW+pVoEOhJ9IDL
IyXOOJWuuej524h2MaESvdf0xlWGGUeYheOfFO7NPq/tAFQMk08KqF+VhVlQOP/qJ5JndPQIWohz
AprGwUCpOwDoEqBgkhYx6CZ12KAwhBZpIGMmGbG2V5II1dR2VMEOo4yrmjfKyIQVPX2Oo94LYTrv
7JBvGoJxGJtjXBJ/IX48CHW8QsvA3jBdqwjlyp/KZPExMk53chISjwLlp9ERdZNaaIdu0W+hxshN
0qinRtFSt8CyFsnMHr4lhsH7Oo4YCU0Y7dpr5bPgrb1RoY0QbOMXMZWOF61mVSIg0pRFND9onV6v
XxhAY8YJpIPffBkxn9misZ49FnWvg8ZRnwZJqFBE+4SRLilVWjfYCyLWw0ncM2OwOj8tSYIjesPe
mJIxqdRw6SZR8HK6xHFdSU+ayjkXEhyA2XY7BTcgsIQNv7VW9PieEA40tikIgpZDRtxqk42EXAEZ
pclZt+W6RCmYfX0cn52ht/20GG4jmxUTICm5UQrc8RaOgvU+B1u9FXQf/NYUlIWc1huHNBs83jPq
sU8qGiJAc9TbdsEaslNxFBujdroSIio3sWoBZ7cApmbjqZrh/7V97akDvnetKpuHXkm/M4Y7hx1S
0HJ2rnAe1DYSRMx1MnI3NlkVQ9WO7HoNp0sHZi/Fpt2liVt5o2Hfa3H6XM35iQRjulmsiXlRrV1X
DXkN1CA8Q2KTuhHmbyeRhIVRege1dTfIaPHQxVmlDRomVmMS3aiNqL7HKu++IE3eidQ6ZDorrMpY
DSiHliRYvNM8Y9IW6ZaNVVTRHEMlHu+RvcDkp2G5ybV5FYczphxptJ1t4lrQkudAuJ3OCiqsq4rV
GqRzqpVhqMi9227hYckx5TLgqBInWFs25T4LhR+ofXsQTvJSKNFLyGnfNJxDbYHAgMZ9Xk50KEx4
GpPuICYEcYRlcg50iK4hOQHFtdwl2qzsFG4Yqg9nZjGX4PnWqmWZaBBB3k7dPmyeSrhvjLv68UtY
saUgs/Ox8ZT2O3xHrmY6kwiUZtOX1OzSr3WP11+uip0SqgMsQaxPMyr63eWUY6RanOJBI43SZ6at
toMACoZwbiZZw1OkLT9yzYp+N/GE/InFH7CZpWydsoenpbCaHLgZP1Fc4a80+QuaG+pzDv/jhKLq
82X1U2/usNKIryhWX2hC8FSZ+dXG8dF05C1Gq5R6ASdXUil/1kaVoS/1vg+d4dqo+SJzup6BIeuz
L+WwxdxvDQphdQuXHNk4MCTbSABXkypqOTFhjGZkusstie+K0V0pTCOIuNVxlsh66mCrsCy2yVfh
Sm1iRX5ZyVybXgcPCeJIuE5EV4rVzhHX84mGQr+9nL3OxD6N9OD+48Lf+Ft7wbRNqQrkS1fs4eu6
f0gGawiTOfXxX6MQ12jYGl33VFc0BRN0Z7xFESlPwVfuFijOkcx7Qk31aNTf7Lq6V+1YsIcpdNc0
o7dUBR0c6z4dwhtAMIhH5Zayl1mD6PWoFttqHG5MfC1caXckwF0IQJBz8FIjIez7G9xd9GJO3bA1
OvMWYlDhwkARJ2nOaPNUU35aRQIoStak1KIG6pieUy8hq650BrmXoiJDvhZhvdDsrz2UPiVojgWK
SwAn1ywwQukHBGnmGqEdHFIhPtXq+lsrBfEIVVq0AlVHe9ORgruD9iQ7BTM3akrbGoMroMnK3pQk
XXlqPMaXwEsff5v2bDcBUPKTFvVfmmK2wzAD3TLY+/RzX39VzbZrI5Zp7ydWq28w/4r2eNtyCpn1
KsiVgHY1BxWqG/J5Hy+od7YMtBEp31ddDY2AQS/p9aXZ2aIHU4WTQA2ZzCCo4xqviK/xaOYuks7V
j15Ngh3qOGAVjeSmHPLhzqmkP2uTePr4Zt7PU4AHqZawNNtCC1J90wfuJQjuqBxTX1+DwNowAFxN
Ct1O64gV68aQ6PrxJdfHe916Rj9eoknJeEJF2eXN4yO1o1JuBr0P1sHeZTXG2TWyQTuRlfdT2wyb
IVJGtxibbB+HQ77/+Or2urb+fXlLGroFV2WdTaAdL9ft/i+qSgTcyFyAxftRFBknB8HDU6Q3ljvp
jkdajzLfmE7U1AW2WJquGWDxxmAvhFKc9VK3vo167twkQ7+HIPClNZETrs0OT4aR0ehIkuaykttj
ZleFD7APba+uiE+Fljh0BnMqSYwEPNx3SXyGxlz7BLcItCaHpC+EVyZt7SqlzN0EieR97gx6tEWR
cnT10MD6Ezj4YUIjgOjPHDasdT/HcPKKvplC9pp+wRxPR4rY0nxLatSDoolPZq0kmBylIfJZhvQW
BObdrLDhkUX8QySVZ7FONsRY97fzYEsPga4E/lw8XgNzhlxmoEXb67hsQCkIKLLTXLtiGAisDv5v
4pp5XXhFpcdXfdIgZp7juU5ECjTk22p7j4B5fMLFAW1z5a7q9C9hFEtX4SQ+gqBY2GqL+NGPEMQ7
KzU+6T9rbwdRMB41QddbsrJBwdtvYjeS2Y2jZI6Nm2mCuH1ASopoLg/RqnQRyEgTmatfqhq34gAI
MgDMWd9hy8cHhOPp2k0HoCrpB3NjNRaW0Vn0K5OJBvkf+mbqjGjAs4B2s2LjnmkLmg5FU3gkbPq2
Wt+2rSFxMqNXfnLWP5+U3ZcukveGRWdvnEy6dgba3T0iXXuZtPYnm/vtycWIRawzFpORBb3rt/TE
oKsEYI3Uhn25gCOdN2zHTzbz2/hxuYTFNMdA1UdgXvN6N5GGGZZihjbNmQQ/5YGjbmgG2jvVQuOt
AyoyKyjlf7yH30YQLopBjo4cG6RTTRNv2GahAmvdjBrLq0tcMik0mm214E8xhCloQI3ySdGM9lCi
PLzVu7T9JISIt8eXha8OM21pMwYihr89O+Y6h+ial5bXmxWE9wmATyWxYIPuwAWxLz1UTmf7DKfu
1aJMfZTfh4ePX8Fl2vAqjK33QDoidcNmwLoO4/8dxtg2jSUb0M2JmSruMNftPgf9CEBRbZcNyBzs
O3K1/YnUanDmRerncmLCV3TSvoMCvLjRYDXbFvqR1+cLjPNW8irBMrldVHl5GjUgmeYWTJPF43SR
dapr3TxZ1Vg/ypAOEDLi4N1Hp7vRrBBs46Bkh4+f0ZBvQ7XOBNk0TU3TSBI4rl8/4xx3pl4zk/N6
dtVpBNvpqVUIZAn+ytXlIYBmZjf4tVmrXoDYUuQhWrPg9Z5BBNkusb64Gnq8Wy0Kwr0TRjZ450Rh
X6stjBn5UtH32iuDSbvexrQ3pjcMelzbVU08ADeK2j0iwnB8jMX2zcka6CCAjFm1WQzwa7sMgBDd
1HLtZxSKl1cI2TQBCjRVhIFyU7fnid/0KkiGmygKv86KoWzNYMxu5qV6XJpEIwj1VwbA/u2iozUf
1tFwLWOre8Lu6PfHr/OdQCokPqSrTOZXFseupr9ZMhWipcho0gyDGwE3ulearZUMJ0Td7/JcD7Za
rwtv6QSmaOYcbGXHYyZGZe9TGxkRJc7wy6GW32YO2ywphuhYp6H6s54T4M6Lsxz5K+ZpQH2T6lvH
97XLMfwNI9NP1eHXAqPiiPegiiI84xGja3WvlsBL80Y2W8UsH3uUqD0cAu9zDn83XZrik7ihv4tW
ulAZhWKCacBXBeLyekFBB53NWmaGJwYObxs8yA85jRQc3HjACWrLXV+imtDhOog9b67Q9Kwj+B3Y
k886luNJFCA8mZX5A8IctNJitl26AADc2LipeHKsWJhmqGBFKhZXxXITRizgQhHbCWQ5G6nZZqVK
YXEhpH43DtqTrggsKBzrLoji32PXIPJHLXDE1NHahzTIrsMitm86y5E4zmBk4gwZ7XZEg918nFCG
pgHi65RXHkUgC33gkpODgPPHi2cNqa/CDWuHLFFH8424w5Hy+s2hOxRRD7J2hsx4Adlh36x7pekB
XI4iHK4/vpr17uTCuRYJX7IIQ5OO9ZbxnvcWkNweM56e1rWbUPM/0cSPjugRCSS1MHzU1CA5A+uN
jtLGfZtKvqZM4KVPQ72yI2CSUrl9G5zghJ3jdbCggyzoqE7m1RwmpVvP7OshYbzIz26ri4iRw7ps
ULOHP89uVi3rpWzr5VauGj2iXoY/AuDsHny/oEpb7RRa1dzhZRp6EfCDB6xXmq80VwJXwAq5rVCK
2uqSnhjQTpwUsFHaIdE/XNM4dw5Uv7cdWKQ9Kt1EDsDl17lZWKcGJMv1qBKWoYikHrzDwKU6XZ23
8uHBmFlb7cAxgyAJhmKGtBKvrDt2YackZ6mWKu61hfoDGSpIE4OgdRBFpeI5K2uoHUKcLXiRm8gS
5i6iv0gGyoZYPtlof1ktLBJHu8z+11Py9WppTTNLMRcwPbuhAZoYvL+mMjicSigXlsGG+Hi9vL8e
FRzTf1IsgEDGW8STmeKSqADoxaMzJwGp2A2MKJwD/V17Hy1G/cluEO8TS10Dz2DawgESYFnOm/1g
M0qAZoBtHT1jDdg1UzghbPMU50bnF8iaHicH2ZOwNb2q7Jt9Axoeglut7cqczW+NBZ4nI3rfWFwl
YHA5qNBBDly11BsaQKLzq5pHic2y+Zq3hGujWA93AxamAaLzxijKn/MaRkKsSZlus+hMkf1kVoRN
l8kELiljxQ0B0t2XNofdYtrXGfYwcAG0l7qEhwiX4iW1sp9wTuudgnSPN9vBchRooO0gF+c0kJr7
dmGtC4XIfzlaq5RUq7HD6InuvYbMEOAGwUCVfhy7yXE4JSOWIObVmXocO4TrS3M9TfOUwXtFXpJi
6brtc+yO1HWvXgDbTd7Pz8VCfEsH1vlSs8TTBhE8EAicPSlhF7Wl+jGGSeXx3tDvbrihysLxAV+R
xXWUSHGXuYYpfvnXjPUez73iNRa2vtC8x95FiBXzWto4m3k9dZNItgeITRabhXARi5F8oJuQoRNT
e4g61b7GWgi2CrJhB6cL7X2LwAhS7fyIik+DWwT4A7Ylg3bm6xAnwrY5x4KObdEFJecCj6lgZXEe
8Cdzq0G0OwxlTR88mHMA8c+7ywzbzxbzwZytXzmzUYxwdHlgdw4n8EvajgjGKjZm28dxlJQlJo2+
bHfH5PUx1eMKEIVcWHoJNta8f+TOOz+O+Bwf7663wXjtV6AgISS+lBf05+vdnNOH0DrEmf0axV00
dnTECJjBfbKH357Nl6vomD8grPkXZCcNaAom2u/+IuA59RijuU0y/VDm9owuwfe5Q/Dl4+cSf3sw
jRPNBhImgEqu+ee/WgHYDYd08vMO6cekPQYdGLO405sDXTTQD6N9j4ggk1oVwIk0w+d8ymZ/mAS0
qRDzRPgav5fs8eN7ehvJ1rdAXmJSVKAq864fg0ZiEztqRVsqTX6UlTH/+WdelKLmV0IJPn98uRWY
++pc5wr0AyydWgSNPGbZr19BL6negiJtfRvqZiOl4xYKxJESX2JEB+hZi8H8qWfJQ6Xmh0y1HpoY
rvVAc6CX6e/OXnUcYCR9cv6vQOZ3t+Wsh/+68oT5VuNVs6dqDjGp8GmBAG3ImDeZNd05pBnpMkt5
QBmdtk3eftO6Cm5dySdSohwUlFI+iWYCy8HoY5NVEoOKskCi0tTOGA42G5LaX/hxGp06uYtO1x5F
PK3VbiVjASwj0EUM+2SndCEyDoAbrCWM8LUEjrkCdRFuDGHxEn301bQKQjfjaGq0DZ7t+VYNFASn
VvTHinS99IKTRW0+qYrk+3ezgq8NHSi249jmWwi0I4apY5Za+Zd2xmxgjmRBMdhkYw6UBA7Ado60
mGl7DoNxGNTLY4JG2upZjfTlSrQL0V7cLkmDcpTaKztDBVg5rKOmBVcfr0V78ZopfrqhdJKbMP+0
BfhOhJ6WI0I2crX/gxZCPv5m2Q0drdGG+QwNBM4qxyaACw3WkNU89fBfkDDIT0iJNnCKLZSVsthr
RiRKPl797xc/bQv07KQE7K7SUHh9F1gcaRUc89pH8PlKjrwYyUqIC9o9H1/o0lT8d/rM81qgsh0L
ULRF/fUm0gAcDEizMDkPCoA0MLg2ArVyr4aN9pItULtgQbN4V0BWPfUl7Cls4WXvzFv0jUN3rKJn
ydQ7HoFokhrTX2FqyvtNd+U6Zi2YdwMJO2EaBtYIw869gtLKJ8fA3z4amFcwwwZtF+Md2Lpg2CvR
D4Sw1OZiJVYhl1tMaLy2DGpwbSDHHfvf64hxTkFs4Fz2Muf2JxHrfYCkesUhmbpAo/XxdvVjwNta
lRCVr+rlHw1pjC2vgYtlDbax82dXk29bPeuHo4PokF2ivoWO6OslgjlAR34rKyC/4yp+W87uiuRd
WhluEQU2wDwxg1oQVd5IWw+/5Ev5VCJ6cm0i9bLR1fC5ssV8jVUoBm2UatQC6NfryFtiXUEtkGjj
l4/X2vtzlDtGbZsZkrl2qd7ccYOtJPp5bC1LmWO/bKvOxeAj3fUqI0eQR6o7qNknfda/zMi4GitC
dRjqGMbbnYSloD2WtSzRTgULVJc4E226CZVaXBL3Ud4BQQqLnCFwf0CVG30ZTd5eYDaUlMqODgr6
TgVT9wBspdulA2KZhiauQCMIr2YAVGlMZSPI4a5mdE9yYURxgREUglmjpP3poQtENIsNIE4rYlGX
fXyLcC6rs9SivY46ih+mbYQGrPaQ1XLBfQgcbEW6CxMwx7PSWudfwYiA9Arqpdy+nUagBRc4YJmh
qghM9dc6PDbjjstNsPVF8EPDdGVbVe2IwTzL8ONP+dewYWpr6Q2MWoXm8Hr1VfYSR41O2AjnLrpJ
c5C/gomfx4gDpjHQH85A5sKxI59BmtHwN/jQxVjb7thLbJ1MxKcsxJL/ifU5VrSHeEbDd6O3FY2+
Tn6/oIH1SjjQZPLmKgchfo4SPsLHT7Iuutfxzya+Mu+BpIFm+8UL9l+ZVhPqoJYbq/ULi8O4n8bC
Rf2VLaFHwzFsHKoNdCO/63ZguRpKPJ+cmfr7TA/hEwvtBqTJVCHeFoiOPdGsx9TNVzOAp6VsphsE
rrqdnQEe02pHfywqI99ivpYeMIdUXVi/DOIVoF/0EBm1pkhC96qVu8iFsER03mltgZk0Z/2HKnpk
SconpWVOe4HsgQYQKBmD94YHGUTNk1GtADoDXFrCiMhX8xUWM60IqKWKb5t61B/VDEkj1Tk1AzxJ
w1wMb15pInnovPAfOEF8+P7okGj9woaTklogdD/+SH/JLGzGNoKilqqWgcn6Fv/1leBSU4yinOTX
4PoumLpc5/9oAhBlFbMNly5DcCXFDkJN1c0SkzEE8SN4uwoVGJCLGN3ANWoQG+K0vs3W+Fab93qy
xEDJq+8FIHjY4sD3LDWf/Y/v/n3cs6VJRsG+V2kVvx0r9mhatzlYBR+7JF8EFH5rqEhnCe5iBXBk
Qf5J1HuXPFusKfJT5phMVzjY11v61/uKBGq7TcrwFDQY8mlVB917Bbtf4Ivt5fP24CiRfVrJD/As
+hU5O3S1vUGCoN81NYqaBvwPeLHEnI/fx9uD8nJzWGJp7LfLEOj1zZkz9rkKPGAqwlpbu0egtUkj
+hWYnK1v5X98uXWLQ+7RBMXEu2MnrWCohww7RmNdtVZ+mhUSKr1l7VA7/neI/L/G+3xl5PF/w7mD
d7bmwf9/QudNXyQ/n//N3fzvr/zD3LTM/9CcZR1Kjb4U4z5WxH9dO7T/2JyXEGRMRt8ALtjY/2Vu
avI/hsBYjszUEIYpOWH+S9yUzn9WdAI2HxqrCJCA/J8QN0kTXx8BOhk/DCS6uUys+J/+ZlIYhiFe
e4Us/L4f2n1DKvBz1RhGv0kLbjBfb49jrc5uhirLERoCfGR286GZ7OToqHR9ewrZR7uYjd9OA0ym
1i3Fg6eHNeGYTEdWerRDDtDcNND4r/Q8DjfhtPw0e/0GE1ZX69HmMaf8qCgZ6nDQVTdWSS8fRPFZ
m1tawUv8KEv9d6D3NNGN/Cptq9qXeSaw5lbTyaur3tpCBYh3cWKJh8yISXTrNMqutEUvrrHAWb4U
wsp/9WkJf4HC7XmOZbTneuOXyqHJK3UFEZ7K1MNHCWZv2yhDtdXnHssxnMJxWu4zjheuCk0hzOmV
ZdXvQdVQRKrL8BvFLqYVRam5linQ+ytyOswpolFz1F0lYs4PY2NPX0DW2X4ZGajrtG0poCwSaW7w
fpj2SmoWxzIc+69z3hoISxd4T0RdIh9mHFPRMENrJdHCcxvp40YGA6E0t26kXgwPHbj8P3UWg7A2
R/02V9VxUxKGEaWpV5+NEgNEM4jvGIvKg4NXfWIN9U2EqNmdhvwD5XrQHzucV09DZBePYzCpKACo
lA1tGGMaB5CyrpOfI2oB5wjL9XFTx4KkpByt4Q4d4/xsVdGfAK4PQ720Z1Rj1k8mahew1ubqFzzQ
lzmZ7cW1nOlbJKt9GhlXPS2KXUyxcDvYmHQygklvEmt0nnRUok9irvSjhsDFoe+X7LfOjGrTpg2S
I20CWXUuNOWMbCEpIC0b41dl9NSJQGUPGFrOOFCRWuWqHpzHrKj3VoaIZMfJup6D8rqerT9gqoR8
wp5W3akcuHetkpdXmcF5AJzdMjYy6VGQD+cw3OYo4ywbPkJ+E5plenaiBfC1sswP+FeILwX6DdtQ
L5E+apf5nK2QZHCCKnoX9eCGaD9syZlGcN58IKTupXOd4w1FEV1W7V6NAs3tiwGJEsV86UfdPq8+
MTtmb45ndvWEu7qcDh35HC4P1kMIaRXrUKPD9N2yvXZurHsHh0KvgtH704ww9zTbGKKiYSrIu6Sh
2CUNR3q9zLO3FIqynea+3Cozgo4mZJedvjB2CRGGY8BRzntZ9xZETdpJ+YImIFTuXMNEDhJodR3g
uQIVwWY6COJinip/obFR5fWmSQLIRjP6+LJ8NqLZR9g+PobGRA7fq+lthZ4/DiNt46ctAHq0fzwU
akxfYmJ+tKVqf08hueJKp4LMFXE9fjWL6rtuwh/Hp8BY2lNbWL+SoTBvliC197hR616DEjrBZ/2L
uLpqTLrGDKTB17HVv9oinpkEQtiq0Vm7C+E1oicOYjzAtQ234/w3av/nBo7ZzuxksRW9qXxF4L3/
BtxKgsTAjbChn/SFgTQI4rkQRxW/wStoc/qu7yrrT2engWeWpnbd9BqbCRTXLkC++Y5GJm910sHK
z87EVGeokastF491XOwoN0eYf0s1fQshOB80K4l20D5aD2JXeTWhtru1qLD8oUzmQ1oaE9bfbWti
5xBikNgHy40dkn2GFtC8QEPCBmM3UP4441DXGxHzB2SchBKBrHZqpCYCCxbh3Ou+7On5QFRAnjQR
KIvPaTmjQIpCU8544QrB0ODbXKBmNpRpdcKVYrhS66m4AszMlAYOxfNoFB1iOQDYbSdVv7LJ0aWI
IwuP8HHlzk1y1B7MuLTkFvZWtUtxsF8h75F9RobEtnHNtDUvGZJsMwVm+Hty8gdtrOtdRSmsZAJ5
NtAgmV7ijoqQ6BMuxLd9O4JK5ckD2uhDjH/7MBvhZgFj8tSE+YK6E7PbZO46ryxx44T36aDBSRW8
03DKAE7ds/+72di2SDj6XWGoN62V7VK1hxIewmosgoEWl3XqE6Pf9loUbiHVHZOFORw807tiGaaj
UXJ2M+TRu7tIMWM378ffUAhSgNqhcPH0uI6K+DbRTN1NEzRxkf1utjEoJg+DgcXX+qDC6oIIztBh
2U4BwBtgHcMfJ+xuQXo8JMjXIKjIH8AnAs3vKiFs0AfME2MP/EHftgsjC7UDo58Fjd+tIJJFDeYf
KJkaX1UzG4789S1Gmnv8Rb53KVE/i+81eHcyD3el0uLngdHdru3AbhtZoGzp7EVQAdTkin6IfrAS
VCoDnvwbLj3a91bD7juu8XjnlNgzNanuwkxp/LnukTASw4A5eh4V1RPCpuGxNufuCx6n1bFUrO5P
7ugK0MhpPQZnYOhpDqaOTiOsndbBmzhG0on82lR7uonDOUjyYz8my1nk4XWJUznHbFagjFd0iD7X
Md0HBPQDdxIq0og1Ssdae9KQ9MwnZEFl1Amw3ppfZomPGBLQ9DpBB2/tkLpi6Q4N0tHTZFfMbRAK
4qf+iHZ2DA9JNN5i1srmTgvH+lQhRTlp40tszQFSailu5oEhj0bX2IU/jKBdEGYau58LxxB8E9V2
q0nNKFSjatjMJhM4F7zGAjwCDbkUxIziOnNK03vM4hrsntq5M1PWa0YmkWt0eWOgPjWrj4SexMVN
ZPLbGn+HUc6jr0r4q8uq3gWXKdnOGGkAC4om1ATnJffNEG0dV4va+wqV3Kmt7S+2YvR0x23lEdnd
hYk5KUqoVn+yapruqxzhP6W1gOroGae3puXOra2Xj2BmbspiQPe2iM5d3OAIaa/Wxv0TzfiHZskp
04qUctlwSq9witnj2MMTOciRk5nVzHpKjBaxTtKK0Eh/JZHuYy68X9r42MXWfuyY7Y2oOIZ0ufMw
Z2ehsRsi95bhRlUmRukJtd4j9XSDzuvXVI1+caA9js3wuzV0Hwkg41yFYe2FwHS3ZkJrxICxyLlL
FhZEsLZNwLnmMl9XrQ6tps0h0cx6fQ6MyMuMIIxg6lgtmHS9P4eqjtNIVSM+piBagJm9qt0Tfu3T
vLR9TDNe0Xek8MVBCLJOPcIHKY2PytQqgEH/H3Vn0tu40mbpv9LoPS84D0B3L6hZsuRZtnND2E4n
xyAZQQanX9+P7vcVuquAKnQBteldXtxMDxIVw3nPec7o7MEXmY+c4uZn6g2WLTEc74F+VE7CxW83
5QArJlefNG/0Slb67BddcyREa8Sd58FM6+xubbYQC0n/3HjV1rR3DDzMjTI+i9lv9zMh+bsxnNmi
E+lj+W9UDE9lWjcLVthuTOhDMVx5DIPB3rfNCCMpKU7CmOSHLqbgOiSsf/aQZw4BLaKLQd+HT0qG
7X1E6ms3Fs1nWGH59yJ16+wUCbRR/yAhlK06iWPeV5+gh711bpNAmwU1V31ZHBPTMt68XITvtRiN
TQ6X+bWmgZsWVVpePYhuq4qX7ofAothwovQfMaalq6moTQ/UreqOviyrfS/JJODU3KM0+byoIr1L
UgNEXMgmlTbVmhmmfmuzXt55eag+6Hyy1iUBhjDGpmOw8DgkrogIba1EKp6dHPThLJIV3nNj6wfA
dBdQZLt20MlrPWfyEX5quJYZEGFHtc7Fp48Q8aganwAE1G+UOHd4+0fi2Z43P4HzQkLM++p3Q0n1
TuZ+/Sdq22Q3ja27CiUn6DYo3Dv84gszNaMWn7mdZ3f4+AsvZhhpnxpzzp/TlFMeRbwyv3ZgR1lq
EetsnaQXCvfMXeoI82IF5ET0kEKUyLrukCzC2psBxci1u1gkSwMbg+4ofrtSRxeD5s/rjL851j1+
Vt/R3Qdwz/SppByKLq7JPo6Y5dnyrHzgpSe10XIT2PCJYQLW3TbXOnvsCne7kOTjwNZ1V50lsAe7
abwEpNVX/igxT3d9dyJdHGyWJPmh7UvBYGszf1tXM0e3iTbfEpfChzVRWIJY7DyNCwbZqbfkiVgC
PorK9/Zz73m/uLLKzYIq9tP2QP0jLoAHRrXNvZ/m+WWwsnyPQMqB3K3lsYHVw66Bu5vm6ZACn/yh
NMZ6oykU3FB4gspsWB6V3RH+mUXdCzOz0a4ZKA5BL47hUvZ53NrRoQ8s584bVfmHX1SS7GqDUxng
HY+rvqEeqpr/eMny3YtyjkOTkqR2DNM1w0gr5rvAaBywSYIOTU5Jll6Gkno2aUVnu52REUOwYR2g
gDdQj/N6XKoPEn4L0aciOLcwHYS3FNsa1WzV2N14ul3yqSKsf+QIwiUU0anpo3mTKLon21kW1wxj
NzZ+GP3rjM8c2Sa/jwGg1WutlUWlQFMCpbPr15QDfMJdbrimKIJECs3nYk6TrZtscSDsrBKaBjOo
x2L010E6srjMHMlNcwt2fb7MySK3fUoOyZmn+8Ltvng8p7iYRHHRwBHX3kxAXvYy4M7tuzu1WA6i
p3nD9jk8qIhySFMF+Lsq+1gy85Kyfm6AWzAPkGGOtYmMPH4em8TVnOwBkVVIs7l6HNoqX5tZJ/cD
TWM3S6bYs1MUR2to61gOIrzXeLl33RKAnvPS8xA4zG45jabHfNJAJCtEs3VGZNFeW03SJTEOlDeb
uOHkhitXVuTJqqZKVw3lWisOvntoBVQzjbFOhxF0UBFi+jOm4bnzivpDJDYfHiezkm+V1ItBtDaY
qph4MIMCIAOPQllULbue6MVBuQO5yj4zqcfgjb80oqwvRV9Yv9gBFUw24IVLpvjBixKtEA8OLWo0
yr1rZ0mutqWpvxy4t1BGR8thLOppPtQ4Dnc+DZU7oET+E4O58jjDXT14c+M9OZPr7vRgq28izZDW
/UznH6SB++9JiCXu2pYP48DiyUuDS1NaFA7yQ+4J983x4Lvk7puuvwVh3Xfu0uN10Ll47tGtL2XA
2Cez6gZTiqnuHd7TR1vY/DCgbq+pPf60NJJuuAnlx8wcrPvZ4k96oqubgMyAbnDrs+5qw7pnt7U2
lIZB70kyAVPOuDMKkyonaNJEf6sMlJQ04gosK5E/OkY4phd8bKE8BM9BNRk4kmxwwHBDz6YwN7Za
wpWZeqxYQ5rv4aeXx0jho4p6oiZ++ana8Ux7mxEXY/4bthMsIkln/KCclTlPso2d6a3j8gOHM2ZM
OJ+ZyP5qZG0c8yLLHv8W8/6rJc3/jyB1bCT/MaLu6bP47Prss/5XouY//tU/Rc3wL1J3AYNMjPZE
xtAn/6Fp+tFf9EPjkvRuHvFb/cz/0TTNvyzMShFYZqZmjIn5X/8iajp/Qbti6I9Mbd58Rt5/RtQk
BPhvRE0LYT4gEgh8LHBgU/4b+wzcenLGRt9tTeGLamckU5ecMRhz2uuixj/UIYJOzDi283dRUTTo
Wj7Ty7Xg8nDpyKZwybHT8GQPpbMdnckhrkPN6oqbDt1iAW0yywqjXi1XBdwafRfhfNVB4ZAvl8HY
76Dpo8QRfF02aeoZdF7iPDtrzC9qnYvaP2RR16qN1kK0O+gc5ceST9PI4XCCNBxyYlMIhII+BzAU
6d0UDv4X0By9SYNo3E1DFD4sOJnPEib3BgJQiVWxbDat1OXTYLfye7BN43OuqVJ/NavE/xJlX7/b
Ok0VWqku4Pd6oI63qdulaJlB8Vbht5KxNO3Bi9sxKMNdMIjpuTNNvYNZq2wIQFJ/zFSUrVsKAz6c
EEBaPAKxveQIteZa1FZBWUPdA2Uu6a4iuNsbpC/8ImUhGQR9BrTcWW13IzO19yy8kgXF0tFH21hO
+mkyPytwBc0GdWZgSCjRcOGjEhT0PsLeIqffjxmdmxB7jGPXOcBjCOBpSk7hljqncJg7wtt101iH
hnofEiacK7XuER3snr7XO5P1qgUFocRWFvg9nF6XdwtxVtoGlfs7I1D5SkIXOwtRYApWx0nWx5bS
giZ28BVvkmpsr6Krq92whI2/Ep4OUoLGktYCc9HeNdNpf5WyLYHPLlEeob25zZPlp4Xc8BNM12Hs
q4e6ldljaYHF2CZzH+0zyFs7anLT9yKdAs8ik4zAx9xdTzS/BXp5Q3Ya1NHHRm2snJwY6Zbew9ne
G+5QfHrdQEtj1OB3PlkBuPHYQ4fnPbMGI0YQhrMth0JtktCHw8ThUDIKZNNI4n4OEDAjtqqrhgy3
rHQ1Th+4VMO7Io+ikuORSig36xPR8sDOOBu70h8RmRTVMrtRNIrb2Mide9NLQXLObIxh5xaRvuM+
Zt8UnPC1LDpuAxTaDaz/N5hSNIjlISl6p3rCrodrLOqcfS5958HKlv40DWamdhXhb4rSrLD+qG1d
noLASAzOAwrwQk8u06q58G7R3/pjnsy+uzInrFWKWqBNVDf+R5QWVhgLi+6nVaONFDvmAKZn5bSg
i4gaqEPoTD0WbWIeW5yx+ga5MBxOcWOfPtEmQmeGhDnybo65fCvAoH/5QKZOwThQUGQafPECjszK
bcI3MuL0RjQON4qZkMZn4OXIh6mbNj4a1VilcTRV+l7WyzjjD9LuUQ2uYousuLdtuaLod6/Juq+s
SLlTVtwRqp1iHSi2drloZ8+odCa64pt858QkIAFJnPPtido8aJlNHkB1zrCJMhf3oxaUsqepKcxL
pxOo9eykMwl4fEGtDUSQwBLceWhRfMw558wYX8yopJmCB/azcY2csovWSPZ2lFW/0XysbRGlzl3N
J5w7NEjbb+X7zQVblLebTHO5ZhGMbKYSjvutgGvfhzPR3hPQ/lxdUo6av4ybKaSgensFZT26C60i
feWJAggtIp5KKs6bLZvJ/EGiuLrINDTHlTIZIzHESe2dZ2H/3BDM+y6UO+3wHkp8dDPCRTYBOdGF
RWJR9Ngh7zC2L88sNp54KaMw+QwLI7zQJlHzDTg/HLu0Ld9zasQ0hzzMl4zuhfEmafi6wEIz0eDR
9+kAbfHxcjQmW8Pn+w4bYfObwFzE5VrmNrxzi9Xx6k5G0cfaBHG3ZXA2BzsihnzMqBwDA9LXi2Of
VTD3+yBpvJcwsSprbY0arYALztqFhFRvuqLJTo6X/0p7iwpwCpDj3m71ZzXp9lmPZBFtkqMxEB3j
2WU5E6sR6DPcsxLaUHwrz8S9vAyfXjQ5/j6fnPqBiYCtYrrLBiYevXcIKrm891XATMOiJWRjtU5T
71XSu/mz6YrJ4+9iFUBtgGKms7DawoRyDuVkC2yVhJ5ZjkbT+o2OGdw3unJ+GcYgHuzZarYOlrhr
Bc8tfxAZQyR+eM50jPfH+ldRiWkPrWByVnpsqa/RPo04uWrCDb1SqOMDJYjBC2Wcw58pyEnWekLI
X55yA7ygXaeyVVKkeuUynelX+ZR4zAiaQGxo96DHyRtmIjfekjxoArDmJsjpdlmHPdaPmOCO/0bU
wWXjLhMKIrgU2SKqVi7V6s9lFEwn27DtfaqH7KURt9IoKxw2ZGi9YwL75wMGG7XCqWiMDHwY5GXc
INoxYtJWNfd+5dz30n/SVTCtHV++NenABzO99TuRR4qb3EtOuaM0SbzO/T1lhXlIsygEH97KVT+0
89qd818lJYbgu4Ifb8q/+tQ14L7TlNonqUCMRrKGZpBO7ltfcuHaNC0rcZxhgcKT0Lijc3CJ6Tsr
JK+iPYxugrbnGU1DUtbwPYZP1ezIVRpUcJ8m3KI3HkX4u4EXlOFp6K1r1oaEfFuzp3p8LKtwuiw8
Pr8T36d5eRw46rhZJfrbVa6h16tghBSZxb7EY7+xB5nzrCA9a9BRa4hvKG0gMotD01fmJqOr8qn0
rGrrDQndIXC/v0WY23/CPOk/Kvg762mZuy9DOs0KacHN16NZNDp2vcQnEtn4cR2NNeh5iuiA0Sgq
0u7mojGMVzfLKwmre8ibVVhqWa9tmQ/LRYZ1DpWDByZdi7bI5k2a9I61GVQ6HdrccC7SYpC8qiYn
baB3aefdDrhjHqLF6X5CmTBI8iuafdywrQ5C0E61YkUYaDiY/m5RruBkL7WKzuPSRndmb88zY0Wd
fYm2c46eUgYI8SHrv1q7x25Gtdn8y7SDvljPbu9gMDFCOig0/t5gx2VKIDqamnMoDMRlJ2Yvmbg+
98XZUqENvax0glvhgX8shUrIsDZcbxvf7q4covDslGQCvjs548mlzvlYCS/M1rUdYlBiU5ouGLcY
l1bM4w2QuV5ixZ1jFfc6APQd43Hv161vZMvagmtEMDCl38BTVkgTBIvddhzVbffjgl6xrZp8PwAy
y9mr+JiucEmFlFBQKTFGS3N1aAcISLbnUKGMAFF4lLrYAxSXj4DAUhqcUlvNGyqtORQwH5rze2o9
0jPRXMU8n+6BT8YD8tFuhf+UdCpokcH8ngnIgAeYtdLmOaEQi9/ZqbS5HbpirdA/bm3kOdwRDqaP
XuqNJ53w8qySDB9szDLuXSn5Xlgjm2xumWjX5PLDzA3FG3n95sdWws6fyh40X5zSy6gInrQLLmDd
V58cFJKneZjm9C7EQWiCsO3n5WYFYowCQw13GEoO0goL9Nwzocj6a5m4FgMv9uh73czJqdYDJYVW
pX6E9qynsRyybm21UfWYLZPxSuVEdLUH4Gj2EEU/2hnMV7Lq9IB7nvEBWA9OO6yb5XFsCv3B+stx
wZU9Tcgi7IqdqF26uEZqtg5mnc5vTT4TFdPsMW/YTzCWuqVLmUZamUW5g1/InA5AK43yKa78ipOy
ydzHZO4GdCivE7Vn3iCOfjDQjdIMmXOgotGvttjOqAv1M3a32M0yOe8ShmT5cSF8f/I0vdMH7Vod
bKGiksZaR1X0Z2Cm8N0phMlbLRao34671NUt5ixb+dk4KWtnZkSgVjy9mXvMHSAyrFlFW8AfG8ld
0szZRMZno7qArne7unWaLZVXHLKaNq9ptQxcd9aYbJrwnTGBFT55DeeSXcSTBnKznDAZxkWiP70a
iOZM9d92xIKGclgFm9R2G2M31a5/cPg88WAuRijuiCu2ExNAd3AuS5tyYHUaOCxYcF7oD5QL3cgz
1X8RZ4KHCmpbTe3EEqX2HQFyI9llTPWrDXVPemPDSPedlUO9NDeVqvYUY7A6k1KeM+ysxX0LCRZr
jNUK99IXTp0cPasbsvtwDLR/7+dJMu6LjjHBROf3I+gFadyFHmcS6hlMm4YZOXsO0fYlyw+MFPPi
HXVbib2nEsb8bRnO3S+x0JRC+qgEcjFrL/l1qxBOEB1TK+CQRMo35X0fbdplhq7jmKkmmZN7nXNm
S+lsk1IkGN2vVK9GTVsZAOgk9+boju1bjqSO8VW6s7DUxvY6a9+YdrkD8c1Zwk786TmDsSdgKvuF
CeCgdcK4pkapOAPpGAOqo62m3/Sl3W2Bcw/Guk9HUJ7CiZKjo/DEbNsiZO+KalC+R3BisyQq0tsm
NiFCa/C+Db/qPqaS43Yrp1mcK4DWwcqQmUcBmT/2YXusTfhw+4QWmznuPRFkVzYpn2TZ1Nccc8xx
vGOuQ3CRYrxuEK8ZdtHiy+Iz3Dymup/Xtd/eOtZkknO16/zhoZBR9FFwuCPGOeMCIGPmBjRnqXxe
9lbKZOaUGUwINmHiBS5zgqDfBraCRrGEyjjlovyI4PlwIrfa9AE4NXuim7S/DGdCMK7M5aGgYKrA
6qnhspUdD09EqCBenKHYlZPfZus80fJk94Jtqs6M5A+GG8M+WEHBzQiJgQrCvsrm7zlVjnPoSP9y
YDUHWn/koJ+1JanR8lOH/d/DkzQ40nBjaPRPOu1Ym+qoK0/pxCeWU0uC0yQJqW6BDZIOX10Qanh2
WPF9diEFU2/mKgwFplMUH3XDnF47wra8H+FtJlLlKWKi71T2GYMYKQn+tYnMXg+msZZFg6OSrOVk
rRB9p92U0nYjWfppqZB299phIOHjVbTqUxh+fTAo21hVfpCAOKi6W1vxYvlxlXrUyC3Cc+69KnWe
mBW7u7wtxKFgsrp8ORYvhz/6gMv6qf9HNb0bpSb/vgmsZgOW8NCa9fSZdmZ6nSEavM0y7YudVVj2
cSB5AGE+mnG3hVb1kZZDAD2XfkBzFTSWKdYjwEEAarIwqkukNWadxUHt3xr8YleZlhEQlWWmpbFk
chzXYTJK9P8+Wncq8eW69/CPox9TN4ojPExYsWXk/yMX8l+tW/67FRy3b/RNOZLKUwir/+t//PMb
rz/7z3/1H5u/67Yf9Y+an346XfV/t4LQEnL7m/+v//O//fz9VV7m9ud//vfP3yKv13nXq/y7/78l
SMunQYEim//QjvnyQ5dG+ll//jv/8h8CZmj9dQPdY8z0+Xqsy4SM/unKDP6ysVa6kMQtuIJ/ey//
pU8j+otYEqIiA0UbrHmIlfOfCibV3SFKKA7tkGJvRjL+f0bB5Cv+GwXTJ2Rn+Tb1HHhNHFjt/9om
nJeAPrFipNvO7J98Vvq9ILixalJPbyFljj9FOMP+I4q21w3jJ6Ya3XbIfGfvL8LZRg1j2A0TAhMi
rjV6jx0r49bC4nbob166rOKcGCQk8B3KfQ5Gwpi/Z+36reyk2S7VVAR8ybb/6vLE7M4FyCYzVlPu
v/uelV37tu7ON36fIsHbU5CqgCicAgzWYNHHnutG6kUULBcm7YbpqFbIHgZMrXr8hnWhNnMdnsJy
HN59W+DibwB0xLwcOdH4OXD3ymfGJI2lpfpXEfykiqh4rUXgtqta+iOHsWqK4DdSsl2vas5l9yWD
lAY0ndXWaypXvbNOwrxGogi811qZwwdJooUWpiDvgcAUCbTqnDmQbZZMBVGfIOCVakSNMiaf+Q1B
vfu+qoarqr0crKHKzRNH4Zq2ivliIa3tc6sbvxtTCJbwqpNxV3XdfV9OBs6DmmLRubK8a2KOzl3v
OMZLVgbmjR1Ssiw5wXCY5TA+DpSwbZSTpr/DueIFT/3p9oNXDhs5P7sGKor/iCIuDYbZpOQ5YxOv
6i9ft96hy0xGnENu2vyQJNxiKFQNRI/Cuue2m9SrMpgJRTVFWjEPc/oVd/N8Z/thw/nVUgc3Axo1
dOORSj9GMpriWs7C2ZOemLuMRTpYt94myjiY4ZFk18v4SV1KcRznYDzzQOkiif2wNRhuQVpKq4Cp
nYrWw9Q169LECRstyt8Hhsivbdf0a8698mQZTfVkGIHgIDvJewJC6a4RzQwCb3TuM8xlG1xd6d7X
wjzxjiYH2+gkGIbS/CWXZTlmbpo8QKQsznPBg6owon712M22pkMivGww9mLDeZFyXI2RahARNAGd
chqZI6v2FfUj2aY6dD9zS8+nnII1DsU0n0JGiOF0dG+m2X7gcZljKwACx9t07SCHIvPqnv4yWl3y
ZzGNezUVD63N/oCf1W8x5S0jrWekMDTB5ZheSb336r6FXGrbpNlb7LQvfA6CM6WH/lNUen69N/up
OFZs5e8dlSAv3P9ABjfY+MMdfylnuj05IoXcWc3P3BjkvuSZupi8fLTB9wi4RIfzA6atFqG38cnK
FKF78UTo7C11k69mwfw7CUYiiUPVbtUo6j6mtbH7QvliEqB1GL0EtQVHmSZi3n4GheRIPH9+yFwK
yl1ZMlwGDYMItITpQzvJ1F5T+ZU/TWE4twT7MrFxIn/4aPOCOUDujsfZhNuJGI3ldXSGha9UScbc
2nqKbBnsw0XSFZe03vASRpP9qkUw7v1xmr+iKhcvc283ag9e3P3i+c7/ZP7gkCnzLOatdKRln1ZS
udVKMhFBdMmCgOG2rHEkCSqQnUI4cls2hdyNqUQuvQ05dq0u63su+87LwEznmCjPfi5F5+CBQwjm
GlX7D1muLbG2fWltTIUas9OmTu+XscCjzCFnxxyyvwPAJL4LHmHe1cSxrx0q+h3GRWeTWIA3Cenf
Koer8FLXgmtopeiIZjyZmODxabSP5JiePGso7qywpCmWux7GR2VY1ovh+WO3oRfc2PD5DS5B2YvH
UKXmk2tPdotA5TvZsV1GbMCVMNHU2La/x6VZVsxTu1VAubdc4X5YYeM6FtwR+MwX3FuRngdEVoP8
Ry5GST9CHmZHx6yy/RjVF7NQvYFn1DPWrQMkIYt6az+Flnj0i35ceXxwN50p8h3dYjlml6V+7gak
kL7LkXPz6H4o8vRcTiL8Lp0oP49pUm4tu1mOUlFrkPrCxoLpmV/lIsvzMGBuL+qk58bkBSdCOryH
durfJZGEmqqpUmYtqk/1TFUfzlk9bgIhvqyuajbAadXecWv/zcjk1g/1W+FX7Y6PfnawSpgp0s7W
RlEOv90m/ym6Ntj4nTFTkmoBMW0MzIiOxFHiyp2nPfcAI+vehha7RnMyCIXV3DaBZx1SIzmaqULG
BB5sbvrKmN9nsNUZROBUPdoJ81B88Ua7Ua69pkP8ZRHBtBXeEG6brH2vzNk+VG1vreGCfxXGMFZH
G+KiE7dM6NZj6jI/MfUybfvEHZ6swS3O02C027Bs+1vQ/0Qg5Jee2r1bw3euO0SMbuLcK+bJuoSN
fWe5/YLKmIUmg31Fe108UpG6bgJdnGxaSrjTM5/L4slLKjJGJn/UjSt28FuPqkwgWiUeZeBrXB2E
NKyw55iaN2O7H1T1KeYKIaDy9YeDfylCUJnzMx7bYVdnljRXmO/lE3RrtVvkGFaxckPOCcMEFylL
S4HOqtJ1Ny8wjLXh/Ajy7/mGLZ46AxdYGYcZI8WqPeqccVDbsQ/kdtdMMbmnulstVeF/102n7wO/
H+/zEhtvW+OFDEY2sYhGRGo37HPThPf8WhAAwXAUL05nknWA+zE2YKrH6YpB8HfE4/6xeP6aY88Z
EL/elh1BBhZE+ZT7CGUN90LicFM38Us1EiJ2aj8WQ758EAYxmbNW07Fw1N8Bv4Uw89jPKydS4zkI
S++rs8vkF3cHGadWP21uRNNYCCPYKqdVr00w1HukvU3VBbjglNAPbZGk19Jj2iuYG/8htFa9ox+1
WztYCMHd7Hn5vupTtR/rCJj50KoWCz13pthz3fqBPWDc6aocLqgBy9HmQHbNmQIcMSlOR2njaGI+
bB5aODdsSIF3tww1SUQ0wfCQKV4rL+qXb1t65j5Mb+FKxHOIApL7mbC8HbmMHWiP19kvF67MOTQg
wCyto9Y26LnABNsU4tNiciL0BmvqjwNYk9MJjyK3U3QPxuksxGv6rWGl+sYadeXRcKRz5ALkHrA2
A+wUSfNJO0S76lyOFF4nbpDz2ty2PWRbe7F7KOVh+EhbAiTlhAZQ1NXkXI9o4URKKMisahoVb6id
3LEv6aBPtj3/sSwqDrFQJ+a0gs7g0Z3aEW7woInbHLUuUdm42xqj76kHGrGDR8SVfmRXiZQ1vPSA
/l9nlwvulE/DdrSmi5lyOQsiEiFmhkM3GSY6QsYbTSchxzS7LbUFLGXZynGmD/4RqDYRLF8qJFOQ
FGaxpaSrvjNbqi55vbHVur6uy1Xb5sGWRl5346Wmsa+pBDgGSRA8tkxYYxLW5gnBobwH0VrdDFzJ
o8kA9E4gXpLOIStO80LpPfAJJcrYtpm64x4iwEDb3s/C+JiBd1LfO5NtXTxt+0etKu+HtuLo7Gvg
zvmY5c8OcZ6TR6J5jAtZ5x+GJfozy2Z1kEs5rjsZfDMWifZBTet36hb60rtW+MHwie6koq7rGH7f
zfXsFO0ZQxtDH0Xm5NAI7IXMJ9qZ1YPBRrpM9bbi6rSPFFZTwwvmp6QougWCkD4ys4R4aET10ZnK
+Yqru76fRPbecM1/ILNZInmGcu8Ebb6eS4ClKCIb6GBULuQ3J5Ka0jWMJWIcQcFOB8R003Ju2tQm
i7OOfNjiwIrfTK4yvMyhuJeaBY/zY/OOW9/7FdVVebTSmgdYdS4jSQQdyjM0PmoIsNljaqM5CO2j
59G88Z3MVXnrEZnjhBreNfTFYdsF7ONTgAUe1OWr3w/pW2gknDIFBdqaA5FS6WFJS0ApfXuwSOhM
wBEf2FEnE3VRNGvT09QMIomY9COtuWb1cdiO33k+asaXrTgW6ubxKobh4HiWdQwmREa7ozp3Eoy1
xiykvQMzBaZP7FHV73Ewo99p2DoHaKa02+RMDs2xUt8zXoETPsOUWENelVt7RANNBNUDIbypLWNp
Xj53dO8NL5x3S1aqB5Tbmlh/036ZPDAXTfcewgqm/NwuyNJaHccJaq32PQPOs4hMhs5pPj8nSd5x
Xiiqz9KKFn4VGk9FvWTfXMbsAzR8qpkSZKcBJfXVMJbxqRwWJH9g5dZHHTTGLwHNaStzs917VMjc
HAgV8dxlElx6+tB6ULhUVgkYgi7EHsOMJiq3YTvPwSoaQcVxkwPY3na8Xx6jwHcMMCNPFgJjY9To
MIk+OwZCNEH8oAGfy1SyWTG+/xNx4KeO5G6qI75+29NHXAOwYuDB8dQ8lr4yAaMLbJ3THt/xS6hD
vow15A84IajFqOp534VBup1dJRHXmv7ASLn/kGYzfC4DUmkUJP7V8Ozorpmb5BsfNNvnrGu9GpQX
7Xh78KCLITg7S9Xe+b0rPoIw0ZyNPO/QmBxpGUEa7IIzdjqrsnNzHy00Ica1ZUx3sq5Z4mUuop1N
I3ycQX3IOeo34TaBnPdtRpgkQPR7cLaqJPgVUWoCOtIMy2vLEWnTwjK/9Nhb0dSHfDdnCbY825k+
/Zq6DSpoayzoesYa49bLY8oM+Fh6y/RIRd4IA435BpSxwN4kEEwPC0rFU8R0/5O0Aqx6NbbvLfsb
S3znHILZFRu/HNU5RNVl0NS3PsEq0Oh2IpvHnogZludmUD8mIbMXo/bHIO4Gtzv7Ho4KRuhOg83d
Dj+qzpG7oLP/5GUdHZlQoGsj5TnkpGiqGplIXlk40LFNCtHWLTkJCl0WmxI6294a8yzetVdycl0C
TDl83MlcVs0lUYN3qZS6ub2J9a2brB6h5Qu7eyiDvr3ncF1gQEyJzKnCvtUYsIk+pY1UEZEorzq0
vqBowlrUc9Fyho05wom9sCN3jUsyvLNTKyUmUHevvmkAEr8N0OauvA1JwnyXKODbcbQMxWGsfTv2
unE5Co5nyLjL+M5UbHiJOIU+Ak5jN1kK5yrsKT9Gg1V8pYFmL0rG5eItHuyXsjXTO+UW1rnuBhlj
BgVVVlTewWyHScaLXOxmBSvN+xxckGXYdBzzU/h4ixEPlunNRfdEaymiDuGhdyH5prQXnIylszZO
Q4VwLBNj2c5B2Z7Zx9uPbEra6xBIb7O0LheDsKdoKrSb/83emew2kqVZ+lUKvbfAtWvzomtBGmdR
Eim5JPeNQXK5bB6v2bXh6fujZ2RlZAKN6lp0AwV0LgIZ6UnXQNodzn/Odx4wi/nf8Op7R79zgFoP
2sHqLst7p505YmW9ytsVTQf6zfSI2zgiSx4ie5K7TpmLhwUhd78vJuElB0Paqm/8gmSxw6mTzC9V
64PdbjwyEYjobsxb6783IwpIkhm7BdFqK2bu4PwcuMxR5LW0gL36rK75aORA027ag1nyLpl9YIad
gWnOKgQW9ZxCpE3FvOvDsLlfTEvGcSnIXRwvVCmXJAvNJhK4was1PzXHW4P5RxplxTm1Ico6cqrW
zmRjTfq/Ykn9byXtUuPANQhUw/8+aH9+r9Jm6P5J1/2Pl/1N1g3sP4CmkVD2UWjNv9lP/ybrBvIP
is0QaFzi8xAib5bVP2Vd6fxBxh8cORMepF/LwU76p6wriehbwNj4Gy0m0Rbw3r/L249/A6n8rfX6
H6XY/1YN5WOdVr36n/8DAeafZV1GJCzxkM8dlm3EZR8L7F/RFE6rqsYQebDPurTcz4mgcz5l8eq5
MjUY9uM1ro/nnFainQ3SdR0zL/5WEt574sZKdiVoz0brL1cSgtPJk6O+sjTSW0MUN19oRjdHO93L
qRZbp1Sk2pMuerGlX55B0R8YPmDuHvzhhGpxNSjbiogEJB+OwaHf0RlhC108Zn7GJbLIgEOuFPk+
zvWDvTW8lJL5xnFZf+bZJ6nEoRVHW3PuMnsi19bOYg1bqb7FEzNmMbm3N6rAdvaBCqanYuB8lzbN
r5wIjRfGGKrgaabZD04UH2MgxT617fus4hpBdD8/jWz0IZFbJlP2/CWI3YT2ULVwm0eXqoyovKJr
tmeEtP3M4BkVxySrniIwLN0IapQzBH9R+qanzGV54ZBE28+tXEmN7Wp0rAMz9Yw0fEDCHqln20mo
noqPCNfpvmyuYsw+R0fZ0KAiCMzJzPTcFKNa+0r8KE1yFNQXVpoOQhr8IPjFT3qcqPQYjSc9eMVF
F66xK0YnqsLGjsTFGb3bRQCBtVjDyiX9ZXa3vxNzVYTVt8tZrYtEVPu0p8Q9knCO+xaYHZJ5p0Na
tVxJpVgSGwc2puLUTAXuxWiRN6MO1S/RaaFiV28T3whOmhv0ay+7qDuo1lXJLpihZrc9mBsUnqV1
Q+3AW16BEyMEhFZCXMkubfHTba3ppaomDsZ+oNAsbK9t57WmSymAFz8HjwykmSqXrY16iAPb0atx
xBhEjWiWvvXK7c5L39s3r1kWp2sSLPYDdyGoZP1omKsOe9AqbToYSUGlHxzbUuZlznu/XgeZosoI
TBBT+tE2gVVxOxvHa9Z5UbIncj60Rz5hVkzUNY6XUHmtvDfIC33VTVqevA5r86bHnd1wlGoV7zlp
yONtWwlWo9k5I2Gn4AJo90BMAm8N3RGoB/mmF30Zai5SK/bheGNb976w37i3P07ZrXoIeZ38cLdP
ehvyRSfOBa1sbNr1VVv6I2rsp4HOvdm05/s0sPZOSXPSOLR3WUyzWl4f3ATimEbI4Tga0krN0LPm
LZMjmKeSOWwscusRT6Lxi49zWIO1DLR4ZKQCynTyL0K0VKePE0ZeR2xJUTQhP+qXtVzKXnMI5jUw
195KQ2YXdkbOHgluqq7LiTh7N/tgRnY1Nz5vB3+qSoiKu4Z6xAmMSDPDBhiRa7Tjx/vC4bxDBvq5
tHSyy3MvIzhlxfvWi/OV65a0hc8MCMyyVut5wXGX97XxbmM/W7UejooayofFqFPTgrWvfEHW50bE
wG2MRT6w6jDC13EWaeb+COb4CUdRGqa+HHZjRNOqHrItlhU/NC2vR5aOvJ+LvahNZ84b05/UnZQZ
USZS8wmtktwkvCeWvjPNjPHKamd5RNbc9qWzmbOi2Npk4XZtAMCg8YcdkazPAtvoanLnX3EePVgc
jsGKgK+3lf9scDr/hWkg/xiW+Osvu9Ofy/8/Lfe/O4j+wdfiUBO4N1K+yXzR8z3P+xe4StWg7WmK
B/dYkMUqKTPJ2a4g4htPjfOQ1ATj1gbW8WbjtLk6i3pK36BgU5WHrOBqXGljwjqJ4YYEYB1RcII/
NNjEU96R3UxJ1a8gttQavhEX6bqrzJ+a4byNRXtEsmFk7rUr3FudG87gjhnuNx1HdzMZkl0Su0Z3
6EyHxaJqopOeuWtund+rifF7ZWl/rzLqtuCAEUyMA9YIT+55LjWzHnoHV4Owja2PuH7tM2P2VkUr
vANXRpap0Y1/yqhB2OljZA93uCsitR1h7WyHNOXdBHEv7GREjqhOMsuTk4VCsKH4YyI+ECRhSZBw
LauAA9tgXfGNIA+xnN25VeTs2pam70D3RNLrVIXlFO2sqpJHayCGbjLj+tZprH5kR3EkIv3R8KJy
c5h2GSVyw9pdUmrfI1w0oYsIzqebsW69BriW5U/EGczxhMerXBfZyGUKzQp2OyRf0RplGARx9ZK0
wfLoRlyq0Mfv07rLTjPJy8eB+xEFdgz2vrMoqHXResvWoeeVC+eC4aYEV/qgG9qd4t4ZaLPJLl1R
y6MrmIgT3easzqg1vy+DlGxB3/UiI2VLQdVd6Uv3lEwGbA6/NHaeTuyffqTxjRpF/xgZkrSgF8c/
I26BDDrTdvgxO6xe2tfyIXIGcUnBOIe1aX7YRUTwdFJQAWowpStU28eCic8qdeSuYBy3M1vqHEes
Xd5g6JMfc2F2p44inQQkj5Jhil2Qm9t81/TOW4Las+E391rQSEZ9dBrxk5B6NPyElH5jPqOB4PQc
pn1n39pE0e0xLH/Gwhzx4hs/UaarBJOQuSMFfCSYHSYmbbTSPKkyeo1iUhBtcgAX/UHIGEtfcC9w
D3N5HpzttAyfNzPJPQjvX7UdB/TmNcjanui2/mT4e0CR746v1DHxccgrN08+5yAYj9r11aWs5XxQ
yllWWZOSFyiJvWitfnJYdEgnWp/avjV7l527xoyO8dFM05OdGUQiyxjfpjDvqzY4Z92COExBIGl6
Yw4tHCZbnHbRuh0UI2OnW9YARoaw0gX0blYrivg2+JRCTglbWDD9GZ91R6fBPO+Ycasb3+CJ0uPp
XJBIP8hSVneGOVMerUxKBMGQX+i5VsDGY6ZvOj0YPQmEeKSBmS47Lz26gSNBBYE4+kVrsWa6azZf
FJsh1lK6u7WHpQ5BDcmVVUr+NHXiMLPybIe8kbHDwmT6Tn8M5RjuNMtXbx56FOmuFG9k+0i4cBUE
hZpm2Rc6gSQqRd6eIFQMHIYrj2p2RjckwCfarjxFtz26u+3W+e+Nu/m9idOJxoZueQXxP//3Rq9/
b/rL7wNAE0ccBqbfBwP79yHBvZ0XktvJ4f/tReqvFpl//2+UALRsonl/2cxuVp0/LTj37yUWnG99
/97922P3/vlLJX+9cP35yj9NNPYfPhcwgRHGxWmCBfYvJhpAF3DBA1tavvRvZWt/R5uJP4hsYW1h
VMaVD/7ZP922bFvwSnw0JibO/xLb7F/IgzYlYpRREwN0sVqDEuZb+Otdq6fW1e0GR++arA+eIC/N
DxVqR8McJ+0+jGDhmiGCtvlPcI0g3f7VvEP7gO0izsODBrlHXcY/f+WBZQZzr9Y71x6ibdpZTvNO
AhZFNtWmTWliAzxknWKvfCuajJDgZNd4XXyvsAZYLKNwAWI2JkfPziq+R9gQmdubGFptc477td9h
kBSqoYo2LyM17Ed5C7yR1jF6boA9ekNT+/MHiJ2V1c9dhShoed9L8h7vcy2Dl1JkZbIh66cvM9GV
Jsyp9DulXLxSROiI8hBtyuGtsr10C56OZEVZnuy0plcIiZP8P1ia6iNrgcn0lg6X2qxDFdU/dUGG
XXVjdmHY6b0Gi9vSIG1kd1AOTfQYx0ZvNWI3+mZQ4JeB2TLqAwIRM7ho/oUkC7IR81KkM3no5ZSB
EEke/WTwtnoiDo1ETEeuWVE5gGtobFA/zVE+aaznKMUSfBq1NQhc1ZpNbOAKYdkPVTMSEyYYIS0R
h0DWeGHXOjSjuZBReg6qbgNopZvkO/lu+kQD+yQcBOakoPbH6nb0127HjplHG2GFx7ywo35ardk0
Cv5PNZJ/pMaHsePQL4amPyxR160irIoQgIYShyjgOkan1RqjJZ7HMfU2uc+cQnGD3vVOPBykUObW
Ti3nYAuPqL+m8cnshgECh0p3FtwlOLEUUg5OJfeUxQ/bqInLI8Is4VWQPiHbT7pbxo5IPgZnzL1m
XBzYiuzPxtTxfrCZMnj0CN6jXwE5QRq+zkuh6AK2ge7FMFCylU+xMQesTFh0KPlsbyGjXTugVgAD
+GbkJv5Osiuv4WxhHV2nyeJ9jwfbP+PpNz8qLctPpgGYmBhkOxZwHnB2YCfvxITlhyuJSO8zGbSH
fgYbwanxWFpNc0yWsn4tQSzxu846fCxi6ZNlw32NjhYVgFxaCVG7LhKbWz+Wxa2FW0TOLQVa56Q/
cH0AsMgXsZ5Mq7grAGDvJhMi2i43Ev+pdIyO4j7utmHrVovcOIbZA0j1aN0QHReBlWpnfZFGP2/t
OJnjYxw3XIQw23jf6apnhEjvMfkSz6qTdUsI8TqPvjjczGMVY4S4vFt4oOjiHCOqtgQXKTso7Oe6
61BHfFxsM7/MW9wWOM2It91tigerrPULDXhOwi3bI5HkThKyhmF348Z3MK4c57E3f9UtxEHXKs2X
3EraYdeXpv2FGB4FW9uSM6XgqoU5uVpmx7j6zMu3BCmWU67A6XG/lZ2FV47IK8V6WfI8SPKkjEeM
U9cIc9vwHwupKfWuA/NnwECgB7fFYqC6zp9unH+oMrnDq7JrhEGZykwqpdSy2GvKLB5cG3Jja5Po
6HNgC8yM74I+zVeLic9CMpQKy8Xo91nT3lfuoh7bTHwmOWc3/ILlOuqLeC8yrzlXnsc4Clz+1ptB
Pcellz4mEYUWk6H8EyYJuenHqf5Y3E5vZ+zA92JGVwjLORrvIpVPXyVHD0zco0xPQeKDTcwyn5jq
Us26xqjtmB8e1p0jdPLiRF/MAwxuhrm41nuLi3Ol3F9tPd/ALV49Q3upON6ryXjrQWch8CENu6bz
LU9mb6sqPVwCy2Tkn6Q455iR00Q2LL8alCyAK7Vt39zuURjI2aNqnL5HO0fUCyYj3oxlzIy0T8pH
Sl6jFsbGAMmgHqMrgMIcY5KxcLRBpWZsFLf6Z2+Uw70aB5VvaDCi/JyCrAe/01Qt97U0V5k1eXyy
os5gtYg/fJ2p0Kgcf09BAz8Yws66YN6LuCflN78gZYhdGZPYNPI3THyA4zG/1xH3Exw7+6GQ5bou
nSP+ce/cSDc5Dq7zxe6U3hPGaHZFRxMmwzK6mg6cEwFrRxyHNx06AOZJFZtVaMxt95kaxLTgEHfi
znMr0B2SnK/aJJ3B7R2gBrmfRF/TOc5f+xTEbuFZ/i+RmMOOqc2E558HZue03Fj2TYMFbKO19u/b
Pi9fPN6nNR0f3Z75VfUJT8h+VFMbfcxQJ+wnLngss/1SJX1Y94Spb33XXRY2nA6YD2Dd2eRNt5zj
dLE4qYqPJgFBhUS67Lhn6BPiZjh11ZtB8rK8EdIkgSxFDAunt2uZmKcGPJ52Q9HRishZ/zzmEkEo
MjP73lMe4fDZ5XZd6LF9pJvkEll4RWF5dKFqSuOx6AFSTgYm8FzhpfTtrcDwTor5lsttY+Jq8QH6
ULYZfbs7ZQSvDIfCVStPY36E5Iwm9Nl608+Z9R0zrMdRQXBzSZeAGtKpJQluRO4q5dgcSlkANCum
zTJ0zs7XjCaiWEbYfaBw1ckE4M6JX2IriDdtj5450nqHLcnq0T1tpdelsSTXcmrmG2lpa4zRJmUi
tO3nQd4lE5fUglLjlUAO/pxiybB00P25UAgR4Hrkqp4mqCwKpTFW8Ooaj9k279C44SxordUN4a2n
5RuXEn6R5W88Kb/Yoq2iM2AdOPWq+TY6ifEc1FW376nhvB01SPS43a20yDd3rEA+gMkGTELeuRsB
TDR0SPTs3cyyiWAGj/i+eHxLaT9MvO/MwMmyyE5P9g7SarrJJy/edT6+X8vqLB54ZjUnjgvqO4IU
b2qCdL8lgake3bQJNpnZKwKYVTR+DzxRXL1+EScRFPmXmhysDWw5B1MH42sGCCkc0N5xkTiiBkBA
nCKMPRF9iWShl9ZBNs/6Ag2PbTbaGdp38CGlZvIYGwE7Zx5rcWQOTChCZtZ7gInzTgs5PXB/zgm7
NRUc8+hm7YhpeLr1qmflMQaoD+XSdE7C1+YzqkX0q0DZAM+JTrDDRJjmLExmdMh64RxRGSvBQD1D
RILdjxVwUulKxLPGiMs4eFcKab5YCFsrsi7ASfGdBetEFvEnNkqhiWIEXs2bUJWPUHeMZygh2T5N
1HzKpmzZVWLWbzaQuxOWi8og/XKzVlcVlEs1YPjoBcOPjUM5+nOezfOvIXNLHlMMkdcOjMM1gI3K
9DF1k5Cj7bAeOdpvsyhXL/5ci/soqapjEpkC4Z0gMJsf1jDkczd+S+3WRjMSBUBEY3rWY2nvdZXq
i0H9EqdJF5qxqmnbggZ7ojnGezNIfK5bGARvlh0dgPI6K7eP7zs/c+8wVBnLpjUc7fI5s2GEYaXD
obbghYUUkt5RlLdgJ+86rAUkFkAGptOargJsrwMejwLXvcuHKXei8j4KPER4eLQrqaubR2TG0t8b
y8Fr+A4qvzK/Wa4Gr1N3vfVMBMyNNwuSrvnIFsH+NsSenlnATJdbu0+MFa859mpqkVyrWrYAnG4e
DbBfXhG8Z5B1N4ZkHJJCZd5JDaILJkXyyaEFKqiL2WoNZpFr+zDN1a6EnHVoWq2+89AuVyNQnDad
qdrlHV/EN4TcZFjeNk7JoIPSsPixnjp5Pyqhp/faklN7oYSwLZ4Ml7rPsGckfdM9uOCtcUxmIzCs
bqJ9VWoyQN7QA2d2fVQrp6mza2mP8fPUmOnXgr+JOYWLZreMdrwbGNpfmlma34c6sJ9pJpAoPp2E
tbTEgKWyNK2e4tJIPqfRzY6Ga1vvrY3UuPLaNOXtaNzpKjig/uos7KjxWDNWL9Opvc6dyVqxoB9y
YFMmq5rTtzHIQRrbV52yBjKUpXjPI8/+5rjC7Z59Wij7+6hubWuzZKOsNqbyeX5KcqO4YTO6bZ14
HsKgjAmv4ySe00Nj8iEMB+yk9Es6qtug9rsmREyeXnvOfDOs2Q9PtZmhb+ZW2xDa9RKyAwYGx9Zo
PFiFjQdasNZNfGjrwfpeLGOyq8ygeWkCObwTHy2hbTfttXPoA6c9OiYCEjbK90/9jGgW8zkkReaK
98xLxh9xFWQHFwHnJaNr+s1sasffuMFsf4fXPB11P85buDL1g1ws9xKjh8Kfjadob2fFpp2b/MCJ
OrmbpD3uWzUs+4Ff4bv2Yn3HKMB9tJFntlggdyYRq4fUy+ZjT4FUOCDuXyvbsM8BeMnfPkTIswCl
ESn9FkeJVxCYrbulY8XxojNlsD8ofPoEMzBdMMXRWDMhJLFaS3i/ytXBF6hKb50MZbq16f8K9SiT
l84Phtcx48kpGPS9ZkUcU/PgWucKMM4xhQN9wQf4FduJWEuYq9eW4+xjUeKLmDAq/aKXFftQPMp9
BeTkecG9c1xiITaQRMeX3KSMVAHivFfRrfl96SwaQxnmbkqz6e+myB7xDcAZdOMyuWgEgNBq0rqB
jzw2jwN30g/GFPYlwYG/nSmVXCm/7h40zpkDBrLXQUxpHU6+hJydltawmWqIARjA5DYf+uU9cQsS
CdMgaKOzOAMBB3/T8KHxVKNiFG4evKUYIH5EuN12BKLVwYX6cp1xqfxIOYvdV328bBYV9eeBEd5T
zymPSWcBp3aB93GE1QTlWfGR14r13qMb8UeadtUmWvr0fXbppwCVy5XarLAoYXTKiJ7MPF0pu0oI
nhcaWsCe4o/w8vALM07DCQ5GMDtXkAZfCt9RR6eJshej5nOlqJHiJqirEPNWHpaJZT56gZDH6MbL
NvRQPE9zI8+JUVZf9jgBLU5FJcFoZP29KNnzVnMVWZ9+nHPDoqa7O4lYAR9bgEbsDT5oGFQKzcix
73MgQG3exyGswea1nxomgiQPzKfcmZtnr5PqPTMStBXvN1BgCtrqTQHbfR97AWwgiFlfTgryzOPC
6vdC+y04guw3mgC2lN1tsxzWSNyP3K/gS1kf2q3cF7riF0w0Xv1ORrnB2iS819pFpHHKvr6LOamR
1Wft4BvKyjCvAG+k2rOvgcHqbbodVAZHK8LydHUsue7fh3LQJ/NGXlDSjxDu04LJtwWX4UZowHtm
ruo4bd46T6QUCZfG1SlyZ52VIiLKsmYCrus1cKTqsyZCNd0Ty06cveGSW3FIOlL+MsbmS/WbENHk
U/qlhe1TTypmhmrz5K4ifIKQYzDnv+bcIcOYTDDtiymQDH54+j30bwqFTJRdYrjR3d0sdPJdBqn5
7GV03OMbXPgeDFVf59rHd23EDFLssv1SvxkXrTdX7ws55q+aMyj4YYNlCH9RmJRtHTraIGoEKyOP
EbbMOgfOMkNKceawZ2tej30PCPwG2+Aw9oLZuT6COHwS0Sh38ZAapzgDzhHEYDrwCzghxcZ3jAoi
Tun+tU+V/RBZNJGI2JbGyrJv1I8pyg9OX1WnkdzBAUw5HwfIP85xKbsBdGNi3bapksBJD5ndY35a
B4onzVhO0zD75zSekxDRo9uZQSQ+Ej4+H40piOrnkPB4fdGe3EQ4Z80NausWVn/NZo8K6sTcsTfj
jkQGByZhQsYbDGfcFUZAwh1R6sGR4uGmCX0XMKLhJDSjaYW5UWUPnOzIDAnWq3MCGA21SzkJCCKC
U2tA19CDSOnZ6G9LH1pTUtBv4xXuKhg798LRoLDXecKQVGYYKPrRU3sG3+46w0wXWjfvlR/NPJdF
FJA2BsO+7XGNV2x6dXeyO7RE/CUyem1jLbeqa9T3bLbEGboHgRc3MVjAbe1crHRozy1fbV1DaX9M
KIE8i8aAXUUO0TsNeAn3Vg2DVjKLO0F8ak6pnfrkIIkxVSNtf6GseE5x4vYPiGuq3zgW1V+UT5EQ
b7Uxj6vFbrJNbM8/cTwsIWgaa73EUnwauHIPGnv1k8vKtHK9AaxC2yy4QRc/38bMMbadI5YHDODp
LpEe4QAzK/0z84jmshgT4MOhFfyRYVV7F8o31t7COzZOk32DmcgqONVAiqTlglVCvDJXPNTqgTuB
fHGTmaZdITRnLnKOlmIz6xnfxjgcuO4xVOuk8c3vGb1kM3FE6iNi3s0mmTbZVEwXL5KEn2bfOPSF
2xyNWtAcaFTtD0GxamjEdRqqMktZjNWe6zo2xLJ90KLut10OMMfESTuv+Ffn0NuAD4rJG7dWwXYa
VrRLzbQQRv3Gxu7yylAZucH152g35G13q0GF2G0WgXqBEWO++CNsZyyhWbJCuVritXazdOMVkDZW
9pg2zzmwL7FNHTWRNcEtXW2NAi3vpEGgIsk2NbmmEvEDrE0eG68VkNKjL4DH4OpFHFgnSaavBFm6
FIu1mz4l3gJSrwiIv1Ft6TpjmLXp8JV55bJbhtH9kcvFvVLhXJtbryoM+nYzF4qFA5caJaRNAoCw
2Gig6xC4vSqfMSsZwRSSeO4HzetgW9mHNsS8AMkahX2Yblnt44LU/0zXVPXWWtG4M7KqfZiomqbG
BDPXhfA7CR2JHfWxGRHiLG1jN8/7745JP27kqxyKWRD8MGg72zbzBDbf8qyj8mX5kimMSYTDp3Y7
uIkkFGsWCCn9gd/Cgo+6mWAXK88nZhHUT32vpxDy+/KMfOkc/VZ6j9YMZivMRhjnMSgLeuRay/9E
NXBxjlU3M5PoGB3QhWbgZPLGbo+G3C7rLq6nt9R32SCQUOczlZTeZkguaeMxpowrN3jOCRPcxSD7
7NztcloFvekcSXaCPVHGhsjQAu3GT0BdrxOGedgrwBVqGg8N54IJ3SKiMM5FEAJVB2bSM2h0Qo2/
haY4qwaZO8/ysbCD/mLNcnlFOB8vBjEJJvEmsSVwYbue+sJvFtnNB6vp7U3qG6PY1pDTQeE72QNJ
9Jl7+ei7P/omTwhiuMWpN0z92Bkyb5EgzcQ+tf7E1MU0C/7JBJj+kJRT1rr3DP02Y+xE/udwvWXE
nwEmSacHcsXEaj3aAEnQ8ou41Ex3DVqSZfwZmYk3UDxmmk9xhNC7SktRPmUpxmcg2FygA+rB2E6V
s3aDhIvUVFrOfVeb6trGtbjK0aoeZnpcMwgKaft9AZ117y4ZJhrd+u5ZKANvUlqp7OYDa81vbhLI
E057ly4SHG3JSg3on0T7Su+YzUb0M83L5b0JeHgYzXNgW2nR3ug4C0Bhd7a4xi2dLl75tGm9rgpK
iDnBqelBCSv6ORr9bYHjISKVWLx6niUPltkvZyD03hE7NdjqtlQn1nY2IBWIT2UPXRIGNTvf2MBj
co20uUxu5x2pcG7v7LHXh8VKhi812Bi/+dhitvODFpZbP02/3Cwqw64YQu4QdLX2bl/tQV97R4d1
O9ReXTzZcE+OhgQZt+Tz8FllrUWNI3iOXVPgjstsb6rCKS7bd7OBRreJBw8rFiS8rUsk/VuuLf+C
ebL4uTSe97TIjn8wuN6qWLdvYNYIXJI7ZNyReso49iBzNwO/w6dqVP1PdqDSX92qaLAFmZTOV2Un
0w0F94/EVNW1rnOH6QFrS7WyB9umg6TvH0vG2KfG5EVmVN+iL6736E4VaoKYy+HHgqx225C1PPsD
bR+Rx60EBOZYXKEiUsCdBJh6yE7UywVcBO8Ih5s7IVL3wnCrotzXTK4KeNha5pMDN63lqmHX3abr
8HsuyRg9lHp2j7wshtTbGh8T3KE1//qWRDrfmGkN5oIK8PvBW5bHeSo/W9MJy3zAhp7UcMmyYD67
xACf0tEad13tEaRPgqcZCtAmd4tbTgLp8tAr4WQra5xSTDrCfbZGfi4ctzw88405VPBcE2elchET
2G1CM6BwGIS+Dj3H9h8ebqfHSAgMl7Y1dVebAz03gcKBC+Dj3lvpaWqOqXYsCMNBrKBuTN0d09Wf
dZfLHHeswjEVS+88urV9mZAzflQeNuAVNta457rL+CYZ+DSN4mZBm8iJp5W/jmk/I8A/yK+Gwg+Y
/KIdqH2pFX0ryO5kUnJnnEuqbWR8GgyverVitix6TziyJCicuSlH8CVMW8ADmM0L89T+QFl8Tei0
r/dT0vmh8ATN4LPwaTK0HJvdNJ4YWvV9+cO1IlAJ0TJsCrrfvjRBxxO2c5x7bPffhZeIDitL4Rtr
aC3BkZYNDrJextzKWgZuMNLEI6UAAVJ61WKFYZqD3Ns4741jVzYB1944RAY+ExuNhIZCdIwzLB4W
ucBrm4msbvLkVMx8QESOz6k32Z/1OE8fKcfWZwh+Q7dyoSew/kfVcOcGmY+FF/zkjzZnfrliVQDv
wprHDa/kjkciicVYD77HHCbvLTaavE/OoyHER2GBPN+MDY3dDF/YuGbcW4cIPtOJH4qCGfZgao0a
qrNmh6xjmNELeOiUg2OniSVtQ1lUzK+tn0vmNkmwlbJhz6/apN/A1qqjdR1JIwp7L13OQxrdSGuj
zI9e4KpjjJ/JIqlCbTukuhQtTzDxI51Ys1vJtIkIOgcztRJlmnRYUS2SIVnCLrYiAH4D17qD1d4F
08SXATkd7yMFiHtdurb5rdAdcxRZ5eBJvale9ZFhHBDZS/LDnbr9DyMPHRm+VH5jZmvhR2Yg6q3L
ynE+iSRV9w0T1AubF2eXgu1yFQFjUIdeYFsOPblMb+jNwLjpkHmOb7er0u/pDaJDuF/bzAc3Yyry
cEoLcfZp3v7MbbKdPXLf1ohyWIk2iYpo6+AiWAeIw6elFOaRvOZ0Pwsm3pZ5E8lvzbeMaeSGPjqT
J0tDb8/Gi22gjCZq5Hat3gYO4cc5qooDaA0DTpOpwnFu9S+zcbLzwHHiHjo969dClYHnCYxJmobk
SPPfgP/0ONAHJd6E0aZU/yT5GaqG3NS9IK5GtEila8vp35KhWS6d1tVdDUidMbppbGwZ0WSOcetn
0WhQXY3f3ZVDTQ5kabOOnssxDQHULj9hDSX7GPcxVugaWtYAJnKsh9jZ/n9v0P8hZAf2jS3+c3/Q
ew4i/POv7iAAPX9/7X9gdgT5ApywEosQiYd/lB96fzgeHzxCrJ751zSGZf5hu56kmtiGdYF4zTfy
9zSG/wd/4LvUAFIZ+zvD8V9IY7jerUj8H/ZczzYtiy/PONT1mGjY4ubj+WtRaIRh3LFcFILMARPO
RXiEqOCQjwwiz3lXhI4v5ozZDaazYKFbqmkt8tmVW/wQPWMeb7wDX5yuc806hTOjZXX7NgASrxDm
1oy3nTBx2+JAcEx/AJngbJ+lZMWzPmb7QcJHVmQMxD45l/7NAJSKa1SY1rbq2+VBWuQ7i9ZmlF4N
/4u8M9txHMuy7K/UBzQTnIfHlkiJmkyyeXghzNzdOF7O5CX59bXo1VXtGZnIRgH90EDHW0TAzeQS
Rd6zz95r8ypsUodswoYpUHNJuqJuf8W0YnEjyIeIyhWWmIWnuXdqP6TnmFLwYGaO5+A/gFAhFxiY
vUiDrs/cU2Zo3pY+O1xDGimpJDO8nxmLPkpimlnd0aBq7qt5UB+dJU2veY2Rh0/G8QWJXWdjEhU8
Klqq+ypT8k5fnFKn35zxkydm+1nQZQuGMaaXSbikGKA5zrncJuaob7Abu/ec/mLfburqBlS5/lJF
0dyZuXo2Fw7znnpZKhwpGMLDZS7O4+icSHPfJwrsAsscbk6Z06VUtz5PrX5HOHi/2HF7kG420QUG
Hg4vpCLIJ7uT7KmSiOyn3nLsiQqoMVJ9zUzv9So7tflEwh5x349KVgAbt4ISkIjZo/oC3YtZBuzO
p2Io82Vu2+jDyybrkC1ufSP/RpPeoiv2U4HD/dhmcxdOtqKy30bU2aq9QUzY5XS5IQyUH2wxOeHY
QT8p4mF8HkkaaZua+AGAsIVR3yDvrjoM9ZWOHbYz+mg75Bal5Fxp3WYopfMqmVxPoLAlxcMJSgaD
BrUi1Gn+pPiRJSdXZcjuDDZlZSXlXq2s8mO0dJsaO7rfCk3Nvtq6esfS4rx73uLsHVHmDyI3xxui
DXolFfYbmHfquUwb55wVkFQbjS0cj7dzVE0xm0gi3W1jKKGnUq3LXkq/dxjpU/RzFrnMiVzRFlP/
RouGO7fk3l9MJucSdh7TlgJOjbqltpo3YAudl97RE+xtnsTY26Tz45TG00HITrvpWkGPBgve8ZPj
hATJC97bWMBejvnSf0ixej/A1YVsY42nTnURIF1ZySsUyfajsCOCRXm2oMCMk2I1d/QE0nwSSSq0
fVNz6DjOcyXIDYkeEjE5hwrUpj3VIPyaEg7LbSTu8GJWCiicTuGjaFgYJ0HHydPclER7Twvjx9bo
RnF0Mj0KlBRELLcLDW2OaqA7WipRmBezuEnEsfNI9Ow2aaM7bTBDzo9gU7WjmffdGqzSKqK5enyF
xJ1Ao9IyfTeyVgjSCQMz6UJHOYkIFv5acVhp/FIUPvYz5SVC97/htBuCPppKOCVIBxpE/tABstjs
e0XWjOHMBpi46nMiiCuPdT9FG/QEY+daM95uzy7Ss54BVsD9Yp+1pJtOatsnHGH1/kyeU14SUYgP
q+axy5mnGo2tPj/Xkcm5yKqN6Elrhf6l6Qt7e0lNe87pgrNmPfmpibafwl7ZO6nGd2uWIr+L4kLe
u4M23c+WJcmos+7cUhHi+NxSA4KfodKobeiAID2zNyXgnFvjkVG9uWm2J26p5VgvDXvGF1CE1S9p
kKfZLFOlh9HiKo/YlPXryKT0gsVGIRhQy+zUy6wDH+lkxAw8LunSML7LHP9Opcn6xapUzVfwEb6k
mDW4KFi2QGAvloBSEXuXmZ62X6MJ2DUSSWYk7ti4tRwWFcTGR9NB/6QVFYSOQZr0gCPNOMeCzsJZ
2HgvvB7eNuqBH0MVPGTt4L2VSuvsmk4fHsinRDf+NTogfThvqdTEHiZTsutRNu90uxvusOuXX7ND
rIvYovhg0e99eDgxb4NNRpuIWEoiNde52u0+WMtRMIgrjn5o8xGprxECD1KRJ3SgF8OxHs1mZQ22
B7qmxK1uJqa8PP2ht5NL42x3BCixpqn7HZSOj9pYYBrOg/MQgwaNBUU2buLET1RPjb/KTpXgbYxp
37ewztjq6nCT7HkRQMiKhGrI1pRyp8wGukUPEeVcO0q/XVYWHcL5GuECSB2hMoRWttruOaybxls7
t0cWKMpFq8ZQxEShHOBCk9K2IbfqACm03IpMNCFwBPaprUYEDRoaJJ6Wvp2NplpGccwNxlSUnh7E
XTYw/unJMO1ySiAOyYBgSCZtZa7BBCAa2X6oq9I8Dqzgtq40pprwoiUf2zX3PZj6EuiNxCpKLv/B
UFpLUE5VeSEGwxncqwsoDnMErLQHB7sbMZuhu6kdz7N6oCAy8vT6q3FncWTlBJuCa/4JuQhhY6rN
S4K4RSQnqn2tK+cTk/6+N5YltHHH7EuW3W/aFP3EGsiPjT4TuuxCKehLw6IW9hVCH3J+Y8FHI9Na
UY2koGhaOVzWrFIfzXnsUJJxXV0TpyTBqbvWwGyUAPyxy0nbCQYVQKCq8j1FrX2E2NS+8P1ozoQU
h9BA0ucxM1Q/RS/G0NVrknSQMD7bxEJRTMpblGurmDrTbjKK6JEPQPCeEjOF2d+6n6wxUZG7Jrlj
gZzh/5nZRncT+Q51qW6FUapnsksCAI46BmMS11QxKeNY76SedaFu9zAy2Ft730IxIPsoireTjGS0
zRrtanNyZRpQDUFvlQ2Z6VCapfJATi1OA/xNY1hO66KUkdim+QX6/wPni7S8FGALYESJIiFsws9N
Dqz/F4rzaDiWVwa/9ggyrriHHJ7+Etxx5k1i2hJoeANTybDTZ0MIAkocdzG5Qu2CAVLsJp18OP/u
GKGIknRnZMx4SpWqgeGp6bYBwBMCz4LU78j6oZPyqoBfLEnn8wu7A8Tbyh8mvB+uOuWbnqPFtsNc
t207Of2U6TR9y1r/2aVW++EU46ddA2/eWJRLXNng2Yj8Qx8uTpqy2zPk2TFa3Ku1Op4WU2/9KmIh
43QJxQG45JA+BuNoNO6TvkiBpiBzkiHKWp1adn7SsUIE+hT7VmGVuwRX8Anii7z25O73UUWyFSNe
v5eWZmPnKG16DufoJ6xeY8d3NIYQtRh8DIN4SgE1XFLAkjeVbA5dX2O/UzICtnZS2I+xE7dnCH74
NDN9yXzL7CH6A8KOj1TTr2iVPj60k9N80ScDW0mpoxvc8wEnV+VsW25Rm6rLLHrMUtzgRWQEcaOw
7Mc7n26lSwkuSugEggDiV2Dlo1LRLSedAD0z2WU90EtOV1IBnFdR6IGrErP1ZIZisrXHqPeSgPkb
DCOBqtCazXyfz1J76ZHMN7VOVUluj/KQFlF1c2Qxa5vBRmWkcVNJ36y07cNG5sSHDQOEs57GVzPF
veY6i/nCgw63tU2pqF+CoApM6ebHVBMuFRE9UKW4Lr/Rx92L3VnF85iXYo9AqgYNyfVwyU3r4DWz
uVt5fIdyrDUo35HHowZ3FSUOueGzIp/OndrfW2q345yqnqE4ZIFbtK9KVPmNpNlynJX3csQaCsDC
ejZoaNjY7lpKVDG01LbTQZtXJ5ZZSC4UptFFO5kpGikER9hyAmAFFwasRNHTpwgf3H6iXNPySSVE
/A0mZ9NS2Xb8I3nyz2KU5j8kOf4ypzFE/jmn0SCM70ZNk3CCtL1RDCvHJOChOntwQnWI7ihJUnlu
PH16ctm3vM3uWF/1ZIlP7qw371FK4IpuPXeg9FGP98nA6n8yvGWnWgpCnJMjZtH6dCsRejB6uymC
o8knoG5ptLW2Cs2db6bN7olDTTluI70v96gUZmCiCbluqvzAnw6CS5mqq5IVXUhk7GVoOo1oVm0F
UeNpb/owOKdes5CdGo88IK99W+YWBvYizyktNVpUWbL9hzZxnA9O6vHewr3F8lF+VqN1G/rh0eSE
Qn8zWxTSOLNvLcmM26Q8R2m+nMmAwuLPXfrYVK31qDNm12bviqllRbVC7X7qfcPiSjFjQOqz4FAY
4JGoXhddFLpPAo7dXZvY4xkq1XxIGk67G5gE9n1VdeO1o41B2U3cDi5zkuu/iBSmP2uchiTcFVLb
faI/VKj23gZEH04M21CDah7tk9kPSmhBTPM7ypXZjLpDugTY+aZfY4fyldBVWA4Wbp5WsK+bmmI3
xsxO9hokMCg8uETScukUFm1PJ4u1wLqvRhhfFNZdF/qid2VC9JM2YfsG0ZPsuAHE5oEvuneYvEke
aMxgL6FywqYcvPsmZchRUEg5PSWCpR0QTxfaoduUA/EF+I5naHSkNH8fuYvfx299PYnzFOZQntWg
Gnkj9Z3KLA8eXCbJ1VhP8iiK3Jvc9Xyv/T7pqxmkrmE9/0vF7c/eOhMAWvNAZDMnDAVu3k0bK+61
yySefNwDT2IdMNrfs4bNyYyb0TqCGL+nkWEdTMQ6omCvZ1qJ1sFFthAAhS1BvSWz1wTG0ChBnLAL
9H6PPO7v8Udz2rIOqXucCA/ZSIMwh4KZDTkfeM6F6+VkfmJLcz7rkkyBxwplo9NNfzOnNtvPUOUX
bmLMW+zSH+vWtLEB1w+KnqYhe6DqbCh19SAGzaSPiJOyMuOi31QchcFWlQ0737VKhdYZewPlsd4m
EHpY1vM5bBNioK96Y1nbgVTMjdWr89LwGbCmXkfGfB0ekaeZI/OszS9J3qMUMGSaJZti+XvytH9P
od46kNaake+bdUjFUVXuBrq3zg0TLNZJAOrrUCvW8ZYXuQ66jLzI1PZLsY7B9joQu+tobCmx+16a
zfvUZfmXvQ7QwzpKL+tQXa7jtft70l7WoTtZx29vHcTn3zN5sY7nVMIRhV9H9n4d3qd1jO9/T/Tt
OtyX65i/rAN/xk1aRFByetys5MJ+KwP5KhLgN3fACSAc6P3g+f/6jmquAbS/E75MXfVMzbaR38in
/8aU/CF8dZ5nMCSs7bq9ax7LPD30euQG1qx4ga5zTtc9w7qpJvtUVHMwWFY6WPtRd7T3zk0SytjJ
Gv+cx0EeRWHOJ8XVupuLmvfGwaB6MVhID+wxg0H1FqBqhnxoRZ8OG6HUOZ9pZoCQc+Y8VHuGzk1E
xabj27HisBiPywqQA6/K8PSRkxVNbJ/tMuC9Eb3N/nJZb2SshrinZb/vb8vve535+76XrLdAb70Z
/us3TIMw/vdv2O8nEIdpkoS641h/4bZ4bRfP5jS7ezYij8ub8dZ8Km/Ng7zr7nFklVeluPvXv9H8
Cylm1SY11fTgf5set0rnL79xNf4KG7T2nqRy9FVUXQrJiiKNO8xZi77lJF2f2rnpKY6P8+RLs5Y+
qM2IFlzNmowVhBXtykyy68SiDaNyiaCSbfWKSMR+sSLltQO89QQwh0edXVZAU3JzNfr2+dyGU1M1
Z0O0+ZHY1HTgJMP9CTllYzvuwwDmez9y/ERsENmuMLVmN8NVObmVtXzYMsNMDdbhMDaWu+/nQnkW
qWzPAJRzDJC4XvW1ROM0ciB+TFiZf+IXyQDASgoQsyltX0ys6dy/hF68/n5T/39G4jum5ankHnTd
1CzgRTRf/nGh/UOu1//82X7+G6r9v919xiR8w8/xV5H+2//kP/if4rP8/b/8dPhT1P+nv+I/5H3H
+BtfBx0dxLQsJMo15vu/KPrq3/AcWioa/39o9aj4/4lbUldGE02g/A9eNoPc/xb41bUH1Obn8ddZ
f6T738EtacZfg7gWLH5udZqh2SbcTI8X8efBESQYJHN7MVH6noe5urCj38U77tCgGOgRd7NtaiHu
PBjPGEDhQizZc9eku1S8RlNP44aydWlhU3Px4UWjnydhIhBklR1jw34E0Erx/CFxv+bJ9JOajNSQ
vg7yQ0/7QJkZVdXlcYVzS32GOtLuDOVYu9+sQIsQTXoEYfoTnsmmtM4zE3cpLxWlSJH9zUKStglg
PQqeSftgZagZHqyBUZT+LKnDSOa9sMEz2dPA7E91jrJXbfokyapQjDwUd1NCZTF84FJ+qV753PXq
vWgWHoHxaicy5jronGxrlj/64oodH5DHmBMdRiszYkxWnN9gYkhHv2lZ9hgXy8EwWkyda+WkOALQ
KYgCnI1JI/hW11hxWuCD7HMHWqGpfbmhRkIayTKO6hXnRBNIf2O+qywa+JiCsYIN4MUseyUIlhxm
4kzXzOST8fEBU12MtL/1tnGnRcaP3LFvU8VrpVueYlJNf5nS+RmD6A7IPfY+YjBAz7VNYjuUvzBD
buIkvcWiBizIamJj4rBpOrnNpssfX5t/MpRo//BIWL937PVVhwWW6fAQ/ftri5VPh2mbB+a0iOe2
Z8w0ze6GfyVMpB3g0AR77th4TMp9UV95lO8tzTz1wh18GAiwXboVYR55mPKLMFfwyg1y12Z5RJOT
cTPGajdN1qNhWpw5yfc1RnpqypM60NZdlydt3mmKi6wEHTxd7i2I3q4jIebAceQjrOf022ytByt/
B0u6iwaLuLnA3YjDUUu2KDbMg4ZfZd2ZEKpPasmPWyWsF/XWWu1uNMzbrHpnG4rfNA+kGFEnE4pU
gFpwSe4XkGXahw3/KVuGY2Mvd6QZqaOoYjB+Di43j6syn8tdPaZnt7zQJbZXAF1Zwv0S/RwWhRrG
q39kUDo87cNyXqaevXT0OdfWrsJKLfiB4GXSDsvtjEJlvup6DCDsSW/bS0uNPYyWp3L6YOk8nWp9
Rs0sNee9iTAUKknxpmRGkNS0XWdcIpIyQASdsDHan5Bym80o5iuRDTK6tDP6azDh1BCWr+3l419f
Jvr6mP7zpLVeJYbjGarrwknwfo+2f5y0ljVUhUoaBXaV/4qV4TXi7Yta7aNhbb9Q68rR/AHs790y
jNe4aw+ZnFaQ/kaDWrPjxI4U7mU+lC7W3d41IarZpj32RY+iiz6/Zcn4XVvl/+HqBsXwl9dtc+fm
+uYGzgNm7fb5+6u7g5hWw5SMgsZpid/pBosYXrCF2DjgjYYtTMg94fnOfbFGiFLQCjeNRi7F2U11
uW8SEguOgh+ubViq1o7DNRtjBUAPA1Wub2gYw4w3PnJj3RvFdEuz4bFWtOeF3Rm2q5+xNT0Ks9tE
hkumMyEfy5DLL7b7KqB9gFvjqH+rQzJgP+8VDitsFLKlRoet5UMyjjfpDqfahgma2uUlWbtWYVh8
wOPRcNqOT3iJr2NB6GOw6u9SyRIsxPWT7JVvLzGKrZva3wwWj52dvYHf2bdjx2yqfdNvv0+ALXuE
29K4wb1C25PrbfvEepGkz9kEeBun/ZLgkmbE7UrIoNPQhyR18zAf4BKXtb6RiBlmNAXgui9IR7eu
5+lRq7qfuV4I4iDHlw7jvu2fG+YxuzTflrx5jjEoDgiO/khh7RqxNsD+N7EaWk35aCUyVNmIgLn7
Ean1YwFMZ9ANSNx83zOLHmb3FpfqoarlTZrongUBeQ376yDILape4LESTrFRxAlFexB4VK0I5Ch5
yqSviKDh6LBtogjJmgFVnfsIj+ps7XqaNakG3GjdW7Y8MvWT3nP9ZDh5RIag/b+2vIX72YF0lUXa
rkHWcvMlSCTlCExD3znNcACubqCkfJLU742gKdFbLZBEWYkqGui+me0Q6RHOfYX5faM0jV+2Um68
emQplP1oCpOVDBxYV2CF8l7NDi+OUhEPUXaUubITraJzydcQuFp165s81Bdrl1X1o5D2A52WJ1Of
pY9kQe2hRRlJofHne4yOw47R3I/ijtxr/pbpMsQZFYoh8fDwp4LJBVRoUr7RGXeeWuOlgGW3sew3
a2meJjH0AVf1oYmc74WIfzQk8GuRz9jHxicyFYgZPR0tbewWgWUuZwa/TWNXV1Sgdu+06qcJeyvQ
ZftQGfNn3iQMwUP/pha0eMFyrbapN99as38eF/c4OixeDDUNlPyQswTDDVFue21iA5I9aZ39NujD
SZ2mLzEtSDQl+8LCCBU5+ZOq3gQ5KnZuLwLIs4v7ujW9B3tQLnH+zsi/QTnbehHppzG9NwTiDVe7
mdV0kOmbmXdsmrzHaTYY5FMKB5GwtOYhUr7GHLTyon5M8bSJ9WlH2fcP9HMfXvqI3GA9RN4v4fDI
8AJTIXh5V8MuN67l8ACJHx+v8Aej3tjGwzhTjZu5z2Lq8ONl2wrNvcRGObJr1LNfpIBYmriAvt4c
74n88CadTMAHcJ0TX9Pfh/jRiZFT3XbjmvfwnEgny4dq0LlcFMqNHhhw4DcsZzVinTWbxIbmMLXN
A9s6C1xxDtzAAyRZ21dN/vDwYgrHeOsHsowz3+tcf3O9G+l6Apj3hA4pds2TV1pF8+2QWn6cfklc
EmL4nrJqK2rvazIMinZHui1rO0zbOMxT7ecoM9h3XiJofvf8mSXAxvKkr88NfoTKPWR0CBH390hl
xuIlneEKTPps/lRaiAAuMj4oYXcnq+VkteVTEjeOv2Tak5cr7xWhnSrHOU5rzRL1DrvgFidWaZiH
uM+LgI6FMiAmNpClK39Uw7J3FyfsGcJslPetylaIc9X0qJjQwlq1DqRqbgS6ZG9zHKZMCCwFXTjY
/hbb+cJrfGSx/8udhyevpAOHtkyqoGYiWB1HEy8ioxE5q8iAly8b+6eCKG2tQYVezHNVG9+5Wmwz
bR/3ZCWJS1D7faHOk7sve7MGC/fc71k76L4ZGWQ1TBouTGQ8nxV0CpehVegX8PqgyJV58z+ShcgE
FDMvqC3vllOcsOEE9pSq4o3UAhUxFfoZWfUHI9GOvDdpEHnzii2LyF460AidchjIu2NoYR5//L81
j/6/WL6mamwaPLT3f0HoTZeKYr4/p0ftv/7Yf4yMnvE30wCAa7kUSTsMbP+F52WQZFpbKYkGvETG
2P+cF03+hO2q/GOoaJDWH4Yw7W8UuNkcsiAv8Gf/e61r2l/8YK5lmi7wKVvn5sjsqv3l0DNpsAaI
zLBCHE3u43lZs+5qxL7NtDuj7bxDGo3vWaVNdDMPv2i7JK5Kjcjmj7fsn4wW3j9QgtfXgczmWA6D
smn/Ppz9cWgEzqCAVIrG0M67Aso+eCAj39H2A0UxSU5mEzZ4qQUaMosNbsAcpMGoXLJk6jdNazwN
jXPXsTTqXpb0zoCvaGRTTR6859BGY7O0HQzrdYxLlQnJ6u/nAeRfBIjBqqkvUIdn2WXn2ZLBFJVB
JphqSGHIPDriSON4be+Ye19NEbPrwFybWfkTwcc26Iz403RyAk6UmfoWu+x63TvUwcQv8gd34c5a
pW9dVz8ZM1v5aA6z2LhJLHQb06QajTe2Y3P2hqjKl7Ja1J0Tr0wJ+zwCkd0RZNuSPqsU+rqofBnd
V8DFDzEjKlxI6t2nUDecI8sAnA1Y7p3mkQnq3aX+nEV9fkeSh5LpeLSYmStYKVb66lWCx85ypHjt
V5XAolM/GEieV+hp3DsXRqEHO8IDwpmTQLcvdZ0Mv8PLsD0dewRq2Vx8YSv7mTY0sA+LofnEQ791
b0EDs/TkIBZDhA3JUh/0PNsfeVFIAfhOzDJCAvgiwfMoCvad6kNXOltbNWx/MeVjM8U35MGdARyd
d4skDxUDQWr7vS2PTWY84z9ouC2ZG7t7bMrpexTuYerU94Xz6FyrLEGh7scy3c1WetIbw9oJWjPw
dnCE8565vEAT7BhdQP/izfKnfgzIa94RWH+LasQ5HroAGcheO8OzBr9V035WQtwR+z8NQJWJ+XE7
n0iPar1lBK1OWoayb/zKHxldczpA6406FW8Ol2aT2M8kZVQsH6RPGzJFcwIYq8vwZasKtd39D7Xn
8BKpUY5ueSSVEzga9VNjwqFPezLFqwOP/5rlMn8dFzbXuXkfTeDV3JnDNvAHeSAI7jtjfnJKD2Nh
GfZJ/mYP0a9cqS7zcq2tZ2Kpy0ZrVkJRrd7r/cqNl8sB1ebV1EoZDmPlj1nC89E5Q8f3yVDtCCNc
zfm+deuLo3pbWumtTWXONKKv+bpBi6n6SG7YqnBmZJzG0bQ4OkyWn5ZWHrrJjWTnmazntvUOXWkA
J7Oh7HNWSNOBurVoeq0X1ve5/QVbLMhWM02uaO2FdWHLNycvtqlN0BwpCuzDl1W4uya/0cS4lbV2
L4Tg0WjuKI/FECVC8uwb3FskHxdaslC3TKXYc2k4vsrUSOHxQPOGRgVqNNp31aAdyTZeS315ZpCy
/GZw3lPbhkKSWjyIre08A2oV09XRu73OEqZcXOc0lpJte/LDHs2bht+Vr5N+9VS2HU1vXVMvPky5
90EG8MC+4GeVY3tqlvtZNYmD6BVR2QLPT6nKM4XR2a5yJpC/bfawFpBul0i9xoaTBnRNtDY+3E7l
nScbxW794NbphdJQfEeRIbc1PChzJu6k2NaN6uN7UbDJmsv6CeYFcJLIRNdLqD3v6q/K8nxztl8E
3lab/8B5kW0rZhmfeowTg+Wzs7TXqOzfByBUITSihGnVfVnk/OhIGfuTd5mc/lTFEbJB+6Qq3hUE
2ntfWB96r+8GZgt1Ht6bOX8lfCD2fc3fw1Y2s1IFLdwO3Bmg6UzlgbLDwyQ0msgdQCgkpPAhUCze
4OWH1txmoePKg1RdBh+D3Fb9beRiXw7ZpxtDnpNzdCjrBDpExDe/bGispk7iF/Lsy0R6bVNRLNTA
cGgMjwWbSQeSMDi2gtyhc8/7pOBx2jSdx/XXq/uC3DHBH5rIK+M8dTPlc21718/aa+OtnjOnCUxB
TEYVpONzhy+GQGPr5fvora41sMnSPatjf7foGGW7zIGmy3YOGDqlN+avJmZVoLYxM0banRfeVjDq
l3xE34LAA7sNP+HcimyrUOG5TdrYAsAXBYaan/jqHXptKIPBVG5tzQZ6plkMH51ywb9dMqCmP9uq
xlRSPMA7pV9Cie+7Ytg3DtdD6/JO5kFrO5fBMw7VYh5lJ4OiPdoJSR7HTcMKq5Y6R0fbesem9RwJ
3JZ9i8uDZLQst03FTYioya5Pon0NN7muPpKuBMjrvI6tdpjINPaFeZJdH0osS5FR+poH2BU/2EFN
cVjmWb/Jnccmkn7Tm+GMAFn1r7PAEU1psseV7hba21D0V12O4VokzvyzT/uIiEYXhYuSLP40tk92
BKJzNXYn5sQepn11vRZvzkCvsbEpPT2UxXDWnPO0GL5gAclM194ri3GZJ+5cNZF9L+MrT/fSjbKq
X/V8islVEMa5JoDTRiQ7C4tjtnCgN75xd66744yIhXbi/LYdaY1M9fJnEptXA/wJaeYwzeMndZYw
l9jDWa33huPaz4bv3gLoMXPrxKHXWS2lHhNfwuqNr8gLdSlHp/gY3fwd+OBHrGR+l2fnQR2uTmaz
2ba4vUTJxeKmtWjjfdtVRwcJbPCy7VyTpbXEh4iVwp8V84tE09046GE1zRcEBeH3GTgvTwuFAckK
8Qk71BsIqACcecic+ANaw5cwZrq5L3AtN+WkwyGrWGMl9aWzAe0WWrfNXOSYR10cV19JIn2T2/IA
dqAXVGoheaB9SuOyZO4BX95V9dJfozvCl4BEZ0Y8P6t+b09UXLKiTHL1UsVORE65Ocdmft8i5cPL
fBgAVibxSGK0f08uZYHF4DkzCcM2SBRddldjfNOoud0YY/ripI61AcEdlAl/rezmLD7WhH0xybAS
3U/Tm05JmrOk4w1s9TPdNECJpgJ/UBrEXXEyMd3Z7LXbqf3ymiEKetMUm2JMXqxG6bCI9Mt2ysTz
xNbkXi7UotgJhkFNVTnYVEQQV6evVNpjnhXbnEZO4MzWDYb3e5zNQL2H125Ez51Zwztm+9LmdVjJ
tU2hDTD2bm193GMFArL9NPY68yETbeQS/BEPDT1A26jbz5oVOKOy1ePLKC0PcMN09jwu9YgqAPld
4Fgb0vu+8Y5SeDemsmvWHZV09u3C2U4P05Lsqm6X2OW1iSrYd7hY2c4kPD/QP9ThAassDvxq2GQS
rfo5dvTXWKoP6aByP3D3afzESI/j0gqH1Lwtubur2+E8Uac2agQ6uYA67L7ph0Lmdmo0yEyDtZlp
qpB9iNfinNYtPppmwoGEYU829rcHE5zv5lzFR4m3IWsrHKAMEnWzozo01WYa3d0nGEk71+w/Uzr/
UIsH6icx0LucH0gevhKnWxNaL80C/wmG+qCfPHKBacYty+RIOpFHbxhCNfE0WkEMslCSy10rDiLH
9rhZi+dYdZRtSS3n0XPEeXB4IkNSwoYREZqoXVv8UKzEC8p4qQ5RRB0ct2mvf4NDU8F1XkZKyUGu
jUU/f5d97968THUvtFOMyBMVJY65p+4tCpDYw9sRRqgBh61rTUHFLu+HXRbJvWsI+6Q2MWh+bvYi
xAabv1Ss5gJ4Ed7DQvqBe3affAhOw2FBMA95WbG0oK/j6ph5Lgl9alGSAJ8oX9gipeJ+ZtXcmuov
fqX7A3v28qXQsxYKCyUgojH1kVp6Y6c5cX/FBdMe1TITJxh17SPzHudjDmYTAOuyu28EuEWXV7xV
vIZnS5bIg6p19akazfgwKAB3HMjbN/IAkx/NmnvAXMiGXIyFtx+qurmAEI4DnjX1drI8gjte3V3I
S0fHoh26ozc4VDbmVCS9TK3H+17Z9aU3HQ3TxwzibjV0xbOaPVZu77yorTr/qAGynLLeppjYXjAM
Tkv1PhmLd5cZZfPMoMP3x+1i8QWXbABaZlggW8Yku4Jns55YDiQPrB/m+0569Z0mWfqMJs7ftvKS
02y+jLirO3ds995CLVdUaeazYuIQBuA96+8WqfrdBI3JN5epIJPnDHcyXZzzzAPzI7FSJwSl6560
DOUQL3t5I4PX3yygeFe2+NlBpGygWCGwI4ppSU3WEI02l/EePFaPdFeDtxoXGx6Qrm0rMxN7D8Pv
ns5o7ir5v7N3Jj12I9t2/it35BkFksFgkLDhwenb7PsJkVKm2Pc9f70/ZtV9pVSVVa8A48EGPKkL
XSl1jthE7Nh7rW+NCLcD38OmmSBAMEQgHwXwJ/qJUfoSycS8KIAtgKBSBrFTUNbtKYM3noRQyF6G
oF1GYYAnuknGS9Mc2UmLdOxua57M0QCFMabbPIdO2ZbTN5lEGifeupWrwuvuPM2+d7Lp0i5jAFjJ
zpJMcjFVWkhNWPZD0DjDsYRRHBbzNA8ePGlpQHFpJMmR/VdXT71G1NsY6cvWsN7shM3MjF4tuJZj
DsTCjzdNlq4zKjc2BgukGmYj175wfEsHKlw9DmZ+Z2bWHvvIRWK1mFMwyEaCb9xidbkw9erBMAhe
KbT6aZoQLY9+SEWZMjm2untPMy6LESWmxkoUBvFpHLS974yXTuh34MeA4UkNYGuadfEqnszLEfEj
tj+QK1G2dsvgXIZ9vckjinLE2AsoKJuuajZZrSEFXJMg0wbFAqn5DFaFruxs/CTDQl3f/7rZIezP
QheHRE7kLQyabIzRjqG7PzVdbHi1UYOqbWcnjxzzw+M0tHAYkD0z+kvGg25jiBhyf7pmfQpu+tCW
d0yqo8vKK208OnbWPTlxl35VH69KPL814/z+yPlNCuZ3Cry1tynn98z4eOPmdy+HA3MLkIEGCikA
53Z+R535bR3n9zaZ32Dv42UefFEfWrqJB9/jXR/nt96Z3//KZZCdplN5Tt3a3fZtL+AF+6SUACwc
V5mBwwPFBrml89pCTGlBSg/rDdGmYqHj28FM0os7pIKsS0ZNfe4HQXOrR3l9q+d1esRTWZH6XDWX
2G3Fxp1XOhN/OOmNrH72vA7KeUWE+2K8m/MqWY1NuA8I3XCLMljHH4tpO6+rWsjsLf1YbNvE7Xdj
7CARKKgzCn10b6wIKmMgzPihY5yxc/qe5Vtnjn0sx54gcKAq3zxXY16FzUcUEZv8xyYA18fY9vPO
ACy1eyP91Dnn874RMZr4rs97STXvKvRz8gd0Ws2T9rHpcDfzvQ/eYg33IiXHgt2pnvcpTyXBHg/2
KZ/3sGDezQy2tdALZ7rPVE9vNAmPjnKhuZSmUT/00B2e6DRDUhnDxHwcpaKplbZEGPTuAPllFE60
KXwaUDHP5rq1IQNPKQWcCTIcpWgGwDXJLoIgCNdmYQYXBYZmZgcluBZL29la4NZLixiiVyuVbb5D
DshQE4aOsamRxCCdbj4+UVSc81Xq1Ip9GowAD1PGaAsTeXKVZ5H96pSmeUwjFomtjVexXOClpVJI
mzmaUtlW/FXoxXUnEtdbMQmU5SbwBHUJp4Ulos6Yhldqg6dgBLfQZTGsEfDdBJw2d71mPVc085mX
d5wkJurKiccX2w/Wy3FYu5p3F0XlXdIQ1671UbUihCu96PWMmTsH9ncOMY+ag+pdgF5a14V134H0
XHaaKdZ62sWssPi3w9JPbpze1k5OOMRrNvp65elxeKeQ8S3spo4OgW3fhUZ055RhAMfWjXeZosxu
U/3ggxZZZ10wBBt76Ch6miRedcJ+CQ2dXgkMyHHUYgJTkKkIOmZr0xhPFfXHok/54z0PxjJS3ZNs
jfyQSWJkMnuAVlXl5rYck2pldDg368ma1ZntMkEQDuAR0jvNVNoqOrbUlgwUl4aibg/MVIz+vsiH
mdSW3fZawXEM5fTWatvOWfhAA08BEzXGfqDNmNIx8yCpfSvID9gg50cOa3X1pjN510Dtz9mamF81
nwwcQAQvPZi8/WjE4VM4ZS/SSKggZFFtE+U029QFK+9NSctjhb4Bo9awBPQWLhDkwfnH777UQTwu
m0gCtMXOT2lRkD8qrvDmOitfUDGNwRzXjnrhIfcQ97kjp1ZvPg/UbnfHz8m9LyTifmEK67527OwI
9Mnbm4Wr7wq23XPuqTejqNO72AR06gwsKMD23jjFfI+EjTDaNpaDERKbqPnWRZGjDyatCMSxG7zV
LjVFQtbiIi5riC4EmhEPFX6F6fPUJ89gQs4Nolm7McPlmKmrychNgnyz73Y93YxGzgDUaVGLJE0i
FpoDPodDh39RV2a3YqINJ50M2WUHFG+Z51Z1SxiBfk/6RM3p1fhGuJ1Yw9m6V1WyMyoWLo2hOyfj
ApIF4paTr8QRLiy0HMH7NVRsEjlm5RUNaaDXkqAcoDElhJ0u3wemBkyg96enyJkPmf5M1BuISlkM
tYKUFDXdBFUxTlfCtYKlakkGtiRNL9VExWsUjGLvazbJzT10TTDP9SW4i+aqIxzuCpHl8NVj/Tka
JmLeYa6oCBhXp3KussRcb/Uflddcg8GgV3utz7WV91GdseJa985cslVz8cYc8bcpw3+ZFvL/1egT
RILOL2dYu9dqfM1eP82wfvuZ3zWPgAvwFuuogNFOW46F5Od3zSODKlvYMGz4CCSROp/zR+iJ44JA
gIejlKCBwuCrztsmICRSfbHxgrloHql+5t/5B0wDNI0/CXcMhJWY99FdWjrSrZ9TT6DVBGYcI1KP
OpwFSlfkxKZTlhL0HEVPvt20FP0F+RA2+OOFy5QaZgxkWz0uu13VmS6i9Kq5dZnHZDCZIveB+l88
mX2mLqZJt+5DCdCmZ4K3H1OQaXmoiYu2wr6d8d+dnUqlgycnURm0QGMh1Z7AddZl21zYiW7eWcS8
gvOcyZ6squa5cuzkzgQRvnJmAmg2s0Bh7cSrduaDNgGkUFggPm4Q6KHpzBGtNMd7gIkXnSOq13Cm
jRJ7CN+K4mQdzizSaKaS2sxpmOEBwhHQDvZ54pA5D7QN5BpenQs3FNk2rMGu0l5L2HKY5oDPh4LU
IHhixNFctIbjrlzMwk4g5/LChlBgAUoVQaAdhhmeClOlu4BtTO2swKp2jd5Q/4BajWboamla9d5P
SMtVM401gU6/7+AbLKxEb5FyyAuvrZILGzDKFhKP+2xUFt5+LesOdCwsKM5lfJnMwFc5R1w0VTEu
khkHC/6bXIcwIhswycFpBag1m0kla69q5IGTsnnvxaiasqaQq6yp8L0Oadw/683gP5BV3j+R8Fzf
uR4TEoOkPYgOzlTQnSoNWnijbqpwb+stkRChCPTn1JWEg1mABQtqMDW8RCNmMuZ3VniVOZ13Qngz
HF0NSmFV9M7IWXJywlVOMbEaq4RkBZ4RzVlqVkKYwazIOTldm3436FTuvHl1p54y5I7eX4aQy9LW
3iDL22TkvlglJqw6VN/HIcquwfVQyw5gfeMZ8JvOqN9hhv6ih2sfoQyGD7mOGbAutRvTjopj1PXm
d21g9STzhgo7ass2X0RURddkCr7h3n6RM3WYcADgaYPyEKcLuWr7jAK4YdRrYLMRYIuVKgB1zizj
IIfeHE71eBjKSV2i5wABHt8PQQaPq595yN1MRq5mRvJoQkv2Q7jJ1UxQhgO8Nmemcq7VHFbFTFru
Z+Zy39C5H217OJRgWZ8DfK6oWSY4zWomNvtFEu+zuO9fUheec+91wyKAJ8oQDdpzL8p6FSIViW15
HQ5Ib8TMhnYxGL1Goiwf8AME22pmSFPb0qFvoVZTF3szMxZY9tliUgCpVMwU6loCpGYo7R9FkHfL
SVVoVwdg+KFTFI+kkaP4CFK93ZmlqUX0nIoYPjt6q04fo6WXWsYN8A0irmNWBwgmctg1Q5DzfZkl
mIvONPoHRCXq0Ob5uMI4nZ89BSHABml8GU5OfS6ylmZQ0FSHulMV0hYVyZAAtcI+x4EfdmsvIR4F
7JHx7hBP+97asjxj0BqqVY/I2VjimkvWXUbrbZXVNXJrgKH9fVgFWbk10BkkcB6IJ1q5o+Gu0jGy
S0SGkTwyOSmDVZt1cm7otOs8Efqm9ZBdrdjTdfoGVuY4yywKinUjVBduJqU5F41joJCqWIqfFZ5x
xD+DPWaoqSoGjiMRR/D4SIJtFlVoA4+twHifyI+ZqfMBmQwkmrTXg9Zlb3U62cPSy3zzxarkIHEJ
18HzkDtU9iyIqFlURgXMKNhkWDdmUFiQiAvn3uC0QACe0T8hFpyyQ+gOMGZ6TFRUFAxNtoiOBYcI
N9S+Qn6kn9vIQj21AXLctYsb/0onkfAsctoxS/iBYOHJt0ngozXZsGlNSM9b1K24smFKas92MBDD
E+cQzkmlqofhzNwwJcE3NItqKWA/XQB44fw5DI0Y1j6FPGE+87ljO2aQ/tHDy/w2tDsCJHvscozK
vKr+qqNvRUGPyy04goEzm9si0LWjqqaUQWTRVGvF3GEE5ZmOtwxHqUgtM26f0U+Bu8RiAlaRM7gF
x6EeScZqNappvZZzZZwYtN2EQK9sJrFxICbU5kDegNeB3jN8rzQ7e2yrvN7mTj0mjK/J4QEdViY3
Yay8xxaJwjlxre/lqFWvMuTAPAwAeSbpWxz3ktzetHoKvE22wwveU3L4rLazX6xWryHQpfG41+15
LBCqxN76RqduvNiZ0GPOiN/FaDEVZGZU9Rsg2vwDQME32zhxG8b7apw96Cy+90iahyP0Qv9Bx1Vc
LtqEeOSCrn2PwLnq3w2HXUW4PcwwG4PbOgh6edbijhNpYxkAP5q0lXtNS3jvK16Ep4ITwt1IuOix
TxXY4xRR4UBIiEUC5OShy4Xgb9y3dRuc41Qy7UalDuQ1s7PoiWM231klTnqwrdrKOHFySIfs7daH
PEnKR8eOUppbcOCLpafwWRK7Jmir044WJxys7bMmEoNTgF7zBYHhJ28lqWBzvz2aLjKt441pPCN5
hObYHllDjVfdaMZHBqTOPiEVeqTrPUWsvZx8lz1/Ndr/fGifXX7+uu6EhwYidvutklJ7xl03HM3R
0e8hsLPpEc+29cLMffCnQbvnuJVcW2LwgZ2R28boR6RnkdClW+QeV5ZFt7mMPMvomKkFzUPXWWOz
mkKRv2hxXuw5m6AyL0UhbmUYOGj7i1j7mpUN413Hpsu7GNALk0HmYSfZuG2TvIZBMRGUSIZHtY6a
EYFHRIpouY1M+hkNgOnbPNOzdxXA6X00eg/BXTX26iYSUeBvVD9yJTvE9/gK8/jKDYwp4HJhNFxa
vuyPCFMFnNAouMaXG9Ilc8CCViDUjGhKvnKvkHCAHy0emGOyC3QN+zsNyBtgclpBIEE+ayRLDoiL
uMjya03F9F+wLeoPRQSzdznRLzt1wWSDMMIt7O8I9HHbE3KdiqSK1vablUewwqVexnw6ThLIb2Yc
IC6ZB1WpO3RoNBOuqg81/6GtB/u66Wd+VRFy3yNa9VcGubXnadBZUXXHqm9a4M83vePRam503dzY
leHwxjMG3IcB/JqIaNlyabHD8WTIUe20qDU2Rm5gOBVdjL5i0hsqWoNWah1V0SXZTh7KbCczXydD
5Q8atmzoRXatX9jVwBUh5IVQNx3L86KwinBnDL7zGoeJ+MbUna/lu1Hz4BoDUuQ6gPWtLOV/Yw6c
0Jtr3YdQD/Mt5mb0iFpD/uUEkzsZpTesNJlMW6xJcsdOWxC6YhvMb9NIH9UWS4Z78tzBOQ5WI1ww
Uxw1VyH9mJcemkuOEKgW35PCTd+9NhIHTpn+16kxx3Hp15N7MgdxERBovSfijW3+o1v7/w+Nd2NB
6uXrGxqSVVg3Vfit+XQAlCxOPzS2/+SrO7ymafuv//aaFv/9X8dXiBph9Rc///sB0v6iHF3g7RSG
ZUmccP9xgBRfOAnSBv+wXli284dpTsgvhnAlpDyCyF1kmH+Y5oT5xVS2aeBzsoRu25bxT06Q9N8/
nSA11ioeVP1PHlfoYr7RtkRipR4rFpFSPZoP8A6LoA27iwIQdL52PY8IAkPrA4wTtRWv2e1LtOyd
t899Hx9ooOQFjJlgpY8ojxLoOzvAsLQdG49ip9B8snFbaXQrrwZk0nuCBljejPvUJG8+4TV6HNyk
3qqGDawu9YCJd1VeGqQ8PUKjZq1UebBNjb5ZgoKIj9Au3X02oYgQIdOWNAuqQxp2FiwtN3xFMWGT
7cVxZuVFhUtiek5x70RWsY3TON10IznC+CGoaXtfMJQrs0YssDk6p4nsFti8+dC8+8ohrQBOrXnX
ZFp+04wQy44lXM/jWDnmqQDFtPGc3NuOgfVmRRM6TQdrHoKMZtblmLDvPLMAqBfY3rcEJAmbpWUe
y6grVkOdTc9s0tF6mBqxM7xYHmIVjHdtTBPiWCNNFks3IeQB2QX8INanVJ6zCikjqUwtna3eO8pI
FV+Jm+sWQLM19OGaQecKWqxb69U7A5/4kSlD8eiHbrvTrcJ8UgFUM1CHAdUiAontlLArLQkAqL61
ovUOAuu8uQ0wBIPiCWq57zUw8gtwgtqdpqVqOE+W8vg5pgnfRwNyUcI5n0lUolVH+PzFq1bgdVmY
Vucu8QbhhNATfeVNEX9LWGCWXLaiataU59oum4S5Zi8xVhOM3FUw/0lEuiMizLA1b2yTs2LZcxdW
ZiWKhzjkxE6GR1n491jLHULLOpMSfLJB2CwTxuBEyZA2fJnaSuzdtAyuJJhzgGCVR4JFkfdoSjVQ
dMuyDcYrJjbITiuOZhZ/pXlV8RVf22jgFCIJCF1lYykhgmu0WTMadBuPg7a5yPiUfWBp4wYUsPd9
LGy+U81JmaOHEbiMLXhUAnynpXlDC9x7RSUX4730NP4zGOZ6AntF0rU7uvYGfMTM8GhqlLN5dZ3j
fKlg+BOMtGkn6lyTY8VNaCX+d9oXTEc9gtNGshHw4jDeBLGHn69dFP2EkNZ1krbd0c3U3zypja9T
MBn3hLA6kgQUQ3zXXWpu2soyL+GEpzWzB+EQDihCAmUXBaP/7pzSexW0vgm8WziJmRNN00lr58oU
yqypQV2+CsJpHhp3FTitMaK3icyzDZjaOxWmxVARWIb1NYWlKOuMDCm0agDuhlZ/Byebg0Wh7U9B
ipt/VfoZ3EKNXM+DgU+oXpAy4N4kw/ANcZlFGz2X34hVT3a6njQ3A2jA09D6zDgYcl5xUVxraTjF
8DBoEfpj4YT7FGT9vhgJWK3MFp50YjfupYpd8xbAUcq/dQpIo0t7TOxczKRhvD0R0S7HKgRMYLst
3X6YAxAVNf8WAQMtlq5w3yszB9c7NBq7vgqDryFUmq++F3XIkb3xYgJDfgX1AK74KNOryJWUMrgq
MTJaxmi9aNUIFr9RIsV2MGGhAvqsc2bN/Rf+knQXBbp+VUdANHrLfaFELtbgzezT1JFo6xDnR3PL
SU7NKOSLY/kqglAJDV7VEbG3DfDhdcFggmjWIu6WRgzrZImyU+45/OUHjvhFsmJywV1rlOmdokgN
O/IDHPIZUywdQ+F4J1kbCGwqTSdbraxUXcyHbf1VFpZ7b4s2XVOsu1BekmuoQ/3SB9m96Cwn20jN
GRELy7a4wxXqHtMiGZbYc8NvuRlYHIymca13rb4VFvVfF6HTkXWIKGjKcWOFmlwlMuhp60M351Wv
1vm8pmcjx3REdNrB9gfrOUHcROBkYFVb2VMaAbYLLzTWvXOq2waBHSAeAyaiKz2v6hvJOn9FEImH
WSx3hmVHjgWTt8C6slsrxhKlBe8GemFGhGHcrVvHdOEmD9GOEXW4azMCVzLLx7LtEpRjgWLPQYGR
Obkq+jSadf/gswzRT19J76t3UZyGN+SRRXvOX9dAHt0EpSnvLCcG13xm33YJuULOv5BytK8nndK6
ww6Df8/V04PT1GN2aTHLeYiGPPgeoWC/obzz7syC9iRvR+9+xTGLZLKuLLhqYFb7NLUfye4FhKpP
DtiLMd1ZCK/Vws0MjfEYAFxckr26TgehTkk1gW0RU3/qKs2i6xgoc2FFhkfoLbGdk46M2oXogv9v
EvuGYFHap0bTbBREoxup6nQdhh6qWmKdqndd0jO6MFU3vWo0F2a+yYRTUY9zQofEMJyCkCh5fwS7
PVK+nyYn7Z7N2o82uoUGmYMDPBE3zec13kFpEHpevDQMKzuUsSguJsdmzDm5pfmOE5rxrMPyy7ke
8qTuMH0rW6f+BvaRiJQpA5rZl9phcqb2PXVYkklc6G4ryO+ki1mESgvlOwe/9ONXhr7EO6Ce9C+h
Zui0X5Iq3ICfEUu/ssW+BevPblCo9qh6wzh2KaxDF0nZthBRuCW9hZVO42f2IdiNU156w1XkBPaW
VMjoUNtOydVsynuvJ+spZTshh2P0dlDI65teVtOG3rW6qyO3uwq6XuymdGS/Btt8dDT7ItCNbF93
mkUxUGMjQyGpwAaZ/tf/2jL+/0Z3EpB3quX/vTXp9BrXwetb//5efKrMf/u53ytz64tBDjgRloS6
OkK6f4x2zC+MdXRbtxzpCPdj6PP7aMcwvihduiBzFJvLJ16188W0P+YxVOw07GfSxT+Y7cwWqB+8
5LZLaKIylNJnbo+jG/OJ5EeahSQNMqhEBkSuTw9uWm/ZypOTn1YvTc0pm6KeFjA2/Khqt54DFp1R
zEMAOf8Ev+tJ9NFzW1ScbadxSxBvCw+quYrYfJf8K+Z2PUDRsqitZSWTp8ZhqdLd+KmX+crtRnA8
NlVPaxeYDxBu9tHlD3fjL1xPM8PtD6P8xz/OAXnD4N4RAMGtn/5xEeTQhjBtazUQCGrIlvHC96wq
rmB3L//ZJ1nzgA5kigsJjgOYO9PmfnBX+VplqA466qo2qEUJyI0yDQIHHpfCX/36o8TP0zjbmldZ
xoSom/gfcz5r/fBZ7K9QuFicVpndfVNeCY4xzR6bkairyjX2HiwMIlWRaOmlXaxU19ZL3cbNrHBZ
0H5Dbjq1xdYK1TN/6i7L0jMAu2klZfXka/0xt9WrGawsfFuMt/OvgE3HZSE4nA1ZeRotn7VOhvAf
hE4F0NZ7UaPraDp4qpYe9qvAG1/tbnouy/BFlCA0kliXf3O5/wTK4B/vuFIHkYXUSzLl/HwNPKmC
bhSau8odB9J4tjBSwp6hsIE887Zu/lSkNptIh1MZbMjcRbS69C1he/71zfj4oD8eMcVdwNYn8IDp
H0z6D/vfjzcjGAY/9SVFKoB0vEAlBZKmnhy/Zgs1km9JGx8hLHGISY5VO93lUMfhBqgtlSzIQ9e8
Fm11C6JoxXhqSwX2OkX+SzoamymRN3/zZWfZ249fdiaKsAhhXJonzSwun69aFsE4iBmdrHV9gnvO
3Evp/Z3V6bcgkM+c1O7qNt8TH7qbBnsblvoD8zfCZy2xQGODKCNadca0UI3BSBHtzCzN6YvKWvz6
e/7p7vI9XekA5Wf06UpQF5+/p/RL0rlCpa26MLkt0DVtqEvwA/U4BmVLvxr6AVZhhp427ey4ml46
GHIjCN+Wju2vv8zPnMifvsvP0ArdLowEfLMH0Z0+coEQ1zUWuoe70DG39d9+3Mea9NM9ovXL0wTO
CJmK/tOTrQi5dKZEuSvRTNDbfMRATgMGJ2VQN1q3hp+YGwjAGMtyDazknG9PAtze0oMXNQrBnNqr
1z5gXyqS7GmGtPi1u0mj+m4KaW6YAaCdll7gxpPhtcvUDcMD3n0xnagXrV1kc3ItjKykFYwPn9PJ
uvfbo+PinSAOPl1bVjk7rfyNR5mzKADi7BDmEO0tOS6T6IsFu/IFw6zp6tc34vNiTvuIhwK2nG2z
V0HHmQlPn5Y9oScQQ7kRNDrWk+VvouJiiBwynf8GVGL++TWhV0ZLjBqSDxLyp20D2wjDVo93WkSK
sVH8nknk+pZTYChzBaG8NSbCob+1ymnftOMNcWPPngPFCYnOS4UtIZP1m6/AZqBCqxJaPE11HvJk
++sLYv350fz8PaksfrwiOhnQvlmUON8n+zQa/aaOoRrpUfrksUEvlN4xdoCWw0QvIPRhyM7VQCCf
UxBbNftqsExpF0xaNKZqpQD8EXbnqq5SAib7GE+d42390rYOE0ffB6Zg+bIom4su77uFVbQ18UnM
jDW6UDxqfLCtdzRaiFdANWYhtO2hRJPZkq5zcIOce/LHoYlevQAp5FD048so2weTonw1UTl8T2kT
cHD2K8BCpX9ETzFt4iB5+PU1+/NDRLUjLaoetml6n/Ot/2G5jhuXckNg6PSld9HkMYtgtwyF2nqF
ufn1Rxl/9VnUHAo5LmYAafy0Tw+RXra1gLvQgdc/tO30OIWFOBYV07agx9aZlMyos/Fc+999FfbL
XNRAi1022L7JEVSOpEozRK6uCBn6my/3uR87v0yK0SRvLU1f3qafy74k6oxUOuBTozQ5jAx/pHac
yvu/uQI/Vyp8iqO7LGKKzzCIIvh8tStzxk7aiU+rhkCFYW4OyDBezXLjKQzy1Vi3N71fFK9JKe+j
fryWtVjTKrOWysradYnLj5ZBiHW3Hq5oAgWnhGQFeMDK+puC4q++qe1YbIo8FvRxf1pc8Hx55L6G
3sqxc1aVkD4uVmI5g+d9WkSYu9RG1z3k083f7C8z0uvTeq8cqhiHcbZkV+ZQ+PkadU7aTLmfe6u0
UA9er1hiOOUB8xWZecOUnOzm8m8+0virz7QN0wSKxw4r5E/3xU1xz5IjgxCp9LapOSeChcVwKCwl
VmZIaZ+234K4uy8Di+x3+9Wc4P3AXmHG4S8DLc8vnCEjJlPsDfDZYXT36+fG+tMCTPYz9R0FrlIk
8nx8/x/e0kEDfaubjYZFuV3RjNh60tt4Ea8LQgcbD9CEIY2HqB/M75EMDi0ZL3VeDRs0+c9VCR40
sq0brJDfoyDApK5v/C4naDcOr3o73hYBXlGJttYt8m82+y0qAB8+sObuc357Kqz+wEQSOuhQ4+ht
y00s6/cx1e9aos0NcOY0VnA2xBvL9/p1J0DV/foKqM/HMt5PdPgcWxRFLu8Os97PT0UWhg2njUCt
0Kvcmam8pi2xU1mnLYpiAI7kIl2oZXAuBj9ZGh7/DyBZprlYdBu/vmmq/oZQCTYDDbJ8GFvLwazY
4BWyNmbBqgTNg8EAp72oTn7dQEcaWbxLrGRVbxsLlcbMXQkgp4XyiruRSEvfue0EcjIzPBskwRPd
uq/Qs3URupRet+ktt9NbMI8fiG64qNpw1fFFDT1FbTachig6xYRHM4mXr13TrKDw42jL+m3T2NAX
IOxyBlkPbqxmDNG0sTL69wO09VzTjYU++9+adFihfx42gVUvxYAdmt86kGL4ra/8yxwwwIRWr3n/
m1vx8/sJOcTmkK442s0Dtp9WhtbOvAwXCPWYuSynnSTbIQf6tiAa8beb/n96ELp9zy9e0/f6f3zq
mPzPz7+sf/u1/57PY8VPv1h/BHZdt+/VePNOomnz7/bB/Cf/s7/5r/f/TOwXmpZfjzgv30IaKD/2
Tn7/kd96J45C/DqXwgga/t0h+U0W6xDoRVPPkoZuuQ65XdyWf6NdTELAJM0TW+lwCziW/4cs1lBf
wIkadFxcw7XYAP9R74QX8adnA20VczvUufQXUObOQ9cfq4mws0sHq+60KZKckXyeyoSXcCC0Ce99
gOSGyrstDG/tphKbhEnuxsnA0bhhsymPcRQZqBL1FDGXCHHRewWwLtNsFK4qdoJqa2aSwtEIA9qv
Oc1KqHQOrr+wrw7kq5dPGCsTXrc82ZMPGOxScNY7XMHNukNfsysZglyGDGYBuPhN566ksFr2lthE
KIHRE8KCaVVVtsekYB1DTsnuoi2seu21QjsjrQLdrscs+RxTB+3dA8mJa7A33K+hWzlLNEIYc0hb
OSDKxNOaxlN+cqSwH2vdMQlX0fG4I/VQTOeqENbdysSHh+0/w9bbJM/9pIfnsArvvIoJg/TTDi2j
Xb0SBQ2OxiyDG5Sn9i0Ap+Ssh5G5HTqtXusMSRbhmAXY5DSNU71OW7lKNn6eTWuXS7c2/ChYaiVI
ED0L+psqm/M2Xefs5ENyNP2GvJY6fjP9Qi5aOw9vPEdG+8wo4KWpbnzB4GWfAjnpDP90kGbgMmIm
uhGNpgNRqhGyM10g1KhbErSJ/5LOUWuIL15w0VC0JomBhqkYesqHlFnnveHDv7SBl9/g6E/cvZOF
kLv1yC8vYzGM0MNSs37NVdCX+77L26Pt04hfgKr0LnMnBaoCuo0U5LRiIHsE0pFAwxuLABe+skgu
YELkXtWdz/DJbpTlbLKRhncNZ3zpFUlK+xy2Q0iUaUobnmKfHb6Powvfrc2LsNOiFw33O/CdPttm
kYaoEvRMQraw69wXTS3XsnGGE3T0jtAOlXArYYyNC2twGESZfdXdOkYeRATuCPOxlb39kBdGBU6j
r4xrF+HnpW3SellB1MhJila4B12rp+HXduNjo9OGLmUYXddhINZCgzC2jsJx9E89/6RuAzkgxxuZ
VADObTu8CVTr7BoV41SL/WGTyjRNll48r8iFys+JmTRs9bdmFdKo7DvGDMFD3hM7lMdjd9E2XGMD
Su0zSSDtlcyrbimtgJi2KrtsBnhM40h0aztM13GZiHME2WVjM9VdVmSen13yFNJtwgSOt5rY7W1f
VbRIx0xjJF9UZjWtIQxU01IrwLVYjFfeCdZ4bkRSnXCgZGdgYgPC8x6IbTSpctfWKXAykCGHbKqd
Giul4WFKZ+REKJiXHQkuqpiN9lhmkLiF6joLk/rBQE/VLIcgUecapsvTYFoZ1JaqoDJWuA2PsvDa
Yd87Zt3us9K3Q6ZkwhlfLDJjxG3tMA6rZZa/4dnDfgPxw7aLk8Ozj//NKNvQeNQAsw37IMKtgK65
I9UsF2TpfRM2bFngM0QMM9gUIbcij10UkgrJHvL7UCwJJR7vAzrNK9k2qMzMAbpvkIfllrRRkomn
RrYRWFqWaYCu0DnWSrbJYxgO/bZ1K4IxWOwf2tLtTwa5SxeITbP7pJISzSOILWb0yaC/KUUHrWbM
emZ+Gm+6QPM2XRMBW8zGSVxC0xq/Zv+LvTPbjVvZsu2vHNQ7BfZkPFQBN3tlo16W7RdCndmTwb75
+jsoyduS7LO3DV+gfIGTqId9ynZKySQjVqw155iVp31KSooQp6wtyAZo6DwpMctHNVDOEO8Pg33Y
jLCTzSJ/8Ns6Px9N23uMlGrYxA71TNn17TLTVd5Y85jOYCAfzX6NfdOqrkKF4Mq56VQukVQouPuL
AcB+y2EF6dmKmmEEhYdNYFFnJWViiOjQ3nh6z6krbWjQHLLUkfpxijgihe0bdg2AVn+8grChpzMj
QKqFgM42A8pgs7TXupX57dytRHzorVxhe/Hx8mkByN+x4TgJXy5fDwKklypyvsrEP02qNNmXbumj
k+97DuumP0Iq5QYkF09uG5tQu1kj7G499H0KmbHsri08efua3HGSoE1dfm6I64MJEfNIzKquR/3v
NIWxI/nIHVf0dxmapol0ok1MADUkhjAd7lWzoOfZEtxxFxQKZnMZoaWdSYcxIDQCNRNr25kUGmo6
IDIzQ8scZgjRkovKcQithb3jBDvAn0G4sBsya9nB8iwkeVAtEZYGHV1KyvRjDL1md0iAv4DesnkK
KiXd5YxwN50HE2lGXFU/j3KWSSI16gunb+pVlUDBhEtwYbZQ48Aqes2l2sdmNvMVwtJph5WQJPE4
O9VMh6N0W2KuTxYx9JObEjWumJu2jOArTtbhZQOo2EaqpybAqXJoi8BMhkdfE+o1g87ukliQOl7k
7VBfYlkW4JbJ9+gV3bzQqsK8QbOf4qjPzG1lEYRjRaW/6LrhMIrE7OeQoEBnWvF+xD6s1zywsHeS
8SFNcL2z4UyCVX2sbOskDNJKmad8lbCxirQcVlXZKdnaTEzC6fJyaFZScdPh3PDV4NoKUPPz7qq7
A01n+2tUp8Z11Eesd7Scarkt8umEUaZFfapgUPOAROriRiYi3Wgkw+ez2FRpGVmK1nqcDD0EiHZA
vTZDwkJAaRVXfNGhiZnmtEKXiScU1i0k5Vg9LUFPDDMmB3ZLj3HIqCFEL1GpJACP0iyFRjsqC9BI
I/NT36ou8V8qt0DZLSIjmgqYE8neLDTkQE1R1XpB+gta5lM+dbH1ArS/G1uqHREfQVM9VkmgwrLB
jgdZnSOns8mHOiPJrDGcgGy7IqxAQwQs2PaoATKJ6rQ7OL0qx3me1dj8fEuTDxoH1hhsY5tvqwBN
7tzsinvogslG4te4b0zAHnPiwSFr1LpiAYGxIJrKnGw7GrKq/8misbW31KiFopVAj1WHKjq0Wn7t
dhx8EKmFPo4emva7tKwIBEvbqCEvPHtg6oDFqPPKj2OWE2xdxHznbWM3J30sBa09NYVinMc9a0pE
8zWx3XhYIYUu8EuPI4+8NwVuJEh8YX4XBdr2huRyuhqcd1a+pU++HVIRZjFsG3+pIALZAVDyrxv0
N4+cHgwe6bZL8mXe5Bgh8J5y6zHzKBYj5qGCVbnBg1FUpj13NMMWC0+PUoQRjfehLcoMBXNQrkt8
m7MJ/4xui4S3cQjWFKSbWI3tasY5NVuB05JYvEb09XHPYMJwuxyXbmYiD3FYAsM0rm5Q88ILmZKG
2PdZT2Luyq3vGt6m9hOJv9vvrkBZoW2vPdyVmtmj3LbJbq1Ktbjzy5R4JKgHxn2f5nMcL0svzsdP
TDMf2xBdNqZLf1N5eotBhOQV+GKDa4Hwz23CKD2aJoRxBiQxDoE+ID4s1Y+ayW50ExS5ks7G3rBA
rNvu8RiiBV4Sm5YUG7+WkH87waGYhTaL78hoZVI1skAs6KjiprbdQGlh5Ai5Kdku5jV7wDGx3PIi
F2H3AfkGDMUu0bt1FVFlKkG2a+EFKuDR8IpulCp1+1mZZWiSsFJ0Vy5ANKjoQH/RKMQgDDSKBJ0e
AFFQbaw8lqaCmI3+A+/du+U5K5CqzxvVkPgF4rzCuNGJvalqvrJAQAngNMrKS5ryiB48OyZXrRuy
4rMdOhMKTIJIX1CgDZ9ct5f3je/wdDh1VogdDx6FYZgF+a2wm+oKhaaxZ5akg7XVqmvXcFEjAX9E
IG349sA+6w+AN0JFrAG79Rvuno7uTaA2DyZqdjBbYyh29IxSOAK5I6ehdAcmWx2MrIVmTmamruoB
IPgUNpxSOf5HJug2cowOZ0PSJHyBdW7UNQZiRbsVbtVsNeg5GA/TPJkN7lSCtbVPPZCSv0ZxYDDm
oSasEI0M1X7wGHPPinYgfmHUPVWsg8xMH1kkotuo65xD4qoRCYx9kS25ZmoOTTJEI1RrwZSznnne
QsNcDbq63fGw4mALCV5opUG2E46RmWvEeLOtpluyqkJid5DVLkJHwIPS7MgI5hAb/OvIT8SDLySP
dhnY8V3fWNG+lBbgASfEa8gQotTujCZEB6pClQyVGFrEwLmxMwm2zPV+V3rIIIsxjpbCCJJTIxqz
s9yxI53RpW/PRZWwsMgc2RHTgDk4l+JWJKozEZutz2EcjHd9UjBgkuSJHQaRRXdSz3Fr9Il/2ZA+
/5HYdfUy7EBcgy1P4WtJ6XVrXcsqbCSOXsdzHizk9higUJmFZbnTeSyWfdrVLgDKDX6/YZ5llyA3
kEUGfO5zVAwurBdptIvGEc5u8LMEoFNfJx+qwCDFbaS4WJQALCCTZ1XwACaGYjEngaiwIOhlpTH6
eCuzYOfXojmzNS84TvgCroTVJpesF8C1DD4GlRHDnjYOsD92bLjDOLRXeodcjC/U4/j1yYlYbXth
+pdFPv5Dy/z9zACZiEofgU4TPUBBfPjbjoK0LKAEKXrpwpVwOknabWd9bis7dH7xiFPem8LT/1Ks
/EAj8X6IRP8fEQhdRqHSqrefUCqveq0uVIrUkPW4xvwWnaP3rE/MYJLNEn2wDZlErrVJev33P/R9
A3r6mIYxtTfRXOnaexitHmo5TMyYqLHAT/bUNfUZnVR63moUXEEnabDgDjaRP13x3M77f91kO4T3
WLPyL/XbttpTq+w+l4g24Uf+z/9HrTgHpwrT01df03d+g3X+phP317/4S8eEQ8BSgRgLhhVPZoHn
XhyBPTatI50JDy5gjOh82191TBYNN5pzQoPy7BhP1OEXi7pmHsHEIgaCpioDqMmX8LUR+XLX0sME
CEAL8wd38XfPDb+YioIJuYBNmfF+aq47XZtZSdctI59QzR4rAfOCGn22hrtFSaP+H/IjpwnJ66nN
dCEYRcMhs5hEf/fUJL5RxVjPOwbRVcQ5yf/SIqomkxr/4qvv4AefDK3Y9z/Lcuk/65yH6WySX/Sm
y4gXVTewh3fQS9QY558FKx5LLxxUXZeH2PPbA5TgaJ2QILnwi1IAjsrbsyrrY1xRJiUGpBdty8GE
jSueHBZoGPzyxuSQ1c1Cl+ODDeRi26h6dTd0BHnNK83hyBv1Lnb3dEzI4OxI3VFoDFKuxNpV6pZE
SANWLbRdbZbqGZicysdTPXqcnxyTTTHIMVB30XRgTZovTY/0hlaEt4gzhky5l4xnCDHB7dcFoZQF
JmjclXV7HtmjsiuQy7abwmxiarxA8Ks0jufduNSHoHYDSm40VomDOY/seRphpLyt5QgtB4xXpBS4
UjvSASqT5sAMU235JY0gDzqVfQwkGXknHa8lOJ19NthXaJliuSA+ztviqx13Icfss75P9n2gkzjs
qaQKhPKjkgYR9al+HpkjnTILmlnflDN4P6jUZUl4u1DKPYnrwVwF9zL3VCrbRMNlsVBscqcxLiDt
VaBuwjj8iGeCI3gPVAffR44hEwV/3zonNQmEgGSJMAxiHGYaATYWdDCaQcM69vVzjYypSlcuhqJd
WFPwvK3Rh3KZeC+SVBzrhdbOY/bIuVeW0YwS7ksGNWlGy4X/YEdD7pNvqoSMxDZBH58HFUwDkx+u
26m6aF31vGvQ3TZ5yaOT+be+Hh/SDF28bvt3ncetrlWJuyAceR126nkelxhDuKKxEVD4m8FlzSFi
rvb6g9XQ6o6d4yIHuwKlb63KHuYX0965XhnnnhHTlEu1h8hOV0asFpxd6zXL/xdVt+NlzHmH09KX
1nNPDCP6Eotwn9b+1pcxmXKtR9pOUFz6NEU4bFGst7vAm9iLyj5AR7uUTLM4jrk65ZpHG3wfGWan
LiLTq06LmtOykn8EaEgXEun4zOiSnSr6R7uR0SKG7bKK0+lY0lNX4wUiCZdCYNlM5NvRzTjW4gZF
E+We6GBkTwyvvwN8cNPTnqKL0+FuNGK85Z5yRZTAfohAVxA44mEPqby57jD1jj1k7ba/8zl+rO1S
/xjTGAg8j9rH48clXXjnWeYaCSHJM9S78wksbUqs86nKjwYWqRwjhWkXZQUaky+WCLxBzMlTHtAR
w6/16CnB0dHHK/IW6HpVzlWn8kkz+I1txvdgqvJO+Hm+fFqr/rO5/pOVj81g2uBerezf7a5XZSib
8s0Oy3Dq5Z89b7FCPzIYNjJnfBp2PQFdnrdYoR2hYhXIfTmXIaV4ZeLTzSPLmuIKbBTErm3obA9f
KTD6EZvGJC82sNLTjvilLdZ8P+5yEUXZiGZowCI6pV6cxmGvSkWZxYoymFpDypA5AJrmTA+zeZO2
nAU00X8EYOPPWjrTc6uK8XHl9WOv6zeoDj+mTqJeeAWdZKvoHuoBCFSMdRwQrt0sFEVTZn1N3lAs
1WrntOQWAcDiRNGyGI1FdG5LJV50zK02WGFAafnyxJGxPqvCIQCNaH3k9FysbLRYOUhPjCJn8CKJ
f6R9NM9ERJxSrDwQAXlCLx42Ta4Un4O8wItAnsAGEpdNl83w+Kl++zkkHkFhlFUiksH/jI2dLFz/
DOaCWLA5KEuVHYvBeZTtJc7KXc2OsJWkruyDzHMQzzkmWkU1GT54ArZxGN92QckjXicJK8kwHpjb
WEsak2yVOfO4oBlgyupmcwE3gio8NveSZf1YjxEsj95AilohFA5sWliLmcPkAX6/pTVftEacVINv
L7XScM5pFJMsLYNlUFTxeqisdJ4pBTFpEf4Gpa+8OwOE9sY2S2cbVLrkrFToSMCEc0zlL7dq4tt3
tT18LnsRzAnkQU7btdVcFwn/lRnyrrGFcvBsJm6iA8EZ1l2Euc4yDyMNJY5W+WNEx3MNBNU5Lckp
XnX4H2dNpOkzTc3deewQbg0BqKEdUpRQZ3v9woW+x+EwZEDTF6fQp+OPICM+orUL5h1MsVk10drS
CkrOxG+TOa2gcYDpxkzuSwj5YePk4rOYuG92y18fwXYGq05zmIECiONUyw1AR2SjyhIEhJNchWhW
nRqunDsR5lK/R/QKKoLAbh3iIAk5jH1g0mFxd8EEwqkbY2EsydZC4yzNa8cgv8yBRX5oouKG+1U8
9hPzjlFhCrkc2VY6EfFaWYED9a4CUHl2zqlcBZ4XTRS9duLpAe436QJjP8p6dRPV1YU20ffiicPH
UX8K9snrD6pPax+hzAWjmaspZyczwI1i9aVLEph0nVua7+RP0Yno+2oK6zD0olwTdmUeZ14Y0uUb
ULubdi+XmkXQeFDGCZYmPVnmJs6cNNTkyuYePPXrqt2SDhtucLAABAoCljNRrcdaHho18uiUJqWx
Y2oUXVSR6a51qbPXWNUHza/IVBMpiGIwKBvCIjnRm/Y1uDV9HYdt+iGJ2A75qtplZw0t7b2onnIx
FZQ6uZxacHqxx6bob8ehm7ApLZLMmWaV+qLxMJrKkqIW7CE0avibdmr254CgxUJSPREC0tAwq+wt
QjTjlJxugow8i5BK0YXnnQb5YZBuc6pGYzpljIz39JGAtI3o7jon39CvYWgmR+3cQxa9wKzgTxS8
nMYEwHu18mCW236wiOvJEWpLUO96YGUJ8wn8doOi2gvRkb83VMK+bvzG2RTu4N3QK/FAuzqEaLZq
tGYEHxxHToG/17HCaxFKWg15Qe3LmFm/SOg7n4i0xCMtkujGzvQbNYCamtsDIUJ+tpGI35Ba6o+t
1NqLsLO7hRJWpGfTbKQQ7vNxSwsR4Hsl76Bjdo+tUaWnDv2DrRjsboNoAPysJ8HNOkm80kb/xjUT
eaKU7s5TUn3h2ESyk0UhpnD6dDDyqS++w3+t8+SGRrRIp5mVbANnZyZpdNaNntx7Wh2dBnSR57na
7Bs7bNepWRc3GeXvjFwG0P8F6jXQyeqCmSIznWrgckbEobZAEFZJN4wXXjCe9xbjS92ljZgPXXgs
o+acfQhSde4VKywA/h0UzHGjJcqV3xfqcjTIVc31rD7NYwyorjuGaOUQimV6uOfEEjO8NvNzKyIN
Kg3xNGPNULCt4EwzetdbDCOOUO5drBKKpSB/Vgpr4YGbWqtlXO57pZ5OjIVDFYVnuHUMVuHQeuQk
mS2EDTgTjdB5Wtr3oe4Oc9JgmdIJOl3MDIwlputujiliXLYNxuDUi81FnoEWM3N2xel30JkiL/2w
E/O8FvqN2/I0JygElww8xAHKmo43F2fsVEf63Z3C4J5xcdaVuPbcLxZjg7RrWH01iKqBtkRFf8p0
V3B8iA2FqD8kD3oXNKvWjZWZpUQMvbQpasSOPki6MctCJ4NHjMEHEmHXltIlC9z/ZTa3FfGJlA9G
ekI+5D03lF0lV21B+HXUD90iS9STscUWKbA4sNtFJMCWOnhrRczL6Ztm7uCtDIQIKBpYelDaPpAE
cgcX8XOLOZSLOhrYJGhdMyFlUkEUUrhF8HsWBkV5cLEKgtPRz4kCNeaD19Lty1p94XJenUGDzLAV
OsamauPyyjdAgYyVj/WyrlPi8/JbVWEVslO0pTqxmLV1N2SEGZjWA4kTFrgtcutCw3punf2n3P2Z
chdd89+Vuz8OhX6t9Hqqfp/e5aXBRO6zwR6BIRNbDdRCCtmXBhN17JOpiorYJPPUpfD8KvZSKZnR
elGeWZr15IX6WvwS+zwp91CJEQEGOvCXCBbv+0ukgUFZpJHFgoa7S33XlwX+BwPFS7xlR5cninpC
h4MVfGXOi+Y/yPq17zqyhGQwfKMzSicLEey7n+UTaJ9LYjuWbLcwANuLIS02SPtXWW6tsK9+SvFT
1d2NMFaKM576+L7ngfEx4cnTw37XJ2zq3P2vvr0ftKGe1OpvOl7Tb2XoJnNW/gMj0dvi35MhkoC0
8JYyGAh0L44TewJmEM2q+eVyZHrnKOnc5vTs0rURfrsYPBIiPF+urRqqljz/+19If7rm734jVzdc
zTKgGiPlf/cboa6SilB9b1mNTbDWI9QWmWVeoP3zTvsgUGfSUpJTmbRNyXF73IY5QRH1aFFtxzAA
xiDDPp9Z56wOyc5oXG+Ht/xYOiQM09phT+k+O/19wjmkRSBr59nBBmcYd7MeJcmQAaJo/JmwlaVB
3rAeCIBIIVkv46KAH5/p1kHFoyckpGhQVlFiHkTcrJog3NrKRafnFyMzSt03wREiQ3KZKOLF6RqB
a4Shpu2tmyLfV7a+Cak1ivLjkCrHSsDosL1Tsp3NVH5mdsZ24jfq5iYWH9qmvcGQLpEBV+QN9c6x
WaMob47pj8yTlnEgCc1plcAL8BG6bOFonSTsPkjd5q41LFMCB6ygXsQ0K4SXTGFtl1AbtvTxV31l
TJIrJi5pvSoid1gpHVFbukNniOMFMoXGLA9tYK8ACfUO4E2Tn5l0VOz0CSE0VtYNiu9tlFqM0eNj
jazfBtSIFrYrvyaa0cpBNeL+TyouDz9GmAtZkKdZWud8n6Q5GJumhgw1du3CsXqoIdCZi7vAOdVx
JWZjPQux/nd0TBhzbCWBoHHrLvHCzJXwMqbrpZQng3RWtghuW0p407wr+vxzVd1nZUsfkdmnL04r
jzPUcBaW8MpppaWuQ2470AG0jyeqsCQgT++z76TKYaDIQAgTnyqQyy/0sc9r0kepfGqPcJHUzO99
o8B2iOAohSUiI8xjWfKIcDw410efkShAC1jK1vTQ0OAMp3mU05mXjtbo1zYaTaYffvOJvnaO0kP4
ayaMAiNCovofQIFl8wTaIqqkjGJWjzWkh57VpJfswoQlQC1Z1OWogDvoJo0hoMP+1kIevsHCRYBP
X7Q++cUy3BuNcWqVlX1ejhDkaj0tVk/P6X82yX/eJLn9DTaSv6Zx3/WETm792+R2mtg9y6mPH/77
v9gWX/7dS1PIOtJ1ujs43hwcG+xxX7dFUi+ndpEpGBkwwJt2uL+2RZvOj4UyGsfc00zG/NYUAvrE
Zkapx25r8ZbOr8xdmEG8nU5AcEf56vLs6gIMGcO8t/vC6FYQVYYoJZnaYIbv3GJlEjyMZXoSmAMc
14R0jExJr3MZYygGobgu1D657U3LOUQuTs6+cteRZWezQHYccTmVw8S89s0UdBsIzH7WIDWYD0SF
d7HZnrellc463QDNKRvCtINYmUeiLDduYJIHRceisg9DxYrgWuEyAA08q1vvvGEyY2fpBCVG6sEp
Hrqq565K/EnYHaw9xCL71gm1hKAMePW5DoncFeMBLQC7RlfjY06GaNYSqtQobrdCoIpZK3JXIwkU
BPE0oFOLlOqg15xFA6JlkYvuHAcNLRfxwD4562S6TyEADZV+EaYW6A6IRXpDZFuuf7G0sN8qgTdl
Z2EAXcPfvQy5tqd5mFIFjIpc9054zUh/ZivdvrG4mKKWxj4a+MihEZ+YWb0uFOhzQEoPBkopxhV5
CnWzvuewPp54HyrWnFlVJGIVFM3W1ALS0uHO2NawSIpmmZhMI1KzmGtu9qVG0sRxJ1ppCBh7dxJW
RlcF0T+B5MRYOoTYMdWfocD3F8oYbZShOVd0qyUsquqvm3C0jhFqLCURcYswzpeDZOKB7NbfwKYJ
LrO0vECERp+bs5hfmcmq7wcXqV5qnloGswvStpBkoNecD0Cz1m5tehyTXOuYHMzhykjzCyMuTOI9
0bRjYgvAdyYevMKqquW6htpz2tsHZPfXzBRwm0V2dtaVCvKstj34qnkaEDMWx/aNnwwnSYQrsm6o
5KIOO0xZHSuIf1TOyZ3flbs+XJJHDWuwqU7KknTx7BKWjeRoKFDAOTKZD3TulrW2NPt2rrYT50YY
ytzrR2oQzDBDq+5j5MizgZmL67qrvBimYE2C4j7oiaRlGKTKorennx0dF6oyKxOpXuuI4+fs3Zhm
gplerQghRViGAH9deGBTLe3W9BSiTTTxJYnEYdIHIPEllqk4M2oX1n20ABR2UY6B9qktVf5NmIdL
sxHupbCzFXqUgvcdiKEx0lI5HQP0Sxrz/1UotGCdGa51L82i2dVlHNZzctntswTt29bwqmEXmaXL
jlIEMIEzJGOacBHRl81xArn3JjJ84Nmc3cJ9oAcqUmK/3AykIF1VDlo/blWwAbk6fBriKp9Dfs7P
Attojx0nSz5zjnQuRzMcUeDEMW2XzN4F6KN26N1s9rauW9WaNiUrjT1YKTO9GmHfXrkybbaRKtNr
5I/VqmjxIc9KKcrbmp7SokAoe2J2wjpAnpZ7qoPunExA48TSxmZbq6X2SYuSht5e3q96at1dkdjx
cRkI63Qs8+CRURE7Z5UO5YME9EYAQMtVH5suPEQSubI1QZ8SzwXvnLeteoYeSr3ojLY40cgp2qdx
HlzTexCHQljlnlvF2Ruom/fUCjVe2jKEposHcK2hYj/hfOAvgroeziMEjNk/FPPP8/BvtTODAsEw
AWM9CzejA84Zb1ftmE4jbtPRP3Z9P4HDV+btcVS11Qk6dbKNPLWHAguDctC1ZqF18bjocCourZ6E
cLNuru22UlawIOF9OdEUMwH3YmH5oboigAVFpRn6n8BHeT33nG+d2Zka7Wo1PWGsbIIEF+MZPW7O
9J6bHAY/4YsqkKV6Pf4CSv0NmlE0hFplzYLBuipL8JoNkulTu/HdaNENjXclO8Zga2ENJCpUzlgg
mMp4YzwJAb0725HEt4+B1zCUBm29VlM/iBikmvknRQswRFABYS0YtewaIaj7qdL9LYNRYDq6e9E4
yjoLa7DlROfKDFVaUTtAHlVIu1Tje8XwCWFMtZrfyriQfb0PZHnplY47l7laMwOxtkqC9mukDbuE
mhXPDKUZ504XDXMtIG12NNudV+Z7B98lm+VAumLlrzq8IfOoAXeKfjSfFZ3t3wet1W2zFja64kcK
IzzG9fkQMQ8QWrKCuRddyBE7n2z89KQZO2dNGDq30kiTGwcLoJZOTtPqJqr2IcPkQ2OhAA5UX9/7
oV2cYANVL3I8U2dBjDMW5FNb7/iu+z2csPDQqbU40JLhfqffVD04PjnWDNWN4BEVcjbvS69fldOT
MkzPjDs9Pfr0HDXTE5Vg4NwGHvjQWMn6c1mEBcrCjP05qMA/0qcHYlJWt8WQQlKg6K9W8fQEi+lZ
VqenGpVQdtVOT7qlsfvI1ujoULEOhNOKMIzECUkTH3dbZNN9ULiXJKEmn8m4bY/HaV0ZpxXGnNYa
a1p16mn9gUDuX8GSKjdCkepxTFLMPvNtlqy+LtMb0pubY+Bb4ljWnb+D7BGg4rPd2yjRh530FKYl
duycBalgYRT87R0FiH1PEzpY95Fdr6is7TP+tnKKl92ea7itAF1hWCPgeZgyUL2S4XI1CioUeBJ8
bFfE6ER1y4m6lRN6pC0WCM7TOV7LctikZpC2J5kTYbuyCgvXD93ecaEL8uI2Wie8aLKQ+PKGIWXJ
ucyKZQ2CxojrTe6Xrb/XOTbQNa1CE5xHDSl/CYp46HjsQibOKnBHc+YGweBDMO8LIqhGa2S/tvBB
zUtzaqzJLMrXblEbpwaq24Pr99Z5rxAjngijWpaRqV1UY4lK2uBcq64LO0iSJVgc1LgeIyiYlZIR
FI65KZQhodFfOmOgLJs0oQKiLUxEmsOy+XFMEmwkHM411pYhigS3mFZo+9Ko9Yu4LrguWXEOJ3Kc
Ez5BcGgFsrDWs02FiGYVOfV13e7tEeeo76kHFGjyYEKu5mCmeHNq1ABeCEHGqoMuRvMGMZPCRzyd
S+CCJnoYtY0+SxjPqyHq7rUM/K9bGnNXDPqZpxbdSV7zjNpVeRc6d3AwxHbQGV/ZzqDTJmAbMPLC
nDH0XztBTsiVdhERVLjoE5dw487bBKljo+EpVZwDprOr7d7eJLmXIgY1tujHL/K4Yc8LNWOvsP8v
1VHew71Qpu8Iw+wgDWSf3Rnb+fWoyfCLZXbBMbEALZFw+biLGFUgf2J4BLl7WERaMXwRucY92Pi5
NBBC12qEfThEPPOfc97PeFyfz2smx55/f85b3Ka32b846P1rETbfH/amf/zSA506nci4wI5AA7Ce
bK0vPVD1iGHyq/Yo57BvPVD+xAGXgzpA013B231rgk6iO0F3zAI9jTjvVw57YvKzfqsa+J1wWQAP
0vg/U0Oh++6sJ0ulQESsmUQnh18axz5xSmstbXEVeYhtiZJbJgPntZbBZ4haiX3pEystvq7PAWRd
EL/+jonPB1jea5jcK01RltF+jMptDcq9J2vE99pD0KkfCtKq49pfydFaR2PJ9BaEPE2bRO60cm43
7sru+LdFtk+wvJpFchzbxrldWieWbay7wjw3Pe0Em8qkWyKxbTVIsXST4tJV5OVILDTWorkZ5PM4
VWdJfTcml8NkPUzHtTV5tzAVOdI9Zkvda9I8ycz+g4QIL+vsDGXgUg7DOkkRyNFQ4/G/gnlCoItn
XlU2eXlgzFIPO5ETTOFhVrkZPWp/dNvnte9sDKJ5SRJvP9eluFLd8mNkcsk4kqwNzz5GqbeECHGv
1JwmOS+aIGRf3Xk/auROX9J3XyIsZhrs3GdIJt+WflCSdOxK8ADBjyz8zJ6lqIL8rji1huHUKRWy
OALm66OzVIAHtXwzf/8LfIetmXrpEEFUehk0NfBlvf0FKNLcHCiktySmYJT0oNymXPUq2187WBYK
AR1oZWyvG288I+r9Q5uFxp7uvwKDlQOsM3scjLpcjfSa5wy9sCxpXrr08nHfJ/ifi+nM4PrKscps
Nx3pzZpWki7WWcdij9QBvViXLGF9DqQs2LM89wiMEcau6Dl2Bo7Hylzp9wORFbMOJ2ijhuuxojjn
2bsxCn2HxuPgRs0uK4JimwMM3v36Qvpz8uN/+7em5txfKuVfQwG89PV+yAL4S5A7/elZHmb1Vb58
TxP4qb/0Vdn74zf6ObjAy8L7fgr19Hs90Q3+7m2S2zqsmwf47IZ6hHTLYLDErGh68bxQuPovf+w8
gdXRUlrI8acXjwsL/avL9O8uxN9/xu/RC9+/z999gG8NQ0PorNNvNp9fvQa6dWRzFuQZMn50DVz+
eBI502n8X/rw93lDpBS8CuJoszcb6HRy/ZnP/u4dvn3/OqI7S6cQm+aNr794ccTWCQPMer4k033x
Z33xzDuhXvzMh3+XQfDtw2vWEagMi8wxsuKeXu+vAZJ/2FUCTcP0er7Yf9DNPwUL/OY10G1ugImy
ylV4fr25BogyXchVXKAJGsbrj7sG4PBgDTIe+N0LoYGWBYIlLGat0+vtSuiCqzUniJf6v7UKvLuN
vy2Bk1VFN357FdSPbPIUqb1/+Pkd7SmjEXkueoPp9Tza+YMehpcd8b3J55d3A/cImS86X1CLP7gP
HOeISwChiobLH3odBNCw330YjCNU02z7dA1+dBHAMLtM16ALP1+EP29VoLT+3TvB0BgjUqBzrvzh
RXAmxQ72PY6lT68/74l4WRp/d5/UJ4sb516BMP/p9bZWoECybBMMMGPQp9cfVyRqfE2/+0jg2HPA
benmv1kf7SONKpIa8s/dKOEd/ua6oKlHMIldB636mzKBc4IJ1oq74GXR/OM2STo2+ns1wq9uDZo4
MqkO0IDhFp5eb0sELgLelUkl9vwYCGyTf1bNjBpJ/ckTw7tq41vRzInRNXWqAKQTb04M1hHfPsBT
eitPrz9uT5gCA37301MuW1BtOS6/LPrc6K+PTcbR1BhkB35ZBf64W4BVeoon+71zk3akUnbjqHq7
ETguq4Cj6qr1vNj+ScWhDalQZ3H+3Y8OQ1Gld8dx6e0XL0izwILG9Pz57ueP/6xn38AC9fxLPdvK
/2o+/UK3iLv/qSLCo/f8ersAuiqFgE0/4evd/8ctAV8Pi797IVgEqXcw4+J9f3p9dzfwEBgUTM9/
+uftBIiGJ43zby0DlIXu1B4hTeHNswC3FOq1jV//1z/9TywZf7VY50GYPDx1YMPH6hXR9R//wtfe
5Pdv8FqJSG/tzV+cFI/Pb/189J7+9/+82Saf+qKv/vBrn/Tp57z885cP+P2PfvOzvn6qr//PTfhY
3pb3aMufGs4vv+YEwv3v//o/2UNQ3v7rrLx9eKyCN+3BpxbZt1/ouzjOv77+v33/qrpNX7/tc9fp
d9+WVLHb8vXbPndyf/dtN7flcJvdvn5jzbBcSr/ffucwvb0PbpMfXunn4+bv/oifzDz994PZn/pC
d7dlxggjfnuRno9Iv/sJdtynybs3/r+sXctugzAQ/BU+oUnulfqQqlYlitpUPW+ClZiQRDLmQL++
Y8CAWyiqhmsUjZe1vQ97d1ylHSzwxGNTpEpiSY7l8B6qT1NY8cepnknJN0UCNnplTOlXuCujBnWI
e4uHlXpTXFLZeZwauMogWOA3SSW3RwluM5r4nMV+16eTDgzWCtcYcFEs8FbOOovWkhQey2mkCahZ
8A9rxQyZliZuY/E/VW6jewXWkiyQvo4DWPRYYMzxSLMNKR6apJtFfypSoNu+3O2ZN409RvtE7kt4
5bbsZa331x1m9zl37Q55+B0LdPwhTma/484Ul3H3BKqNRdW0xg4T66+rCcMBQDsejxk87N8kIeSE
/KslkxxrorOFRI/l4shU/Jrptc3MYORidUCMI2Xow+uuHJwjs+vnUWVH7WE6yR3THw3d7rfxMjNS
8w/wWIk+iAnD7Eo7c2xiEFuJtTr/NUJ3x8lqqfIzcnIf4lVeTUMzAvJYdoQXuIJR/BmW0FbBih5+
xvjd+Q4r/6sk0I/Xg1MO3ptcIdcHAxFqIm6W4JubYaMN26MIfiMaLZhEDSLuJfGIxxJpN66mUCzp
5Rzsx+tOoIJ8sy3gCX7tZdCTf0Ae7BLZfabE3H4DAAD//w==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1" i="0" u="none" strike="noStrike" baseline="0">
            <a:solidFill>
              <a:sysClr val="windowText" lastClr="000000"/>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Reversed" id="21">
  <a:schemeClr val="accent1"/>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NULL"/><Relationship Id="rId1" Type="http://schemas.openxmlformats.org/officeDocument/2006/relationships/customXml" Target="../ink/ink1.xml"/><Relationship Id="rId6" Type="http://schemas.openxmlformats.org/officeDocument/2006/relationships/image" Target="NULL"/><Relationship Id="rId4" Type="http://schemas.openxmlformats.org/officeDocument/2006/relationships/customXml" Target="../ink/ink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1.png"/><Relationship Id="rId7" Type="http://schemas.openxmlformats.org/officeDocument/2006/relationships/chart" Target="../charts/chart7.xml"/><Relationship Id="rId12" Type="http://schemas.microsoft.com/office/2014/relationships/chartEx" Target="../charts/chartEx4.xml"/><Relationship Id="rId2" Type="http://schemas.openxmlformats.org/officeDocument/2006/relationships/hyperlink" Target="#DataSet!A1"/><Relationship Id="rId1" Type="http://schemas.openxmlformats.org/officeDocument/2006/relationships/image" Target="../media/image4.png"/><Relationship Id="rId6" Type="http://schemas.openxmlformats.org/officeDocument/2006/relationships/chart" Target="../charts/chart6.xml"/><Relationship Id="rId11" Type="http://schemas.openxmlformats.org/officeDocument/2006/relationships/chart" Target="../charts/chart10.xml"/><Relationship Id="rId5" Type="http://schemas.openxmlformats.org/officeDocument/2006/relationships/image" Target="../media/image2.png"/><Relationship Id="rId10" Type="http://schemas.microsoft.com/office/2014/relationships/chartEx" Target="../charts/chartEx3.xml"/><Relationship Id="rId4" Type="http://schemas.openxmlformats.org/officeDocument/2006/relationships/hyperlink" Target="#KPI!A1"/><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5</xdr:col>
      <xdr:colOff>101282</xdr:colOff>
      <xdr:row>16</xdr:row>
      <xdr:rowOff>162242</xdr:rowOff>
    </xdr:to>
    <xdr:pic>
      <xdr:nvPicPr>
        <xdr:cNvPr id="3" name="Picture 2">
          <a:extLst>
            <a:ext uri="{FF2B5EF4-FFF2-40B4-BE49-F238E27FC236}">
              <a16:creationId xmlns:a16="http://schemas.microsoft.com/office/drawing/2014/main" id="{808B4AF3-10A3-33A0-801B-35146CF5F9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548640"/>
          <a:ext cx="2539682" cy="2539682"/>
        </a:xfrm>
        <a:prstGeom prst="rect">
          <a:avLst/>
        </a:prstGeom>
      </xdr:spPr>
    </xdr:pic>
    <xdr:clientData/>
  </xdr:twoCellAnchor>
  <xdr:twoCellAnchor editAs="oneCell">
    <xdr:from>
      <xdr:col>14</xdr:col>
      <xdr:colOff>434340</xdr:colOff>
      <xdr:row>0</xdr:row>
      <xdr:rowOff>0</xdr:rowOff>
    </xdr:from>
    <xdr:to>
      <xdr:col>18</xdr:col>
      <xdr:colOff>129540</xdr:colOff>
      <xdr:row>11</xdr:row>
      <xdr:rowOff>121920</xdr:rowOff>
    </xdr:to>
    <xdr:pic>
      <xdr:nvPicPr>
        <xdr:cNvPr id="7" name="Picture 6">
          <a:extLst>
            <a:ext uri="{FF2B5EF4-FFF2-40B4-BE49-F238E27FC236}">
              <a16:creationId xmlns:a16="http://schemas.microsoft.com/office/drawing/2014/main" id="{3B800A2E-482B-4D03-D548-AD04F76EC4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968740" y="0"/>
          <a:ext cx="2133600" cy="2133600"/>
        </a:xfrm>
        <a:prstGeom prst="rect">
          <a:avLst/>
        </a:prstGeom>
      </xdr:spPr>
    </xdr:pic>
    <xdr:clientData/>
  </xdr:twoCellAnchor>
  <xdr:twoCellAnchor editAs="oneCell">
    <xdr:from>
      <xdr:col>5</xdr:col>
      <xdr:colOff>391942</xdr:colOff>
      <xdr:row>4</xdr:row>
      <xdr:rowOff>83820</xdr:rowOff>
    </xdr:from>
    <xdr:to>
      <xdr:col>14</xdr:col>
      <xdr:colOff>355229</xdr:colOff>
      <xdr:row>12</xdr:row>
      <xdr:rowOff>58135</xdr:rowOff>
    </xdr:to>
    <xdr:pic>
      <xdr:nvPicPr>
        <xdr:cNvPr id="9" name="Picture 8">
          <a:extLst>
            <a:ext uri="{FF2B5EF4-FFF2-40B4-BE49-F238E27FC236}">
              <a16:creationId xmlns:a16="http://schemas.microsoft.com/office/drawing/2014/main" id="{530B5E90-380F-3F6A-7808-94AFA979D0C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439942" y="815340"/>
          <a:ext cx="5449687" cy="14373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616980</xdr:colOff>
      <xdr:row>680</xdr:row>
      <xdr:rowOff>0</xdr:rowOff>
    </xdr:from>
    <xdr:to>
      <xdr:col>10</xdr:col>
      <xdr:colOff>635700</xdr:colOff>
      <xdr:row>680</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5F9D6A89-E901-4F5C-BD6C-4694CF9A9166}"/>
                </a:ext>
              </a:extLst>
            </xdr14:cNvPr>
            <xdr14:cNvContentPartPr/>
          </xdr14:nvContentPartPr>
          <xdr14:nvPr macro=""/>
          <xdr14:xfrm>
            <a:off x="11003040" y="65737800"/>
            <a:ext cx="18720" cy="360"/>
          </xdr14:xfrm>
        </xdr:contentPart>
      </mc:Choice>
      <mc:Fallback xmlns="">
        <xdr:pic>
          <xdr:nvPicPr>
            <xdr:cNvPr id="2" name="Ink 1">
              <a:extLst>
                <a:ext uri="{FF2B5EF4-FFF2-40B4-BE49-F238E27FC236}">
                  <a16:creationId xmlns:a16="http://schemas.microsoft.com/office/drawing/2014/main" id="{D9E7F7C3-B0AA-94AA-1784-6C060F9CCC6C}"/>
                </a:ext>
              </a:extLst>
            </xdr:cNvPr>
            <xdr:cNvPicPr/>
          </xdr:nvPicPr>
          <xdr:blipFill>
            <a:blip xmlns:r="http://schemas.openxmlformats.org/officeDocument/2006/relationships" r:embed="rId2"/>
            <a:stretch>
              <a:fillRect/>
            </a:stretch>
          </xdr:blipFill>
          <xdr:spPr>
            <a:xfrm>
              <a:off x="10996920" y="65731680"/>
              <a:ext cx="30960" cy="12600"/>
            </a:xfrm>
            <a:prstGeom prst="rect">
              <a:avLst/>
            </a:prstGeom>
          </xdr:spPr>
        </xdr:pic>
      </mc:Fallback>
    </mc:AlternateContent>
    <xdr:clientData/>
  </xdr:twoCellAnchor>
  <xdr:oneCellAnchor>
    <xdr:from>
      <xdr:col>10</xdr:col>
      <xdr:colOff>616980</xdr:colOff>
      <xdr:row>827</xdr:row>
      <xdr:rowOff>0</xdr:rowOff>
    </xdr:from>
    <xdr:ext cx="18720" cy="36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65003AE6-01A9-4036-B070-2B14AA850710}"/>
                </a:ext>
              </a:extLst>
            </xdr14:cNvPr>
            <xdr14:cNvContentPartPr/>
          </xdr14:nvContentPartPr>
          <xdr14:nvPr macro=""/>
          <xdr14:xfrm>
            <a:off x="11003040" y="65737800"/>
            <a:ext cx="18720" cy="360"/>
          </xdr14:xfrm>
        </xdr:contentPart>
      </mc:Choice>
      <mc:Fallback xmlns="">
        <xdr:pic>
          <xdr:nvPicPr>
            <xdr:cNvPr id="2" name="Ink 1">
              <a:extLst>
                <a:ext uri="{FF2B5EF4-FFF2-40B4-BE49-F238E27FC236}">
                  <a16:creationId xmlns:a16="http://schemas.microsoft.com/office/drawing/2014/main" id="{D9E7F7C3-B0AA-94AA-1784-6C060F9CCC6C}"/>
                </a:ext>
              </a:extLst>
            </xdr:cNvPr>
            <xdr:cNvPicPr/>
          </xdr:nvPicPr>
          <xdr:blipFill>
            <a:blip xmlns:r="http://schemas.openxmlformats.org/officeDocument/2006/relationships" r:embed="rId2"/>
            <a:stretch>
              <a:fillRect/>
            </a:stretch>
          </xdr:blipFill>
          <xdr:spPr>
            <a:xfrm>
              <a:off x="10996920" y="65731680"/>
              <a:ext cx="30960" cy="12600"/>
            </a:xfrm>
            <a:prstGeom prst="rect">
              <a:avLst/>
            </a:prstGeom>
          </xdr:spPr>
        </xdr:pic>
      </mc:Fallback>
    </mc:AlternateContent>
    <xdr:clientData/>
  </xdr:oneCellAnchor>
  <xdr:twoCellAnchor editAs="oneCell">
    <xdr:from>
      <xdr:col>0</xdr:col>
      <xdr:colOff>895320</xdr:colOff>
      <xdr:row>0</xdr:row>
      <xdr:rowOff>120600</xdr:rowOff>
    </xdr:from>
    <xdr:to>
      <xdr:col>0</xdr:col>
      <xdr:colOff>895680</xdr:colOff>
      <xdr:row>0</xdr:row>
      <xdr:rowOff>120960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3">
              <a:extLst>
                <a:ext uri="{FF2B5EF4-FFF2-40B4-BE49-F238E27FC236}">
                  <a16:creationId xmlns:a16="http://schemas.microsoft.com/office/drawing/2014/main" id="{66ADC705-00AD-4C39-9CCD-9662F1B807F3}"/>
                </a:ext>
              </a:extLst>
            </xdr14:cNvPr>
            <xdr14:cNvContentPartPr/>
          </xdr14:nvContentPartPr>
          <xdr14:nvPr macro=""/>
          <xdr14:xfrm>
            <a:off x="895320" y="120600"/>
            <a:ext cx="360" cy="360"/>
          </xdr14:xfrm>
        </xdr:contentPart>
      </mc:Choice>
      <mc:Fallback xmlns="">
        <xdr:pic>
          <xdr:nvPicPr>
            <xdr:cNvPr id="5" name="Ink 4">
              <a:extLst>
                <a:ext uri="{FF2B5EF4-FFF2-40B4-BE49-F238E27FC236}">
                  <a16:creationId xmlns:a16="http://schemas.microsoft.com/office/drawing/2014/main" id="{77FFE4CA-6049-5394-6F66-992D8FC59BA0}"/>
                </a:ext>
              </a:extLst>
            </xdr:cNvPr>
            <xdr:cNvPicPr/>
          </xdr:nvPicPr>
          <xdr:blipFill>
            <a:blip xmlns:r="http://schemas.openxmlformats.org/officeDocument/2006/relationships" r:embed="rId6"/>
            <a:stretch>
              <a:fillRect/>
            </a:stretch>
          </xdr:blipFill>
          <xdr:spPr>
            <a:xfrm>
              <a:off x="889200" y="114480"/>
              <a:ext cx="12600" cy="126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480060</xdr:colOff>
      <xdr:row>0</xdr:row>
      <xdr:rowOff>99060</xdr:rowOff>
    </xdr:from>
    <xdr:to>
      <xdr:col>4</xdr:col>
      <xdr:colOff>160020</xdr:colOff>
      <xdr:row>7</xdr:row>
      <xdr:rowOff>68579</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13219C6C-DDF0-4C27-A0A8-399627216CB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89660" y="99060"/>
              <a:ext cx="2217420" cy="1249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15240</xdr:colOff>
      <xdr:row>18</xdr:row>
      <xdr:rowOff>7620</xdr:rowOff>
    </xdr:from>
    <xdr:ext cx="800100" cy="350520"/>
    <xdr:sp macro="" textlink="$B$9">
      <xdr:nvSpPr>
        <xdr:cNvPr id="4" name="TextBox 3">
          <a:extLst>
            <a:ext uri="{FF2B5EF4-FFF2-40B4-BE49-F238E27FC236}">
              <a16:creationId xmlns:a16="http://schemas.microsoft.com/office/drawing/2014/main" id="{17AC175A-2E96-6CCB-CDD3-9A55BA76264B}"/>
            </a:ext>
          </a:extLst>
        </xdr:cNvPr>
        <xdr:cNvSpPr txBox="1"/>
      </xdr:nvSpPr>
      <xdr:spPr>
        <a:xfrm>
          <a:off x="624840" y="3299460"/>
          <a:ext cx="800100" cy="350520"/>
        </a:xfrm>
        <a:prstGeom prst="rect">
          <a:avLst/>
        </a:prstGeom>
        <a:solidFill>
          <a:schemeClr val="bg1"/>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667AA7D-AFBC-45EE-8BE8-06D3B8A7844F}" type="TxLink">
            <a:rPr lang="en-US" sz="1100" b="0" i="0" u="none" strike="noStrike">
              <a:solidFill>
                <a:srgbClr val="000000"/>
              </a:solidFill>
              <a:latin typeface="Calibri"/>
              <a:ea typeface="Calibri"/>
              <a:cs typeface="Calibri"/>
            </a:rPr>
            <a:pPr/>
            <a:t>51009211</a:t>
          </a:fld>
          <a:endParaRPr lang="en-IN" sz="1100"/>
        </a:p>
      </xdr:txBody>
    </xdr:sp>
    <xdr:clientData/>
  </xdr:oneCellAnchor>
  <xdr:twoCellAnchor>
    <xdr:from>
      <xdr:col>1</xdr:col>
      <xdr:colOff>525780</xdr:colOff>
      <xdr:row>17</xdr:row>
      <xdr:rowOff>22860</xdr:rowOff>
    </xdr:from>
    <xdr:to>
      <xdr:col>3</xdr:col>
      <xdr:colOff>320040</xdr:colOff>
      <xdr:row>22</xdr:row>
      <xdr:rowOff>144780</xdr:rowOff>
    </xdr:to>
    <xdr:graphicFrame macro="">
      <xdr:nvGraphicFramePr>
        <xdr:cNvPr id="5" name="Chart 4">
          <a:extLst>
            <a:ext uri="{FF2B5EF4-FFF2-40B4-BE49-F238E27FC236}">
              <a16:creationId xmlns:a16="http://schemas.microsoft.com/office/drawing/2014/main" id="{34CF3EC0-C8C2-A2AC-7268-1DEE6DB16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4</xdr:col>
      <xdr:colOff>45720</xdr:colOff>
      <xdr:row>17</xdr:row>
      <xdr:rowOff>152400</xdr:rowOff>
    </xdr:from>
    <xdr:ext cx="838200" cy="350520"/>
    <xdr:sp macro="" textlink="$F$8">
      <xdr:nvSpPr>
        <xdr:cNvPr id="6" name="TextBox 5">
          <a:extLst>
            <a:ext uri="{FF2B5EF4-FFF2-40B4-BE49-F238E27FC236}">
              <a16:creationId xmlns:a16="http://schemas.microsoft.com/office/drawing/2014/main" id="{05E80824-50AA-4E5A-BA67-E58B91B93AAD}"/>
            </a:ext>
          </a:extLst>
        </xdr:cNvPr>
        <xdr:cNvSpPr txBox="1"/>
      </xdr:nvSpPr>
      <xdr:spPr>
        <a:xfrm>
          <a:off x="3192780" y="3261360"/>
          <a:ext cx="838200" cy="350520"/>
        </a:xfrm>
        <a:prstGeom prst="rect">
          <a:avLst/>
        </a:prstGeom>
        <a:solidFill>
          <a:schemeClr val="bg1"/>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63B203A-0268-4D2E-9C3E-4D5BEAC6182E}" type="TxLink">
            <a:rPr lang="en-US" sz="1100" b="0" i="0" u="none" strike="noStrike">
              <a:solidFill>
                <a:srgbClr val="000000"/>
              </a:solidFill>
              <a:latin typeface="Calibri"/>
              <a:ea typeface="Calibri"/>
              <a:cs typeface="Calibri"/>
            </a:rPr>
            <a:pPr/>
            <a:t>33647206</a:t>
          </a:fld>
          <a:endParaRPr lang="en-US" sz="1100" b="0" i="0" u="none" strike="noStrike">
            <a:solidFill>
              <a:srgbClr val="000000"/>
            </a:solidFill>
            <a:latin typeface="Calibri"/>
            <a:ea typeface="Calibri"/>
            <a:cs typeface="Calibri"/>
          </a:endParaRPr>
        </a:p>
      </xdr:txBody>
    </xdr:sp>
    <xdr:clientData/>
  </xdr:oneCellAnchor>
  <xdr:twoCellAnchor>
    <xdr:from>
      <xdr:col>4</xdr:col>
      <xdr:colOff>838200</xdr:colOff>
      <xdr:row>16</xdr:row>
      <xdr:rowOff>114300</xdr:rowOff>
    </xdr:from>
    <xdr:to>
      <xdr:col>6</xdr:col>
      <xdr:colOff>83820</xdr:colOff>
      <xdr:row>22</xdr:row>
      <xdr:rowOff>91440</xdr:rowOff>
    </xdr:to>
    <xdr:graphicFrame macro="">
      <xdr:nvGraphicFramePr>
        <xdr:cNvPr id="7" name="Chart 6">
          <a:extLst>
            <a:ext uri="{FF2B5EF4-FFF2-40B4-BE49-F238E27FC236}">
              <a16:creationId xmlns:a16="http://schemas.microsoft.com/office/drawing/2014/main" id="{6ADA4CA3-6F99-A251-BD97-AFDC533FA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6</xdr:col>
      <xdr:colOff>838200</xdr:colOff>
      <xdr:row>17</xdr:row>
      <xdr:rowOff>152400</xdr:rowOff>
    </xdr:from>
    <xdr:ext cx="838200" cy="350520"/>
    <xdr:sp macro="" textlink="$I$8">
      <xdr:nvSpPr>
        <xdr:cNvPr id="9" name="TextBox 8">
          <a:extLst>
            <a:ext uri="{FF2B5EF4-FFF2-40B4-BE49-F238E27FC236}">
              <a16:creationId xmlns:a16="http://schemas.microsoft.com/office/drawing/2014/main" id="{D4F60B73-0157-0946-9A7E-1DAE4D29C373}"/>
            </a:ext>
          </a:extLst>
        </xdr:cNvPr>
        <xdr:cNvSpPr txBox="1"/>
      </xdr:nvSpPr>
      <xdr:spPr>
        <a:xfrm>
          <a:off x="6179820" y="3261360"/>
          <a:ext cx="838200" cy="350520"/>
        </a:xfrm>
        <a:prstGeom prst="rect">
          <a:avLst/>
        </a:prstGeom>
        <a:solidFill>
          <a:schemeClr val="bg1"/>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4714F10-5496-458D-8726-13397D7B23EB}" type="TxLink">
            <a:rPr lang="en-US" sz="1100" b="0" i="0" u="none" strike="noStrike">
              <a:solidFill>
                <a:srgbClr val="000000"/>
              </a:solidFill>
              <a:latin typeface="Calibri"/>
              <a:ea typeface="Calibri"/>
              <a:cs typeface="Calibri"/>
            </a:rPr>
            <a:pPr/>
            <a:t>17362005</a:t>
          </a:fld>
          <a:endParaRPr lang="en-US" sz="1100" b="0" i="0" u="none" strike="noStrike">
            <a:solidFill>
              <a:srgbClr val="000000"/>
            </a:solidFill>
            <a:latin typeface="Calibri"/>
            <a:ea typeface="Calibri"/>
            <a:cs typeface="Calibri"/>
          </a:endParaRPr>
        </a:p>
      </xdr:txBody>
    </xdr:sp>
    <xdr:clientData/>
  </xdr:oneCellAnchor>
  <xdr:twoCellAnchor>
    <xdr:from>
      <xdr:col>7</xdr:col>
      <xdr:colOff>563880</xdr:colOff>
      <xdr:row>16</xdr:row>
      <xdr:rowOff>152400</xdr:rowOff>
    </xdr:from>
    <xdr:to>
      <xdr:col>9</xdr:col>
      <xdr:colOff>312420</xdr:colOff>
      <xdr:row>23</xdr:row>
      <xdr:rowOff>0</xdr:rowOff>
    </xdr:to>
    <xdr:graphicFrame macro="">
      <xdr:nvGraphicFramePr>
        <xdr:cNvPr id="10" name="Chart 9">
          <a:extLst>
            <a:ext uri="{FF2B5EF4-FFF2-40B4-BE49-F238E27FC236}">
              <a16:creationId xmlns:a16="http://schemas.microsoft.com/office/drawing/2014/main" id="{83ACB0E5-77A5-CA76-F010-750219402B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15240</xdr:colOff>
      <xdr:row>25</xdr:row>
      <xdr:rowOff>175260</xdr:rowOff>
    </xdr:from>
    <xdr:to>
      <xdr:col>12</xdr:col>
      <xdr:colOff>1051560</xdr:colOff>
      <xdr:row>38</xdr:row>
      <xdr:rowOff>38100</xdr:rowOff>
    </xdr:to>
    <xdr:graphicFrame macro="">
      <xdr:nvGraphicFramePr>
        <xdr:cNvPr id="12" name="Chart 11">
          <a:extLst>
            <a:ext uri="{FF2B5EF4-FFF2-40B4-BE49-F238E27FC236}">
              <a16:creationId xmlns:a16="http://schemas.microsoft.com/office/drawing/2014/main" id="{9175A01C-A397-92A4-D3AA-A4D56C402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320040</xdr:colOff>
      <xdr:row>39</xdr:row>
      <xdr:rowOff>114300</xdr:rowOff>
    </xdr:from>
    <xdr:to>
      <xdr:col>17</xdr:col>
      <xdr:colOff>205740</xdr:colOff>
      <xdr:row>54</xdr:row>
      <xdr:rowOff>53340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9E1B27DF-C6FA-2912-E78C-49419B5AE5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795760" y="7246620"/>
              <a:ext cx="3329940" cy="26822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518160</xdr:colOff>
      <xdr:row>53</xdr:row>
      <xdr:rowOff>68580</xdr:rowOff>
    </xdr:from>
    <xdr:to>
      <xdr:col>16</xdr:col>
      <xdr:colOff>373380</xdr:colOff>
      <xdr:row>63</xdr:row>
      <xdr:rowOff>38100</xdr:rowOff>
    </xdr:to>
    <xdr:graphicFrame macro="">
      <xdr:nvGraphicFramePr>
        <xdr:cNvPr id="11" name="Chart 10">
          <a:extLst>
            <a:ext uri="{FF2B5EF4-FFF2-40B4-BE49-F238E27FC236}">
              <a16:creationId xmlns:a16="http://schemas.microsoft.com/office/drawing/2014/main" id="{C096F03A-685F-651D-E0E4-743B3A5760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167640</xdr:colOff>
      <xdr:row>33</xdr:row>
      <xdr:rowOff>137160</xdr:rowOff>
    </xdr:from>
    <xdr:to>
      <xdr:col>24</xdr:col>
      <xdr:colOff>38100</xdr:colOff>
      <xdr:row>46</xdr:row>
      <xdr:rowOff>114300</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D34B1B43-4D3C-0EF0-79D3-01E2CE418E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7830800" y="6172200"/>
              <a:ext cx="3680460" cy="23545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30480</xdr:colOff>
      <xdr:row>0</xdr:row>
      <xdr:rowOff>38100</xdr:rowOff>
    </xdr:from>
    <xdr:to>
      <xdr:col>17</xdr:col>
      <xdr:colOff>30480</xdr:colOff>
      <xdr:row>4</xdr:row>
      <xdr:rowOff>167640</xdr:rowOff>
    </xdr:to>
    <xdr:sp macro="" textlink="">
      <xdr:nvSpPr>
        <xdr:cNvPr id="2" name="TextBox 1">
          <a:extLst>
            <a:ext uri="{FF2B5EF4-FFF2-40B4-BE49-F238E27FC236}">
              <a16:creationId xmlns:a16="http://schemas.microsoft.com/office/drawing/2014/main" id="{BF030591-D224-B2CE-615E-751AC18E3819}"/>
            </a:ext>
          </a:extLst>
        </xdr:cNvPr>
        <xdr:cNvSpPr txBox="1"/>
      </xdr:nvSpPr>
      <xdr:spPr>
        <a:xfrm>
          <a:off x="30480" y="38100"/>
          <a:ext cx="10363200" cy="861060"/>
        </a:xfrm>
        <a:prstGeom prst="rect">
          <a:avLst/>
        </a:prstGeom>
        <a:solidFill>
          <a:schemeClr val="lt1"/>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0</xdr:col>
      <xdr:colOff>289561</xdr:colOff>
      <xdr:row>0</xdr:row>
      <xdr:rowOff>82400</xdr:rowOff>
    </xdr:from>
    <xdr:to>
      <xdr:col>5</xdr:col>
      <xdr:colOff>182880</xdr:colOff>
      <xdr:row>4</xdr:row>
      <xdr:rowOff>126653</xdr:rowOff>
    </xdr:to>
    <xdr:pic>
      <xdr:nvPicPr>
        <xdr:cNvPr id="4" name="Picture 3">
          <a:extLst>
            <a:ext uri="{FF2B5EF4-FFF2-40B4-BE49-F238E27FC236}">
              <a16:creationId xmlns:a16="http://schemas.microsoft.com/office/drawing/2014/main" id="{22298495-6D20-402F-8EA3-AD836C827A1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9561" y="82400"/>
          <a:ext cx="2941319" cy="775773"/>
        </a:xfrm>
        <a:prstGeom prst="rect">
          <a:avLst/>
        </a:prstGeom>
      </xdr:spPr>
    </xdr:pic>
    <xdr:clientData/>
  </xdr:twoCellAnchor>
  <xdr:twoCellAnchor>
    <xdr:from>
      <xdr:col>5</xdr:col>
      <xdr:colOff>510540</xdr:colOff>
      <xdr:row>0</xdr:row>
      <xdr:rowOff>152400</xdr:rowOff>
    </xdr:from>
    <xdr:to>
      <xdr:col>16</xdr:col>
      <xdr:colOff>579120</xdr:colOff>
      <xdr:row>4</xdr:row>
      <xdr:rowOff>53340</xdr:rowOff>
    </xdr:to>
    <xdr:sp macro="" textlink="">
      <xdr:nvSpPr>
        <xdr:cNvPr id="5" name="TextBox 4">
          <a:extLst>
            <a:ext uri="{FF2B5EF4-FFF2-40B4-BE49-F238E27FC236}">
              <a16:creationId xmlns:a16="http://schemas.microsoft.com/office/drawing/2014/main" id="{8EB84021-28BD-886A-87FC-B9D5AF675003}"/>
            </a:ext>
          </a:extLst>
        </xdr:cNvPr>
        <xdr:cNvSpPr txBox="1"/>
      </xdr:nvSpPr>
      <xdr:spPr>
        <a:xfrm>
          <a:off x="3558540" y="152400"/>
          <a:ext cx="6774180" cy="632460"/>
        </a:xfrm>
        <a:prstGeom prst="rect">
          <a:avLst/>
        </a:prstGeom>
        <a:solidFill>
          <a:schemeClr val="accent1"/>
        </a:solidFill>
        <a:ln w="9525"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IN" sz="36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  (2024-2025)</a:t>
          </a:r>
          <a:endParaRPr lang="en-IN" sz="36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twoCellAnchor>
  <xdr:twoCellAnchor editAs="oneCell">
    <xdr:from>
      <xdr:col>0</xdr:col>
      <xdr:colOff>30480</xdr:colOff>
      <xdr:row>5</xdr:row>
      <xdr:rowOff>30481</xdr:rowOff>
    </xdr:from>
    <xdr:to>
      <xdr:col>2</xdr:col>
      <xdr:colOff>83820</xdr:colOff>
      <xdr:row>11</xdr:row>
      <xdr:rowOff>175261</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1D8AE8AD-AE5A-47F2-8BE7-2D9866400FC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0480" y="944881"/>
              <a:ext cx="127254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30480</xdr:colOff>
      <xdr:row>12</xdr:row>
      <xdr:rowOff>38100</xdr:rowOff>
    </xdr:from>
    <xdr:to>
      <xdr:col>2</xdr:col>
      <xdr:colOff>76200</xdr:colOff>
      <xdr:row>26</xdr:row>
      <xdr:rowOff>160020</xdr:rowOff>
    </xdr:to>
    <xdr:sp macro="" textlink="">
      <xdr:nvSpPr>
        <xdr:cNvPr id="7" name="TextBox 6">
          <a:extLst>
            <a:ext uri="{FF2B5EF4-FFF2-40B4-BE49-F238E27FC236}">
              <a16:creationId xmlns:a16="http://schemas.microsoft.com/office/drawing/2014/main" id="{2B219ADC-C2BA-22BB-3FB4-5BF666D0BEFD}"/>
            </a:ext>
          </a:extLst>
        </xdr:cNvPr>
        <xdr:cNvSpPr txBox="1"/>
      </xdr:nvSpPr>
      <xdr:spPr>
        <a:xfrm>
          <a:off x="30480" y="2232660"/>
          <a:ext cx="1264920" cy="2682240"/>
        </a:xfrm>
        <a:prstGeom prst="rect">
          <a:avLst/>
        </a:prstGeom>
        <a:solidFill>
          <a:schemeClr val="lt1"/>
        </a:solidFill>
        <a:ln w="9525" cmpd="sng">
          <a:solidFill>
            <a:schemeClr val="accent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0</xdr:col>
      <xdr:colOff>139382</xdr:colOff>
      <xdr:row>12</xdr:row>
      <xdr:rowOff>76200</xdr:rowOff>
    </xdr:from>
    <xdr:to>
      <xdr:col>1</xdr:col>
      <xdr:colOff>505142</xdr:colOff>
      <xdr:row>17</xdr:row>
      <xdr:rowOff>137160</xdr:rowOff>
    </xdr:to>
    <xdr:pic>
      <xdr:nvPicPr>
        <xdr:cNvPr id="8" name="Picture 7">
          <a:hlinkClick xmlns:r="http://schemas.openxmlformats.org/officeDocument/2006/relationships" r:id="rId2"/>
          <a:extLst>
            <a:ext uri="{FF2B5EF4-FFF2-40B4-BE49-F238E27FC236}">
              <a16:creationId xmlns:a16="http://schemas.microsoft.com/office/drawing/2014/main" id="{74545542-9F2C-49DB-B3D8-FDE0A9EE0B0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9382" y="2270760"/>
          <a:ext cx="975360" cy="975360"/>
        </a:xfrm>
        <a:prstGeom prst="rect">
          <a:avLst/>
        </a:prstGeom>
      </xdr:spPr>
    </xdr:pic>
    <xdr:clientData/>
  </xdr:twoCellAnchor>
  <xdr:twoCellAnchor editAs="oneCell">
    <xdr:from>
      <xdr:col>0</xdr:col>
      <xdr:colOff>15240</xdr:colOff>
      <xdr:row>17</xdr:row>
      <xdr:rowOff>160020</xdr:rowOff>
    </xdr:from>
    <xdr:to>
      <xdr:col>2</xdr:col>
      <xdr:colOff>22860</xdr:colOff>
      <xdr:row>24</xdr:row>
      <xdr:rowOff>106680</xdr:rowOff>
    </xdr:to>
    <xdr:pic>
      <xdr:nvPicPr>
        <xdr:cNvPr id="9" name="Picture 8">
          <a:hlinkClick xmlns:r="http://schemas.openxmlformats.org/officeDocument/2006/relationships" r:id="rId4"/>
          <a:extLst>
            <a:ext uri="{FF2B5EF4-FFF2-40B4-BE49-F238E27FC236}">
              <a16:creationId xmlns:a16="http://schemas.microsoft.com/office/drawing/2014/main" id="{38679756-98A8-41C6-BC67-AAC51655C8D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240" y="3268980"/>
          <a:ext cx="1226820" cy="1226820"/>
        </a:xfrm>
        <a:prstGeom prst="rect">
          <a:avLst/>
        </a:prstGeom>
      </xdr:spPr>
    </xdr:pic>
    <xdr:clientData/>
  </xdr:twoCellAnchor>
  <xdr:twoCellAnchor>
    <xdr:from>
      <xdr:col>2</xdr:col>
      <xdr:colOff>129540</xdr:colOff>
      <xdr:row>5</xdr:row>
      <xdr:rowOff>45720</xdr:rowOff>
    </xdr:from>
    <xdr:to>
      <xdr:col>7</xdr:col>
      <xdr:colOff>68580</xdr:colOff>
      <xdr:row>11</xdr:row>
      <xdr:rowOff>175260</xdr:rowOff>
    </xdr:to>
    <xdr:sp macro="" textlink="">
      <xdr:nvSpPr>
        <xdr:cNvPr id="10" name="Rectangle 9">
          <a:extLst>
            <a:ext uri="{FF2B5EF4-FFF2-40B4-BE49-F238E27FC236}">
              <a16:creationId xmlns:a16="http://schemas.microsoft.com/office/drawing/2014/main" id="{B69BA921-58E2-D478-E8E1-1BAB1546B7EE}"/>
            </a:ext>
          </a:extLst>
        </xdr:cNvPr>
        <xdr:cNvSpPr/>
      </xdr:nvSpPr>
      <xdr:spPr>
        <a:xfrm>
          <a:off x="1348740" y="960120"/>
          <a:ext cx="2987040" cy="1226820"/>
        </a:xfrm>
        <a:prstGeom prst="rect">
          <a:avLst/>
        </a:prstGeom>
        <a:solidFill>
          <a:sysClr val="window" lastClr="FFFFFF"/>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bg2">
                  <a:lumMod val="10000"/>
                </a:schemeClr>
              </a:solidFill>
            </a:rPr>
            <a:t>Total Sales</a:t>
          </a:r>
        </a:p>
      </xdr:txBody>
    </xdr:sp>
    <xdr:clientData/>
  </xdr:twoCellAnchor>
  <xdr:twoCellAnchor>
    <xdr:from>
      <xdr:col>7</xdr:col>
      <xdr:colOff>114300</xdr:colOff>
      <xdr:row>5</xdr:row>
      <xdr:rowOff>45720</xdr:rowOff>
    </xdr:from>
    <xdr:to>
      <xdr:col>12</xdr:col>
      <xdr:colOff>53340</xdr:colOff>
      <xdr:row>11</xdr:row>
      <xdr:rowOff>175260</xdr:rowOff>
    </xdr:to>
    <xdr:sp macro="" textlink="">
      <xdr:nvSpPr>
        <xdr:cNvPr id="17" name="Rectangle 16">
          <a:extLst>
            <a:ext uri="{FF2B5EF4-FFF2-40B4-BE49-F238E27FC236}">
              <a16:creationId xmlns:a16="http://schemas.microsoft.com/office/drawing/2014/main" id="{6E5FC5D8-EE54-437E-0697-E67FEF9F80AC}"/>
            </a:ext>
          </a:extLst>
        </xdr:cNvPr>
        <xdr:cNvSpPr/>
      </xdr:nvSpPr>
      <xdr:spPr>
        <a:xfrm>
          <a:off x="4381500" y="960120"/>
          <a:ext cx="2987040" cy="1226820"/>
        </a:xfrm>
        <a:prstGeom prst="rect">
          <a:avLst/>
        </a:prstGeom>
        <a:solidFill>
          <a:sysClr val="window" lastClr="FFFFFF"/>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bg2">
                  <a:lumMod val="10000"/>
                </a:schemeClr>
              </a:solidFill>
            </a:rPr>
            <a:t>Total</a:t>
          </a:r>
          <a:r>
            <a:rPr lang="en-IN" sz="2800" b="1" baseline="0">
              <a:solidFill>
                <a:schemeClr val="bg2">
                  <a:lumMod val="10000"/>
                </a:schemeClr>
              </a:solidFill>
            </a:rPr>
            <a:t> Purchase</a:t>
          </a:r>
          <a:endParaRPr lang="en-IN" sz="2800" b="1">
            <a:solidFill>
              <a:schemeClr val="bg2">
                <a:lumMod val="10000"/>
              </a:schemeClr>
            </a:solidFill>
          </a:endParaRPr>
        </a:p>
      </xdr:txBody>
    </xdr:sp>
    <xdr:clientData/>
  </xdr:twoCellAnchor>
  <xdr:twoCellAnchor>
    <xdr:from>
      <xdr:col>12</xdr:col>
      <xdr:colOff>99060</xdr:colOff>
      <xdr:row>5</xdr:row>
      <xdr:rowOff>45720</xdr:rowOff>
    </xdr:from>
    <xdr:to>
      <xdr:col>17</xdr:col>
      <xdr:colOff>38100</xdr:colOff>
      <xdr:row>11</xdr:row>
      <xdr:rowOff>175260</xdr:rowOff>
    </xdr:to>
    <xdr:sp macro="" textlink="">
      <xdr:nvSpPr>
        <xdr:cNvPr id="18" name="Rectangle 17">
          <a:extLst>
            <a:ext uri="{FF2B5EF4-FFF2-40B4-BE49-F238E27FC236}">
              <a16:creationId xmlns:a16="http://schemas.microsoft.com/office/drawing/2014/main" id="{15C62ADD-0BAF-037E-C586-DBFFBEB0E49B}"/>
            </a:ext>
          </a:extLst>
        </xdr:cNvPr>
        <xdr:cNvSpPr/>
      </xdr:nvSpPr>
      <xdr:spPr>
        <a:xfrm>
          <a:off x="7414260" y="960120"/>
          <a:ext cx="2987040" cy="1226820"/>
        </a:xfrm>
        <a:prstGeom prst="rect">
          <a:avLst/>
        </a:prstGeom>
        <a:solidFill>
          <a:sysClr val="window" lastClr="FFFFFF"/>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bg2">
                  <a:lumMod val="10000"/>
                </a:schemeClr>
              </a:solidFill>
            </a:rPr>
            <a:t>Total Profit</a:t>
          </a:r>
        </a:p>
      </xdr:txBody>
    </xdr:sp>
    <xdr:clientData/>
  </xdr:twoCellAnchor>
  <xdr:oneCellAnchor>
    <xdr:from>
      <xdr:col>2</xdr:col>
      <xdr:colOff>205740</xdr:colOff>
      <xdr:row>8</xdr:row>
      <xdr:rowOff>129540</xdr:rowOff>
    </xdr:from>
    <xdr:ext cx="1744980" cy="449580"/>
    <xdr:sp macro="" textlink="KPI!$B$9">
      <xdr:nvSpPr>
        <xdr:cNvPr id="19" name="TextBox 18">
          <a:extLst>
            <a:ext uri="{FF2B5EF4-FFF2-40B4-BE49-F238E27FC236}">
              <a16:creationId xmlns:a16="http://schemas.microsoft.com/office/drawing/2014/main" id="{1E88DC25-8B30-4820-8076-15E07E609DC0}"/>
            </a:ext>
          </a:extLst>
        </xdr:cNvPr>
        <xdr:cNvSpPr txBox="1"/>
      </xdr:nvSpPr>
      <xdr:spPr>
        <a:xfrm>
          <a:off x="1424940" y="1592580"/>
          <a:ext cx="1744980" cy="449580"/>
        </a:xfrm>
        <a:prstGeom prst="rect">
          <a:avLst/>
        </a:prstGeom>
        <a:solidFill>
          <a:schemeClr val="bg2">
            <a:lumMod val="75000"/>
          </a:schemeClr>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71E0DA26-DEB6-4D9E-ABEE-078DB9702824}" type="TxLink">
            <a:rPr lang="en-US" sz="2800" b="1" i="0" u="none" strike="noStrike">
              <a:solidFill>
                <a:schemeClr val="bg1"/>
              </a:solidFill>
              <a:latin typeface="Calibri"/>
              <a:ea typeface="Calibri"/>
              <a:cs typeface="Calibri"/>
            </a:rPr>
            <a:t>51009211</a:t>
          </a:fld>
          <a:endParaRPr lang="en-IN" sz="2800" b="1">
            <a:solidFill>
              <a:schemeClr val="bg1"/>
            </a:solidFill>
          </a:endParaRPr>
        </a:p>
      </xdr:txBody>
    </xdr:sp>
    <xdr:clientData/>
  </xdr:oneCellAnchor>
  <xdr:twoCellAnchor>
    <xdr:from>
      <xdr:col>4</xdr:col>
      <xdr:colOff>358140</xdr:colOff>
      <xdr:row>5</xdr:row>
      <xdr:rowOff>144780</xdr:rowOff>
    </xdr:from>
    <xdr:to>
      <xdr:col>7</xdr:col>
      <xdr:colOff>464820</xdr:colOff>
      <xdr:row>12</xdr:row>
      <xdr:rowOff>106680</xdr:rowOff>
    </xdr:to>
    <xdr:graphicFrame macro="">
      <xdr:nvGraphicFramePr>
        <xdr:cNvPr id="20" name="Chart 19">
          <a:extLst>
            <a:ext uri="{FF2B5EF4-FFF2-40B4-BE49-F238E27FC236}">
              <a16:creationId xmlns:a16="http://schemas.microsoft.com/office/drawing/2014/main" id="{1EC7697D-C02C-40D5-9CF2-3F305076E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7</xdr:col>
      <xdr:colOff>198120</xdr:colOff>
      <xdr:row>8</xdr:row>
      <xdr:rowOff>129540</xdr:rowOff>
    </xdr:from>
    <xdr:ext cx="1729740" cy="457200"/>
    <xdr:sp macro="" textlink="KPI!$F$8">
      <xdr:nvSpPr>
        <xdr:cNvPr id="21" name="TextBox 20">
          <a:extLst>
            <a:ext uri="{FF2B5EF4-FFF2-40B4-BE49-F238E27FC236}">
              <a16:creationId xmlns:a16="http://schemas.microsoft.com/office/drawing/2014/main" id="{DA7F81C6-2C4C-4E6A-A780-38E6903E5DAE}"/>
            </a:ext>
          </a:extLst>
        </xdr:cNvPr>
        <xdr:cNvSpPr txBox="1"/>
      </xdr:nvSpPr>
      <xdr:spPr>
        <a:xfrm>
          <a:off x="4465320" y="1592580"/>
          <a:ext cx="1729740" cy="457200"/>
        </a:xfrm>
        <a:prstGeom prst="rect">
          <a:avLst/>
        </a:prstGeom>
        <a:solidFill>
          <a:schemeClr val="bg2">
            <a:lumMod val="75000"/>
          </a:schemeClr>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4379B58B-5511-4CF6-9646-FDAA68094111}" type="TxLink">
            <a:rPr lang="en-US" sz="2800" b="1" i="0" u="none" strike="noStrike">
              <a:solidFill>
                <a:schemeClr val="bg1"/>
              </a:solidFill>
              <a:latin typeface="Calibri"/>
              <a:ea typeface="Calibri"/>
              <a:cs typeface="Calibri"/>
            </a:rPr>
            <a:t>33647206</a:t>
          </a:fld>
          <a:endParaRPr lang="en-US" sz="2800" b="1" i="0" u="none" strike="noStrike">
            <a:solidFill>
              <a:schemeClr val="bg1"/>
            </a:solidFill>
            <a:latin typeface="Calibri"/>
            <a:ea typeface="Calibri"/>
            <a:cs typeface="Calibri"/>
          </a:endParaRPr>
        </a:p>
      </xdr:txBody>
    </xdr:sp>
    <xdr:clientData/>
  </xdr:oneCellAnchor>
  <xdr:twoCellAnchor>
    <xdr:from>
      <xdr:col>10</xdr:col>
      <xdr:colOff>7620</xdr:colOff>
      <xdr:row>6</xdr:row>
      <xdr:rowOff>7620</xdr:rowOff>
    </xdr:from>
    <xdr:to>
      <xdr:col>12</xdr:col>
      <xdr:colOff>182880</xdr:colOff>
      <xdr:row>13</xdr:row>
      <xdr:rowOff>7620</xdr:rowOff>
    </xdr:to>
    <xdr:graphicFrame macro="">
      <xdr:nvGraphicFramePr>
        <xdr:cNvPr id="22" name="Chart 21">
          <a:extLst>
            <a:ext uri="{FF2B5EF4-FFF2-40B4-BE49-F238E27FC236}">
              <a16:creationId xmlns:a16="http://schemas.microsoft.com/office/drawing/2014/main" id="{009EA9DA-05A8-4F37-80A6-BB15434D7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12</xdr:col>
      <xdr:colOff>182880</xdr:colOff>
      <xdr:row>8</xdr:row>
      <xdr:rowOff>129540</xdr:rowOff>
    </xdr:from>
    <xdr:ext cx="1577340" cy="449580"/>
    <xdr:sp macro="" textlink="KPI!$I$8">
      <xdr:nvSpPr>
        <xdr:cNvPr id="23" name="TextBox 22">
          <a:extLst>
            <a:ext uri="{FF2B5EF4-FFF2-40B4-BE49-F238E27FC236}">
              <a16:creationId xmlns:a16="http://schemas.microsoft.com/office/drawing/2014/main" id="{AA222125-92AD-4BC8-98D4-B3F50CF70DAB}"/>
            </a:ext>
          </a:extLst>
        </xdr:cNvPr>
        <xdr:cNvSpPr txBox="1"/>
      </xdr:nvSpPr>
      <xdr:spPr>
        <a:xfrm>
          <a:off x="7498080" y="1592580"/>
          <a:ext cx="1577340" cy="449580"/>
        </a:xfrm>
        <a:prstGeom prst="rect">
          <a:avLst/>
        </a:prstGeom>
        <a:solidFill>
          <a:schemeClr val="bg2">
            <a:lumMod val="75000"/>
          </a:schemeClr>
        </a:solidFill>
        <a:ln w="3175"/>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71217A0D-E196-481A-9FB9-ACEBAC33D98E}" type="TxLink">
            <a:rPr lang="en-US" sz="2800" b="1" i="0" u="none" strike="noStrike">
              <a:solidFill>
                <a:schemeClr val="bg1"/>
              </a:solidFill>
              <a:latin typeface="Calibri"/>
              <a:ea typeface="Calibri"/>
              <a:cs typeface="Calibri"/>
            </a:rPr>
            <a:t>17362005</a:t>
          </a:fld>
          <a:endParaRPr lang="en-US" sz="2800" b="1" i="0" u="none" strike="noStrike">
            <a:solidFill>
              <a:schemeClr val="bg1"/>
            </a:solidFill>
            <a:latin typeface="Calibri"/>
            <a:ea typeface="Calibri"/>
            <a:cs typeface="Calibri"/>
          </a:endParaRPr>
        </a:p>
      </xdr:txBody>
    </xdr:sp>
    <xdr:clientData/>
  </xdr:oneCellAnchor>
  <xdr:twoCellAnchor>
    <xdr:from>
      <xdr:col>14</xdr:col>
      <xdr:colOff>327660</xdr:colOff>
      <xdr:row>5</xdr:row>
      <xdr:rowOff>152400</xdr:rowOff>
    </xdr:from>
    <xdr:to>
      <xdr:col>17</xdr:col>
      <xdr:colOff>152400</xdr:colOff>
      <xdr:row>13</xdr:row>
      <xdr:rowOff>7620</xdr:rowOff>
    </xdr:to>
    <xdr:graphicFrame macro="">
      <xdr:nvGraphicFramePr>
        <xdr:cNvPr id="24" name="Chart 23">
          <a:extLst>
            <a:ext uri="{FF2B5EF4-FFF2-40B4-BE49-F238E27FC236}">
              <a16:creationId xmlns:a16="http://schemas.microsoft.com/office/drawing/2014/main" id="{2E647125-E748-4B04-91BE-FC342C9D0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129540</xdr:colOff>
      <xdr:row>12</xdr:row>
      <xdr:rowOff>45720</xdr:rowOff>
    </xdr:from>
    <xdr:to>
      <xdr:col>10</xdr:col>
      <xdr:colOff>335280</xdr:colOff>
      <xdr:row>26</xdr:row>
      <xdr:rowOff>160020</xdr:rowOff>
    </xdr:to>
    <xdr:sp macro="" textlink="">
      <xdr:nvSpPr>
        <xdr:cNvPr id="27" name="Rectangle 26">
          <a:extLst>
            <a:ext uri="{FF2B5EF4-FFF2-40B4-BE49-F238E27FC236}">
              <a16:creationId xmlns:a16="http://schemas.microsoft.com/office/drawing/2014/main" id="{B789E711-51DC-A56D-6917-D15A01A0BDCE}"/>
            </a:ext>
          </a:extLst>
        </xdr:cNvPr>
        <xdr:cNvSpPr/>
      </xdr:nvSpPr>
      <xdr:spPr>
        <a:xfrm>
          <a:off x="1348740" y="2240280"/>
          <a:ext cx="5082540" cy="2674620"/>
        </a:xfrm>
        <a:prstGeom prst="rect">
          <a:avLst/>
        </a:prstGeom>
        <a:solidFill>
          <a:sysClr val="window" lastClr="FFFFFF"/>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bg2">
                  <a:lumMod val="10000"/>
                </a:schemeClr>
              </a:solidFill>
            </a:rPr>
            <a:t>Monthwise Sale</a:t>
          </a:r>
        </a:p>
      </xdr:txBody>
    </xdr:sp>
    <xdr:clientData/>
  </xdr:twoCellAnchor>
  <xdr:twoCellAnchor>
    <xdr:from>
      <xdr:col>2</xdr:col>
      <xdr:colOff>464820</xdr:colOff>
      <xdr:row>15</xdr:row>
      <xdr:rowOff>83820</xdr:rowOff>
    </xdr:from>
    <xdr:to>
      <xdr:col>9</xdr:col>
      <xdr:colOff>586740</xdr:colOff>
      <xdr:row>25</xdr:row>
      <xdr:rowOff>76200</xdr:rowOff>
    </xdr:to>
    <xdr:graphicFrame macro="">
      <xdr:nvGraphicFramePr>
        <xdr:cNvPr id="28" name="Chart 27">
          <a:extLst>
            <a:ext uri="{FF2B5EF4-FFF2-40B4-BE49-F238E27FC236}">
              <a16:creationId xmlns:a16="http://schemas.microsoft.com/office/drawing/2014/main" id="{5525D355-D632-4386-AA43-C0187DB87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396240</xdr:colOff>
      <xdr:row>12</xdr:row>
      <xdr:rowOff>45720</xdr:rowOff>
    </xdr:from>
    <xdr:to>
      <xdr:col>17</xdr:col>
      <xdr:colOff>53340</xdr:colOff>
      <xdr:row>26</xdr:row>
      <xdr:rowOff>160020</xdr:rowOff>
    </xdr:to>
    <xdr:sp macro="" textlink="">
      <xdr:nvSpPr>
        <xdr:cNvPr id="29" name="Rectangle 28">
          <a:extLst>
            <a:ext uri="{FF2B5EF4-FFF2-40B4-BE49-F238E27FC236}">
              <a16:creationId xmlns:a16="http://schemas.microsoft.com/office/drawing/2014/main" id="{9191C77B-7767-A960-65B2-E42191A635D8}"/>
            </a:ext>
          </a:extLst>
        </xdr:cNvPr>
        <xdr:cNvSpPr/>
      </xdr:nvSpPr>
      <xdr:spPr>
        <a:xfrm>
          <a:off x="6492240" y="2240280"/>
          <a:ext cx="3924300" cy="2674620"/>
        </a:xfrm>
        <a:prstGeom prst="rect">
          <a:avLst/>
        </a:prstGeom>
        <a:solidFill>
          <a:sysClr val="window" lastClr="FFFFFF"/>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solidFill>
                <a:schemeClr val="bg2">
                  <a:lumMod val="10000"/>
                </a:schemeClr>
              </a:solidFill>
            </a:rPr>
            <a:t>Productwise</a:t>
          </a:r>
          <a:r>
            <a:rPr lang="en-IN" sz="2800" b="1" baseline="0">
              <a:solidFill>
                <a:schemeClr val="bg2">
                  <a:lumMod val="10000"/>
                </a:schemeClr>
              </a:solidFill>
            </a:rPr>
            <a:t> Sale</a:t>
          </a:r>
          <a:endParaRPr lang="en-IN" sz="2800" b="1">
            <a:solidFill>
              <a:schemeClr val="bg2">
                <a:lumMod val="10000"/>
              </a:schemeClr>
            </a:solidFill>
          </a:endParaRPr>
        </a:p>
      </xdr:txBody>
    </xdr:sp>
    <xdr:clientData/>
  </xdr:twoCellAnchor>
  <xdr:twoCellAnchor>
    <xdr:from>
      <xdr:col>10</xdr:col>
      <xdr:colOff>411480</xdr:colOff>
      <xdr:row>18</xdr:row>
      <xdr:rowOff>175260</xdr:rowOff>
    </xdr:from>
    <xdr:to>
      <xdr:col>17</xdr:col>
      <xdr:colOff>30480</xdr:colOff>
      <xdr:row>26</xdr:row>
      <xdr:rowOff>7620</xdr:rowOff>
    </xdr:to>
    <mc:AlternateContent xmlns:mc="http://schemas.openxmlformats.org/markup-compatibility/2006">
      <mc:Choice xmlns:cx1="http://schemas.microsoft.com/office/drawing/2015/9/8/chartex" Requires="cx1">
        <xdr:graphicFrame macro="">
          <xdr:nvGraphicFramePr>
            <xdr:cNvPr id="30" name="Chart 29">
              <a:extLst>
                <a:ext uri="{FF2B5EF4-FFF2-40B4-BE49-F238E27FC236}">
                  <a16:creationId xmlns:a16="http://schemas.microsoft.com/office/drawing/2014/main" id="{F5755DF0-EA0D-4BD8-9B16-0F5968C3B8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6507480" y="3467100"/>
              <a:ext cx="3886200" cy="1295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121920</xdr:colOff>
      <xdr:row>12</xdr:row>
      <xdr:rowOff>60960</xdr:rowOff>
    </xdr:from>
    <xdr:to>
      <xdr:col>17</xdr:col>
      <xdr:colOff>228600</xdr:colOff>
      <xdr:row>18</xdr:row>
      <xdr:rowOff>167640</xdr:rowOff>
    </xdr:to>
    <xdr:graphicFrame macro="">
      <xdr:nvGraphicFramePr>
        <xdr:cNvPr id="31" name="Chart 30">
          <a:extLst>
            <a:ext uri="{FF2B5EF4-FFF2-40B4-BE49-F238E27FC236}">
              <a16:creationId xmlns:a16="http://schemas.microsoft.com/office/drawing/2014/main" id="{A5FDD89E-EA3E-44C9-A914-984F3EEB7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83820</xdr:colOff>
      <xdr:row>0</xdr:row>
      <xdr:rowOff>30480</xdr:rowOff>
    </xdr:from>
    <xdr:to>
      <xdr:col>23</xdr:col>
      <xdr:colOff>106680</xdr:colOff>
      <xdr:row>26</xdr:row>
      <xdr:rowOff>160020</xdr:rowOff>
    </xdr:to>
    <xdr:sp macro="" textlink="">
      <xdr:nvSpPr>
        <xdr:cNvPr id="33" name="Rectangle 32">
          <a:extLst>
            <a:ext uri="{FF2B5EF4-FFF2-40B4-BE49-F238E27FC236}">
              <a16:creationId xmlns:a16="http://schemas.microsoft.com/office/drawing/2014/main" id="{9923594D-CFDE-203B-8E98-4CC82D91CDB9}"/>
            </a:ext>
          </a:extLst>
        </xdr:cNvPr>
        <xdr:cNvSpPr/>
      </xdr:nvSpPr>
      <xdr:spPr>
        <a:xfrm>
          <a:off x="10447020" y="30480"/>
          <a:ext cx="3680460" cy="4884420"/>
        </a:xfrm>
        <a:prstGeom prst="rect">
          <a:avLst/>
        </a:prstGeom>
        <a:solidFill>
          <a:sysClr val="window" lastClr="FFFFFF"/>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bg2">
                  <a:lumMod val="10000"/>
                </a:schemeClr>
              </a:solidFill>
            </a:rPr>
            <a:t>Statewise</a:t>
          </a:r>
          <a:r>
            <a:rPr lang="en-IN" sz="2800" b="1" baseline="0">
              <a:solidFill>
                <a:schemeClr val="bg2">
                  <a:lumMod val="10000"/>
                </a:schemeClr>
              </a:solidFill>
            </a:rPr>
            <a:t> Sale</a:t>
          </a:r>
          <a:endParaRPr lang="en-IN" sz="2800" b="1">
            <a:solidFill>
              <a:schemeClr val="bg2">
                <a:lumMod val="10000"/>
              </a:schemeClr>
            </a:solidFill>
          </a:endParaRPr>
        </a:p>
      </xdr:txBody>
    </xdr:sp>
    <xdr:clientData/>
  </xdr:twoCellAnchor>
  <xdr:twoCellAnchor>
    <xdr:from>
      <xdr:col>17</xdr:col>
      <xdr:colOff>68580</xdr:colOff>
      <xdr:row>3</xdr:row>
      <xdr:rowOff>0</xdr:rowOff>
    </xdr:from>
    <xdr:to>
      <xdr:col>23</xdr:col>
      <xdr:colOff>144780</xdr:colOff>
      <xdr:row>26</xdr:row>
      <xdr:rowOff>99060</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3855E348-FE58-47F4-83A7-FB164806CB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0431780" y="548640"/>
              <a:ext cx="3733800" cy="4305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15:21:38.584"/>
    </inkml:context>
    <inkml:brush xml:id="br0">
      <inkml:brushProperty name="width" value="0.035" units="cm"/>
      <inkml:brushProperty name="height" value="0.035" units="cm"/>
      <inkml:brushProperty name="color" value="#004F8B"/>
    </inkml:brush>
  </inkml:definitions>
  <inkml:trace contextRef="#ctx0" brushRef="#br0">1 0 24575,'3'0'0,"9"0"0,6 0 0,0 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15:21:38.585"/>
    </inkml:context>
    <inkml:brush xml:id="br0">
      <inkml:brushProperty name="width" value="0.035" units="cm"/>
      <inkml:brushProperty name="height" value="0.035" units="cm"/>
      <inkml:brushProperty name="color" value="#004F8B"/>
    </inkml:brush>
  </inkml:definitions>
  <inkml:trace contextRef="#ctx0" brushRef="#br0">1 0 24575,'3'0'0,"9"0"0,6 0 0,0 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15:21:38.586"/>
    </inkml:context>
    <inkml:brush xml:id="br0">
      <inkml:brushProperty name="width" value="0.035" units="cm"/>
      <inkml:brushProperty name="height" value="0.035" units="cm"/>
      <inkml:brushProperty name="color" value="#008C3A"/>
    </inkml:brush>
  </inkml:definitions>
  <inkml:trace contextRef="#ctx0" brushRef="#br0">0 0 24575,'0'0'-8191</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3.943557175924" createdVersion="8" refreshedVersion="8" minRefreshableVersion="3" recordCount="992" xr:uid="{D8730B27-6917-4F0B-BE75-88969F2D89F7}">
  <cacheSource type="worksheet">
    <worksheetSource ref="A1:N993" sheet="DataSet"/>
  </cacheSource>
  <cacheFields count="17">
    <cacheField name="Date" numFmtId="164">
      <sharedItems containsSemiMixedTypes="0" containsNonDate="0" containsDate="1" containsString="0" minDate="2024-04-01T00:00:00" maxDate="2025-02-26T00:00:00" count="331">
        <d v="2024-06-11T00:00:00"/>
        <d v="2024-06-12T00:00:00"/>
        <d v="2024-06-13T00:00:00"/>
        <d v="2024-06-14T00:00:00"/>
        <d v="2024-06-16T00:00:00"/>
        <d v="2024-06-17T00:00:00"/>
        <d v="2024-04-07T00:00:00"/>
        <d v="2024-06-29T00:00:00"/>
        <d v="2024-06-30T00:00:00"/>
        <d v="2024-07-01T00:00:00"/>
        <d v="2024-07-03T00:00:00"/>
        <d v="2024-07-04T00:00:00"/>
        <d v="2024-04-13T00:00:00"/>
        <d v="2024-07-05T00:00:00"/>
        <d v="2024-07-06T00:00:00"/>
        <d v="2024-07-07T00:00:00"/>
        <d v="2024-07-08T00:00:00"/>
        <d v="2024-07-09T00:00:00"/>
        <d v="2024-07-10T00:00:00"/>
        <d v="2024-08-06T00:00:00"/>
        <d v="2024-08-07T00:00:00"/>
        <d v="2024-08-09T00:00:00"/>
        <d v="2024-04-23T00:00:00"/>
        <d v="2024-08-10T00:00:00"/>
        <d v="2024-04-25T00:00:00"/>
        <d v="2024-08-11T00:00:00"/>
        <d v="2024-08-12T00:00:00"/>
        <d v="2024-09-08T00:00:00"/>
        <d v="2024-09-09T00:00:00"/>
        <d v="2024-09-10T00:00:00"/>
        <d v="2024-09-11T00:00:00"/>
        <d v="2024-09-12T00:00:00"/>
        <d v="2024-09-13T00:00:00"/>
        <d v="2024-09-15T00:00:00"/>
        <d v="2024-09-16T00:00:00"/>
        <d v="2024-09-17T00:00:00"/>
        <d v="2024-09-18T00:00:00"/>
        <d v="2024-09-27T00:00:00"/>
        <d v="2024-09-29T00:00:00"/>
        <d v="2024-10-01T00:00:00"/>
        <d v="2024-10-02T00:00:00"/>
        <d v="2024-10-03T00:00:00"/>
        <d v="2024-10-15T00:00:00"/>
        <d v="2024-10-16T00:00:00"/>
        <d v="2024-10-17T00:00:00"/>
        <d v="2024-10-19T00:00:00"/>
        <d v="2024-10-20T00:00:00"/>
        <d v="2024-10-22T00:00:00"/>
        <d v="2025-01-02T00:00:00"/>
        <d v="2024-05-20T00:00:00"/>
        <d v="2025-01-04T00:00:00"/>
        <d v="2025-01-06T00:00:00"/>
        <d v="2025-01-08T00:00:00"/>
        <d v="2025-01-21T00:00:00"/>
        <d v="2025-01-22T00:00:00"/>
        <d v="2025-01-23T00:00:00"/>
        <d v="2025-01-24T00:00:00"/>
        <d v="2025-01-25T00:00:00"/>
        <d v="2024-05-29T00:00:00"/>
        <d v="2025-01-27T00:00:00"/>
        <d v="2025-01-28T00:00:00"/>
        <d v="2025-01-29T00:00:00"/>
        <d v="2025-01-31T00:00:00"/>
        <d v="2024-06-15T00:00:00"/>
        <d v="2024-06-21T00:00:00"/>
        <d v="2024-07-02T00:00:00"/>
        <d v="2024-07-15T00:00:00"/>
        <d v="2024-08-03T00:00:00"/>
        <d v="2024-08-08T00:00:00"/>
        <d v="2024-08-16T00:00:00"/>
        <d v="2024-08-22T00:00:00"/>
        <d v="2024-08-31T00:00:00"/>
        <d v="2024-09-05T00:00:00"/>
        <d v="2024-09-14T00:00:00"/>
        <d v="2024-09-19T00:00:00"/>
        <d v="2024-09-28T00:00:00"/>
        <d v="2024-09-30T00:00:00"/>
        <d v="2024-10-06T00:00:00"/>
        <d v="2024-04-01T00:00:00"/>
        <d v="2024-04-02T00:00:00"/>
        <d v="2024-04-03T00:00:00"/>
        <d v="2024-10-13T00:00:00"/>
        <d v="2024-04-04T00:00:00"/>
        <d v="2024-04-09T00:00:00"/>
        <d v="2024-04-10T00:00:00"/>
        <d v="2024-04-11T00:00:00"/>
        <d v="2024-10-18T00:00:00"/>
        <d v="2024-04-12T00:00:00"/>
        <d v="2024-04-14T00:00:00"/>
        <d v="2024-10-21T00:00:00"/>
        <d v="2024-04-22T00:00:00"/>
        <d v="2024-10-23T00:00:00"/>
        <d v="2024-04-24T00:00:00"/>
        <d v="2024-10-25T00:00:00"/>
        <d v="2024-04-26T00:00:00"/>
        <d v="2024-04-27T00:00:00"/>
        <d v="2024-04-28T00:00:00"/>
        <d v="2024-04-29T00:00:00"/>
        <d v="2024-04-30T00:00:00"/>
        <d v="2024-05-01T00:00:00"/>
        <d v="2024-05-02T00:00:00"/>
        <d v="2024-05-03T00:00:00"/>
        <d v="2024-05-04T00:00:00"/>
        <d v="2024-05-05T00:00:00"/>
        <d v="2024-05-06T00:00:00"/>
        <d v="2024-11-06T00:00:00"/>
        <d v="2024-05-07T00:00:00"/>
        <d v="2024-05-08T00:00:00"/>
        <d v="2024-11-09T00:00:00"/>
        <d v="2024-05-09T00:00:00"/>
        <d v="2024-05-10T00:00:00"/>
        <d v="2024-05-11T00:00:00"/>
        <d v="2024-05-12T00:00:00"/>
        <d v="2024-11-14T00:00:00"/>
        <d v="2024-05-13T00:00:00"/>
        <d v="2024-05-14T00:00:00"/>
        <d v="2024-05-15T00:00:00"/>
        <d v="2024-11-18T00:00:00"/>
        <d v="2024-05-16T00:00:00"/>
        <d v="2024-11-20T00:00:00"/>
        <d v="2024-05-17T00:00:00"/>
        <d v="2024-05-18T00:00:00"/>
        <d v="2024-07-11T00:00:00"/>
        <d v="2024-07-12T00:00:00"/>
        <d v="2024-07-13T00:00:00"/>
        <d v="2024-07-14T00:00:00"/>
        <d v="2024-07-16T00:00:00"/>
        <d v="2024-07-17T00:00:00"/>
        <d v="2024-07-18T00:00:00"/>
        <d v="2024-11-30T00:00:00"/>
        <d v="2024-07-19T00:00:00"/>
        <d v="2024-07-20T00:00:00"/>
        <d v="2024-12-03T00:00:00"/>
        <d v="2024-07-21T00:00:00"/>
        <d v="2024-08-13T00:00:00"/>
        <d v="2024-08-14T00:00:00"/>
        <d v="2024-08-15T00:00:00"/>
        <d v="2024-12-08T00:00:00"/>
        <d v="2024-08-17T00:00:00"/>
        <d v="2024-08-18T00:00:00"/>
        <d v="2024-12-11T00:00:00"/>
        <d v="2024-08-19T00:00:00"/>
        <d v="2024-08-20T00:00:00"/>
        <d v="2024-08-21T00:00:00"/>
        <d v="2024-08-23T00:00:00"/>
        <d v="2024-12-16T00:00:00"/>
        <d v="2024-10-24T00:00:00"/>
        <d v="2024-10-26T00:00:00"/>
        <d v="2024-10-31T00:00:00"/>
        <d v="2024-12-20T00:00:00"/>
        <d v="2024-11-01T00:00:00"/>
        <d v="2024-12-22T00:00:00"/>
        <d v="2024-11-02T00:00:00"/>
        <d v="2024-11-03T00:00:00"/>
        <d v="2024-11-04T00:00:00"/>
        <d v="2024-11-05T00:00:00"/>
        <d v="2024-12-27T00:00:00"/>
        <d v="2024-11-13T00:00:00"/>
        <d v="2024-11-15T00:00:00"/>
        <d v="2024-11-16T00:00:00"/>
        <d v="2024-11-17T00:00:00"/>
        <d v="2024-11-19T00:00:00"/>
        <d v="2024-11-21T00:00:00"/>
        <d v="2025-01-03T00:00:00"/>
        <d v="2024-11-22T00:00:00"/>
        <d v="2025-01-05T00:00:00"/>
        <d v="2024-11-23T00:00:00"/>
        <d v="2025-01-07T00:00:00"/>
        <d v="2024-11-24T00:00:00"/>
        <d v="2024-11-25T00:00:00"/>
        <d v="2024-11-26T00:00:00"/>
        <d v="2024-11-27T00:00:00"/>
        <d v="2024-11-28T00:00:00"/>
        <d v="2024-11-29T00:00:00"/>
        <d v="2025-01-14T00:00:00"/>
        <d v="2024-12-01T00:00:00"/>
        <d v="2024-12-02T00:00:00"/>
        <d v="2024-12-04T00:00:00"/>
        <d v="2024-12-05T00:00:00"/>
        <d v="2024-12-06T00:00:00"/>
        <d v="2025-01-20T00:00:00"/>
        <d v="2024-12-07T00:00:00"/>
        <d v="2024-12-09T00:00:00"/>
        <d v="2025-02-01T00:00:00"/>
        <d v="2025-02-02T00:00:00"/>
        <d v="2025-02-03T00:00:00"/>
        <d v="2025-01-26T00:00:00"/>
        <d v="2025-02-04T00:00:00"/>
        <d v="2025-02-05T00:00:00"/>
        <d v="2025-02-06T00:00:00"/>
        <d v="2025-01-30T00:00:00"/>
        <d v="2025-02-07T00:00:00"/>
        <d v="2025-02-08T00:00:00"/>
        <d v="2025-02-09T00:00:00"/>
        <d v="2025-02-11T00:00:00"/>
        <d v="2025-02-10T00:00:00"/>
        <d v="2025-02-14T00:00:00"/>
        <d v="2025-02-21T00:00:00"/>
        <d v="2024-04-05T00:00:00"/>
        <d v="2024-04-06T00:00:00"/>
        <d v="2024-04-08T00:00:00"/>
        <d v="2024-04-15T00:00:00"/>
        <d v="2024-04-16T00:00:00"/>
        <d v="2024-04-17T00:00:00"/>
        <d v="2024-04-18T00:00:00"/>
        <d v="2024-04-19T00:00:00"/>
        <d v="2024-04-20T00:00:00"/>
        <d v="2024-04-21T00:00:00"/>
        <d v="2024-05-19T00:00:00"/>
        <d v="2024-05-21T00:00:00"/>
        <d v="2024-05-22T00:00:00"/>
        <d v="2024-05-23T00:00:00"/>
        <d v="2024-05-24T00:00:00"/>
        <d v="2024-05-25T00:00:00"/>
        <d v="2024-05-26T00:00:00"/>
        <d v="2024-05-27T00:00:00"/>
        <d v="2024-05-28T00:00:00"/>
        <d v="2024-05-30T00:00:00"/>
        <d v="2024-05-31T00:00:00"/>
        <d v="2024-06-01T00:00:00"/>
        <d v="2024-06-02T00:00:00"/>
        <d v="2024-06-03T00:00:00"/>
        <d v="2024-06-04T00:00:00"/>
        <d v="2024-06-05T00:00:00"/>
        <d v="2024-06-06T00:00:00"/>
        <d v="2024-06-07T00:00:00"/>
        <d v="2024-06-08T00:00:00"/>
        <d v="2024-06-09T00:00:00"/>
        <d v="2024-06-10T00:00:00"/>
        <d v="2024-06-18T00:00:00"/>
        <d v="2024-06-19T00:00:00"/>
        <d v="2024-06-20T00:00:00"/>
        <d v="2024-06-22T00:00:00"/>
        <d v="2024-06-23T00:00:00"/>
        <d v="2024-06-24T00:00:00"/>
        <d v="2024-06-25T00:00:00"/>
        <d v="2024-06-26T00:00:00"/>
        <d v="2024-06-27T00:00:00"/>
        <d v="2024-06-28T00:00:00"/>
        <d v="2024-07-22T00:00:00"/>
        <d v="2024-07-23T00:00:00"/>
        <d v="2024-07-24T00:00:00"/>
        <d v="2024-07-25T00:00:00"/>
        <d v="2024-07-26T00:00:00"/>
        <d v="2024-07-27T00:00:00"/>
        <d v="2024-07-28T00:00:00"/>
        <d v="2024-07-29T00:00:00"/>
        <d v="2024-07-30T00:00:00"/>
        <d v="2024-07-31T00:00:00"/>
        <d v="2024-08-01T00:00:00"/>
        <d v="2024-08-02T00:00:00"/>
        <d v="2024-08-04T00:00:00"/>
        <d v="2024-08-05T00:00:00"/>
        <d v="2024-08-24T00:00:00"/>
        <d v="2024-08-25T00:00:00"/>
        <d v="2024-08-26T00:00:00"/>
        <d v="2024-08-27T00:00:00"/>
        <d v="2024-08-28T00:00:00"/>
        <d v="2024-08-29T00:00:00"/>
        <d v="2024-08-30T00:00:00"/>
        <d v="2024-09-01T00:00:00"/>
        <d v="2024-09-02T00:00:00"/>
        <d v="2024-09-03T00:00:00"/>
        <d v="2024-09-04T00:00:00"/>
        <d v="2024-09-06T00:00:00"/>
        <d v="2024-09-07T00:00:00"/>
        <d v="2024-09-20T00:00:00"/>
        <d v="2024-09-21T00:00:00"/>
        <d v="2024-09-22T00:00:00"/>
        <d v="2024-09-23T00:00:00"/>
        <d v="2024-09-24T00:00:00"/>
        <d v="2024-09-25T00:00:00"/>
        <d v="2024-09-26T00:00:00"/>
        <d v="2024-10-04T00:00:00"/>
        <d v="2024-10-05T00:00:00"/>
        <d v="2024-10-07T00:00:00"/>
        <d v="2024-10-08T00:00:00"/>
        <d v="2024-10-09T00:00:00"/>
        <d v="2024-10-10T00:00:00"/>
        <d v="2024-10-11T00:00:00"/>
        <d v="2024-10-12T00:00:00"/>
        <d v="2024-10-14T00:00:00"/>
        <d v="2024-10-27T00:00:00"/>
        <d v="2024-10-28T00:00:00"/>
        <d v="2024-10-29T00:00:00"/>
        <d v="2024-10-30T00:00:00"/>
        <d v="2024-11-07T00:00:00"/>
        <d v="2024-11-08T00:00:00"/>
        <d v="2024-11-10T00:00:00"/>
        <d v="2024-11-11T00:00:00"/>
        <d v="2024-11-12T00:00:00"/>
        <d v="2024-12-10T00:00:00"/>
        <d v="2024-12-12T00:00:00"/>
        <d v="2024-12-13T00:00:00"/>
        <d v="2024-12-14T00:00:00"/>
        <d v="2024-12-15T00:00:00"/>
        <d v="2024-12-17T00:00:00"/>
        <d v="2024-12-18T00:00:00"/>
        <d v="2024-12-19T00:00:00"/>
        <d v="2024-12-21T00:00:00"/>
        <d v="2024-12-23T00:00:00"/>
        <d v="2024-12-24T00:00:00"/>
        <d v="2024-12-25T00:00:00"/>
        <d v="2024-12-26T00:00:00"/>
        <d v="2024-12-28T00:00:00"/>
        <d v="2024-12-29T00:00:00"/>
        <d v="2024-12-30T00:00:00"/>
        <d v="2024-12-31T00:00:00"/>
        <d v="2025-01-01T00:00:00"/>
        <d v="2025-01-09T00:00:00"/>
        <d v="2025-01-10T00:00:00"/>
        <d v="2025-01-11T00:00:00"/>
        <d v="2025-01-12T00:00:00"/>
        <d v="2025-01-13T00:00:00"/>
        <d v="2025-01-15T00:00:00"/>
        <d v="2025-01-16T00:00:00"/>
        <d v="2025-01-17T00:00:00"/>
        <d v="2025-01-18T00:00:00"/>
        <d v="2025-01-19T00:00:00"/>
        <d v="2025-02-12T00:00:00"/>
        <d v="2025-02-13T00:00:00"/>
        <d v="2025-02-15T00:00:00"/>
        <d v="2025-02-16T00:00:00"/>
        <d v="2025-02-17T00:00:00"/>
        <d v="2025-02-18T00:00:00"/>
        <d v="2025-02-19T00:00:00"/>
        <d v="2025-02-20T00:00:00"/>
        <d v="2025-02-22T00:00:00"/>
        <d v="2025-02-23T00:00:00"/>
        <d v="2025-02-24T00:00:00"/>
        <d v="2025-02-25T00:00:00"/>
      </sharedItems>
      <fieldGroup par="16"/>
    </cacheField>
    <cacheField name="Month" numFmtId="164">
      <sharedItems/>
    </cacheField>
    <cacheField name="Name" numFmtId="0">
      <sharedItems/>
    </cacheField>
    <cacheField name="Category" numFmtId="0">
      <sharedItems count="3">
        <s v="Decor"/>
        <s v="Fashion "/>
        <s v="Electronic"/>
      </sharedItems>
    </cacheField>
    <cacheField name="Product Name" numFmtId="0">
      <sharedItems count="11">
        <s v="Car accessories"/>
        <s v="Women dress"/>
        <s v="Home décor"/>
        <s v="Speaker"/>
        <s v="TV"/>
        <s v="Saree"/>
        <s v="Laptop"/>
        <s v="Suit"/>
        <s v="Earbuds"/>
        <s v="Male dress"/>
        <s v="CHAIR"/>
      </sharedItems>
    </cacheField>
    <cacheField name="State" numFmtId="0">
      <sharedItems count="20">
        <s v="Assam"/>
        <s v="Punjab"/>
        <s v="Chhattisgarh"/>
        <s v="West Bengal"/>
        <s v="Madhya Pradesh"/>
        <s v="Jharkhand"/>
        <s v="Gujarat"/>
        <s v="Uttar Pradesh"/>
        <s v="Maharashtra"/>
        <s v="Chandigarh"/>
        <s v="Andhra Pradesh"/>
        <s v="Bihar"/>
        <s v="Rajasthan"/>
        <s v="Tamil Nadu"/>
        <s v="Delhi"/>
        <s v="Karnataka"/>
        <s v="Telangana"/>
        <s v="Kerala"/>
        <s v="Himachal Pradesh"/>
        <s v="Uttarakhand"/>
      </sharedItems>
    </cacheField>
    <cacheField name="Gender" numFmtId="0">
      <sharedItems/>
    </cacheField>
    <cacheField name="Quantity" numFmtId="0">
      <sharedItems containsSemiMixedTypes="0" containsString="0" containsNumber="1" containsInteger="1" minValue="10" maxValue="100"/>
    </cacheField>
    <cacheField name="Cost" numFmtId="0">
      <sharedItems containsSemiMixedTypes="0" containsString="0" containsNumber="1" containsInteger="1" minValue="500" maxValue="1000"/>
    </cacheField>
    <cacheField name="Price" numFmtId="0">
      <sharedItems containsSemiMixedTypes="0" containsString="0" containsNumber="1" containsInteger="1" minValue="750" maxValue="1500"/>
    </cacheField>
    <cacheField name="Purchase Cost" numFmtId="0">
      <sharedItems containsSemiMixedTypes="0" containsString="0" containsNumber="1" containsInteger="1" minValue="5190" maxValue="95254"/>
    </cacheField>
    <cacheField name="Sale Price" numFmtId="0">
      <sharedItems containsSemiMixedTypes="0" containsString="0" containsNumber="1" containsInteger="1" minValue="8010" maxValue="146600"/>
    </cacheField>
    <cacheField name="Profit" numFmtId="0">
      <sharedItems containsSemiMixedTypes="0" containsString="0" containsNumber="1" containsInteger="1" minValue="-14996" maxValue="88949"/>
    </cacheField>
    <cacheField name="Status" numFmtId="0">
      <sharedItems/>
    </cacheField>
    <cacheField name="Months (Date)" numFmtId="0" databaseField="0">
      <fieldGroup base="0">
        <rangePr groupBy="months" startDate="2024-04-01T00:00:00" endDate="2025-02-26T00:00:00"/>
        <groupItems count="14">
          <s v="&lt;4/1/2024"/>
          <s v="Jan"/>
          <s v="Feb"/>
          <s v="Mar"/>
          <s v="Apr"/>
          <s v="May"/>
          <s v="Jun"/>
          <s v="Jul"/>
          <s v="Aug"/>
          <s v="Sep"/>
          <s v="Oct"/>
          <s v="Nov"/>
          <s v="Dec"/>
          <s v="&gt;2/26/2025"/>
        </groupItems>
      </fieldGroup>
    </cacheField>
    <cacheField name="Quarters (Date)" numFmtId="0" databaseField="0">
      <fieldGroup base="0">
        <rangePr groupBy="quarters" startDate="2024-04-01T00:00:00" endDate="2025-02-26T00:00:00"/>
        <groupItems count="6">
          <s v="&lt;4/1/2024"/>
          <s v="Qtr1"/>
          <s v="Qtr2"/>
          <s v="Qtr3"/>
          <s v="Qtr4"/>
          <s v="&gt;2/26/2025"/>
        </groupItems>
      </fieldGroup>
    </cacheField>
    <cacheField name="Years (Date)" numFmtId="0" databaseField="0">
      <fieldGroup base="0">
        <rangePr groupBy="years" startDate="2024-04-01T00:00:00" endDate="2025-02-26T00:00:00"/>
        <groupItems count="4">
          <s v="&lt;4/1/2024"/>
          <s v="2024"/>
          <s v="2025"/>
          <s v="&gt;2/26/2025"/>
        </groupItems>
      </fieldGroup>
    </cacheField>
  </cacheFields>
  <extLst>
    <ext xmlns:x14="http://schemas.microsoft.com/office/spreadsheetml/2009/9/main" uri="{725AE2AE-9491-48be-B2B4-4EB974FC3084}">
      <x14:pivotCacheDefinition pivotCacheId="2374083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2">
  <r>
    <x v="0"/>
    <s v="june"/>
    <s v="Horizon Wellness"/>
    <x v="0"/>
    <x v="0"/>
    <x v="0"/>
    <s v="Female"/>
    <n v="17"/>
    <n v="938"/>
    <n v="938"/>
    <n v="15946"/>
    <n v="15946"/>
    <n v="0"/>
    <s v="loss"/>
  </r>
  <r>
    <x v="1"/>
    <s v="june"/>
    <s v="True Value Electronics"/>
    <x v="0"/>
    <x v="0"/>
    <x v="1"/>
    <s v="Female"/>
    <n v="18"/>
    <n v="920"/>
    <n v="1360"/>
    <n v="16560"/>
    <n v="24480"/>
    <n v="7920"/>
    <s v="profit"/>
  </r>
  <r>
    <x v="2"/>
    <s v="june"/>
    <s v="Harmony Homes Realty"/>
    <x v="0"/>
    <x v="0"/>
    <x v="2"/>
    <s v="Female"/>
    <n v="20"/>
    <n v="731"/>
    <n v="1186"/>
    <n v="14620"/>
    <n v="23720"/>
    <n v="9100"/>
    <s v="profit"/>
  </r>
  <r>
    <x v="3"/>
    <s v="june"/>
    <s v="Stellar Advertising"/>
    <x v="0"/>
    <x v="0"/>
    <x v="3"/>
    <s v="Female"/>
    <n v="17"/>
    <n v="750"/>
    <n v="793"/>
    <n v="12750"/>
    <n v="13481"/>
    <n v="731"/>
    <s v="profit"/>
  </r>
  <r>
    <x v="4"/>
    <s v="june"/>
    <s v="Modern Trends Retail"/>
    <x v="0"/>
    <x v="0"/>
    <x v="4"/>
    <s v="Male"/>
    <n v="14"/>
    <n v="906"/>
    <n v="1327"/>
    <n v="12684"/>
    <n v="18578"/>
    <n v="5894"/>
    <s v="profit"/>
  </r>
  <r>
    <x v="5"/>
    <s v="june"/>
    <s v="Global Spectrum Consulting"/>
    <x v="0"/>
    <x v="0"/>
    <x v="5"/>
    <s v="Male"/>
    <n v="20"/>
    <n v="699"/>
    <n v="1400"/>
    <n v="13980"/>
    <n v="28000"/>
    <n v="14020"/>
    <s v="profit"/>
  </r>
  <r>
    <x v="6"/>
    <s v="april"/>
    <s v="Apex Solutions"/>
    <x v="1"/>
    <x v="1"/>
    <x v="6"/>
    <s v="Male"/>
    <n v="55"/>
    <n v="637"/>
    <n v="1143"/>
    <n v="35035"/>
    <n v="62865"/>
    <n v="27830"/>
    <s v="profit"/>
  </r>
  <r>
    <x v="7"/>
    <s v="june"/>
    <s v="Radiant Vision Studios"/>
    <x v="0"/>
    <x v="2"/>
    <x v="6"/>
    <s v="Female"/>
    <n v="17"/>
    <n v="537"/>
    <n v="1350"/>
    <n v="9129"/>
    <n v="22950"/>
    <n v="13821"/>
    <s v="profit"/>
  </r>
  <r>
    <x v="8"/>
    <s v="june"/>
    <s v="Noble Travel Services"/>
    <x v="0"/>
    <x v="2"/>
    <x v="7"/>
    <s v="Female"/>
    <n v="20"/>
    <n v="875"/>
    <n v="911"/>
    <n v="17500"/>
    <n v="18220"/>
    <n v="720"/>
    <s v="profit"/>
  </r>
  <r>
    <x v="9"/>
    <s v="july"/>
    <s v="Bright Future Academy"/>
    <x v="0"/>
    <x v="2"/>
    <x v="7"/>
    <s v="Female"/>
    <n v="13"/>
    <n v="917"/>
    <n v="1315"/>
    <n v="11921"/>
    <n v="17095"/>
    <n v="5174"/>
    <s v="profit"/>
  </r>
  <r>
    <x v="10"/>
    <s v="july"/>
    <s v="Visionary Health Systems"/>
    <x v="0"/>
    <x v="2"/>
    <x v="4"/>
    <s v="Female"/>
    <n v="12"/>
    <n v="980"/>
    <n v="1462"/>
    <n v="11760"/>
    <n v="17544"/>
    <n v="5784"/>
    <s v="profit"/>
  </r>
  <r>
    <x v="11"/>
    <s v="july"/>
    <s v="Apex Retailers"/>
    <x v="0"/>
    <x v="2"/>
    <x v="8"/>
    <s v="Female"/>
    <n v="12"/>
    <n v="734"/>
    <n v="1181"/>
    <n v="8808"/>
    <n v="14172"/>
    <n v="5364"/>
    <s v="profit"/>
  </r>
  <r>
    <x v="12"/>
    <s v="april"/>
    <s v="Metro Tech Solutions"/>
    <x v="2"/>
    <x v="3"/>
    <x v="8"/>
    <s v="Female"/>
    <n v="29"/>
    <n v="951"/>
    <n v="1268"/>
    <n v="27579"/>
    <n v="36772"/>
    <n v="9193"/>
    <s v="profit"/>
  </r>
  <r>
    <x v="13"/>
    <s v="july"/>
    <s v="Prestige Property Developers"/>
    <x v="0"/>
    <x v="2"/>
    <x v="9"/>
    <s v="Female"/>
    <n v="12"/>
    <n v="913"/>
    <n v="1170"/>
    <n v="10956"/>
    <n v="14040"/>
    <n v="3084"/>
    <s v="profit"/>
  </r>
  <r>
    <x v="14"/>
    <s v="july"/>
    <s v="Classic Trends Fashion"/>
    <x v="0"/>
    <x v="2"/>
    <x v="4"/>
    <s v="Male"/>
    <n v="20"/>
    <n v="833"/>
    <n v="877"/>
    <n v="16660"/>
    <n v="17540"/>
    <n v="880"/>
    <s v="profit"/>
  </r>
  <r>
    <x v="15"/>
    <s v="july"/>
    <s v="Harmony Ventures"/>
    <x v="0"/>
    <x v="2"/>
    <x v="10"/>
    <s v="Male"/>
    <n v="17"/>
    <n v="748"/>
    <n v="1138"/>
    <n v="12716"/>
    <n v="19346"/>
    <n v="6630"/>
    <s v="profit"/>
  </r>
  <r>
    <x v="16"/>
    <s v="july"/>
    <s v="Stellar Realty"/>
    <x v="0"/>
    <x v="2"/>
    <x v="11"/>
    <s v="Male"/>
    <n v="20"/>
    <n v="517"/>
    <n v="1405"/>
    <n v="10340"/>
    <n v="28100"/>
    <n v="17760"/>
    <s v="profit"/>
  </r>
  <r>
    <x v="17"/>
    <s v="july"/>
    <s v="Future Path Technologies"/>
    <x v="0"/>
    <x v="2"/>
    <x v="6"/>
    <s v="Male"/>
    <n v="18"/>
    <n v="674"/>
    <n v="775"/>
    <n v="12132"/>
    <n v="13950"/>
    <n v="1818"/>
    <s v="profit"/>
  </r>
  <r>
    <x v="18"/>
    <s v="july"/>
    <s v="Elite Edge Services"/>
    <x v="0"/>
    <x v="2"/>
    <x v="7"/>
    <s v="Female"/>
    <n v="17"/>
    <n v="641"/>
    <n v="765"/>
    <n v="10897"/>
    <n v="13005"/>
    <n v="2108"/>
    <s v="profit"/>
  </r>
  <r>
    <x v="19"/>
    <s v="august"/>
    <s v="Modern Harmony Products"/>
    <x v="0"/>
    <x v="2"/>
    <x v="8"/>
    <s v="Female"/>
    <n v="10"/>
    <n v="754"/>
    <n v="982"/>
    <n v="7540"/>
    <n v="9820"/>
    <n v="2280"/>
    <s v="profit"/>
  </r>
  <r>
    <x v="20"/>
    <s v="august"/>
    <s v="Horizon Builders &amp; Developers"/>
    <x v="0"/>
    <x v="2"/>
    <x v="12"/>
    <s v="Female"/>
    <n v="14"/>
    <n v="815"/>
    <n v="1341"/>
    <n v="11410"/>
    <n v="18774"/>
    <n v="7364"/>
    <s v="profit"/>
  </r>
  <r>
    <x v="21"/>
    <s v="august"/>
    <s v="Legacy Apparel"/>
    <x v="0"/>
    <x v="2"/>
    <x v="7"/>
    <s v="Female"/>
    <n v="18"/>
    <n v="704"/>
    <n v="930"/>
    <n v="12672"/>
    <n v="16740"/>
    <n v="4068"/>
    <s v="profit"/>
  </r>
  <r>
    <x v="22"/>
    <s v="april"/>
    <s v="Elite Marketing Solutions"/>
    <x v="2"/>
    <x v="4"/>
    <x v="13"/>
    <s v="Male"/>
    <n v="25"/>
    <n v="958"/>
    <n v="942"/>
    <n v="23950"/>
    <n v="23550"/>
    <n v="-400"/>
    <s v="loss"/>
  </r>
  <r>
    <x v="23"/>
    <s v="august"/>
    <s v="Pinnacle Education Group"/>
    <x v="0"/>
    <x v="2"/>
    <x v="7"/>
    <s v="Female"/>
    <n v="19"/>
    <n v="744"/>
    <n v="1433"/>
    <n v="14136"/>
    <n v="27227"/>
    <n v="13091"/>
    <s v="profit"/>
  </r>
  <r>
    <x v="24"/>
    <s v="april"/>
    <s v="Crystal Clear Solutions"/>
    <x v="2"/>
    <x v="4"/>
    <x v="12"/>
    <s v="Female"/>
    <n v="26"/>
    <n v="520"/>
    <n v="1486"/>
    <n v="13520"/>
    <n v="38636"/>
    <n v="25116"/>
    <s v="profit"/>
  </r>
  <r>
    <x v="25"/>
    <s v="august"/>
    <s v="Noble Innovations"/>
    <x v="0"/>
    <x v="2"/>
    <x v="8"/>
    <s v="Male"/>
    <n v="10"/>
    <n v="669"/>
    <n v="1344"/>
    <n v="6690"/>
    <n v="13440"/>
    <n v="6750"/>
    <s v="profit"/>
  </r>
  <r>
    <x v="26"/>
    <s v="august"/>
    <s v="Crystal Clear Realty"/>
    <x v="0"/>
    <x v="2"/>
    <x v="4"/>
    <s v="Male"/>
    <n v="20"/>
    <n v="966"/>
    <n v="924"/>
    <n v="19320"/>
    <n v="18480"/>
    <n v="-840"/>
    <s v="loss"/>
  </r>
  <r>
    <x v="27"/>
    <s v="september"/>
    <s v="Apex Publishing House"/>
    <x v="0"/>
    <x v="2"/>
    <x v="14"/>
    <s v="Male"/>
    <n v="18"/>
    <n v="859"/>
    <n v="1044"/>
    <n v="15462"/>
    <n v="18792"/>
    <n v="3330"/>
    <s v="profit"/>
  </r>
  <r>
    <x v="28"/>
    <s v="september"/>
    <s v="True Value Consulting"/>
    <x v="0"/>
    <x v="2"/>
    <x v="8"/>
    <s v="Male"/>
    <n v="15"/>
    <n v="890"/>
    <n v="1362"/>
    <n v="13350"/>
    <n v="20430"/>
    <n v="7080"/>
    <s v="profit"/>
  </r>
  <r>
    <x v="29"/>
    <s v="september"/>
    <s v="Future Path Ventures"/>
    <x v="0"/>
    <x v="2"/>
    <x v="3"/>
    <s v="Male"/>
    <n v="19"/>
    <n v="630"/>
    <n v="882"/>
    <n v="11970"/>
    <n v="16758"/>
    <n v="4788"/>
    <s v="profit"/>
  </r>
  <r>
    <x v="30"/>
    <s v="september"/>
    <s v="Stellar Tech Services"/>
    <x v="0"/>
    <x v="2"/>
    <x v="13"/>
    <s v="Male"/>
    <n v="10"/>
    <n v="701"/>
    <n v="1384"/>
    <n v="7010"/>
    <n v="13840"/>
    <n v="6830"/>
    <s v="profit"/>
  </r>
  <r>
    <x v="31"/>
    <s v="september"/>
    <s v="Legacy Travel Agency"/>
    <x v="0"/>
    <x v="2"/>
    <x v="15"/>
    <s v="Female"/>
    <n v="19"/>
    <n v="653"/>
    <n v="1402"/>
    <n v="12407"/>
    <n v="26638"/>
    <n v="14231"/>
    <s v="profit"/>
  </r>
  <r>
    <x v="32"/>
    <s v="september"/>
    <s v="Harmony Innovations"/>
    <x v="0"/>
    <x v="2"/>
    <x v="16"/>
    <s v="Female"/>
    <n v="14"/>
    <n v="968"/>
    <n v="1419"/>
    <n v="13552"/>
    <n v="19866"/>
    <n v="6314"/>
    <s v="profit"/>
  </r>
  <r>
    <x v="33"/>
    <s v="september"/>
    <s v="Elite Media Group"/>
    <x v="0"/>
    <x v="2"/>
    <x v="8"/>
    <s v="Female"/>
    <n v="20"/>
    <n v="508"/>
    <n v="1433"/>
    <n v="10160"/>
    <n v="28660"/>
    <n v="18500"/>
    <s v="profit"/>
  </r>
  <r>
    <x v="34"/>
    <s v="september"/>
    <s v="Radiant Construction"/>
    <x v="0"/>
    <x v="2"/>
    <x v="12"/>
    <s v="Female"/>
    <n v="12"/>
    <n v="539"/>
    <n v="1136"/>
    <n v="6468"/>
    <n v="13632"/>
    <n v="7164"/>
    <s v="profit"/>
  </r>
  <r>
    <x v="35"/>
    <s v="september"/>
    <s v="Pinnacle Finance"/>
    <x v="0"/>
    <x v="2"/>
    <x v="6"/>
    <s v="Female"/>
    <n v="10"/>
    <n v="731"/>
    <n v="1226"/>
    <n v="7310"/>
    <n v="12260"/>
    <n v="4950"/>
    <s v="profit"/>
  </r>
  <r>
    <x v="36"/>
    <s v="september"/>
    <s v="Horizon Tech Ventures"/>
    <x v="0"/>
    <x v="2"/>
    <x v="7"/>
    <s v="Female"/>
    <n v="15"/>
    <n v="621"/>
    <n v="1488"/>
    <n v="9315"/>
    <n v="22320"/>
    <n v="13005"/>
    <s v="profit"/>
  </r>
  <r>
    <x v="37"/>
    <s v="september"/>
    <s v="Elite Edge Consulting"/>
    <x v="0"/>
    <x v="0"/>
    <x v="6"/>
    <s v="Male"/>
    <n v="16"/>
    <n v="963"/>
    <n v="1186"/>
    <n v="15408"/>
    <n v="18976"/>
    <n v="3568"/>
    <s v="profit"/>
  </r>
  <r>
    <x v="38"/>
    <s v="september"/>
    <s v="Harmony Tech Ventures"/>
    <x v="0"/>
    <x v="0"/>
    <x v="7"/>
    <s v="Female"/>
    <n v="13"/>
    <n v="762"/>
    <n v="1311"/>
    <n v="9906"/>
    <n v="17043"/>
    <n v="7137"/>
    <s v="profit"/>
  </r>
  <r>
    <x v="39"/>
    <s v="october"/>
    <s v="Radiant Fitness Studio"/>
    <x v="0"/>
    <x v="0"/>
    <x v="13"/>
    <s v="Female"/>
    <n v="14"/>
    <n v="909"/>
    <n v="780"/>
    <n v="12726"/>
    <n v="10920"/>
    <n v="-1806"/>
    <s v="loss"/>
  </r>
  <r>
    <x v="40"/>
    <s v="october"/>
    <s v="Zenith Finance Co."/>
    <x v="0"/>
    <x v="0"/>
    <x v="12"/>
    <s v="Female"/>
    <n v="11"/>
    <n v="858"/>
    <n v="1080"/>
    <n v="9438"/>
    <n v="11880"/>
    <n v="2442"/>
    <s v="profit"/>
  </r>
  <r>
    <x v="41"/>
    <s v="october"/>
    <s v="Apex Events Management"/>
    <x v="0"/>
    <x v="0"/>
    <x v="7"/>
    <s v="Female"/>
    <n v="12"/>
    <n v="516"/>
    <n v="857"/>
    <n v="6192"/>
    <n v="10284"/>
    <n v="4092"/>
    <s v="profit"/>
  </r>
  <r>
    <x v="42"/>
    <s v="october"/>
    <s v="Stellar Media Group"/>
    <x v="0"/>
    <x v="2"/>
    <x v="5"/>
    <s v="Male"/>
    <n v="20"/>
    <n v="817"/>
    <n v="1324"/>
    <n v="16340"/>
    <n v="26480"/>
    <n v="10140"/>
    <s v="profit"/>
  </r>
  <r>
    <x v="43"/>
    <s v="october"/>
    <s v="Harmony Finance Co."/>
    <x v="0"/>
    <x v="2"/>
    <x v="3"/>
    <s v="Male"/>
    <n v="16"/>
    <n v="935"/>
    <n v="980"/>
    <n v="14960"/>
    <n v="15680"/>
    <n v="720"/>
    <s v="profit"/>
  </r>
  <r>
    <x v="44"/>
    <s v="october"/>
    <s v="Pure Vision Ventures"/>
    <x v="0"/>
    <x v="2"/>
    <x v="15"/>
    <s v="Male"/>
    <n v="17"/>
    <n v="642"/>
    <n v="1095"/>
    <n v="10914"/>
    <n v="18615"/>
    <n v="7701"/>
    <s v="profit"/>
  </r>
  <r>
    <x v="45"/>
    <s v="october"/>
    <s v="Legacy Travel Services"/>
    <x v="0"/>
    <x v="2"/>
    <x v="6"/>
    <s v="Female"/>
    <n v="18"/>
    <n v="596"/>
    <n v="817"/>
    <n v="10728"/>
    <n v="14706"/>
    <n v="3978"/>
    <s v="profit"/>
  </r>
  <r>
    <x v="46"/>
    <s v="october"/>
    <s v="Elite Spectrum Media"/>
    <x v="0"/>
    <x v="2"/>
    <x v="7"/>
    <s v="Female"/>
    <n v="14"/>
    <n v="533"/>
    <n v="922"/>
    <n v="7462"/>
    <n v="12908"/>
    <n v="5446"/>
    <s v="profit"/>
  </r>
  <r>
    <x v="47"/>
    <s v="october"/>
    <s v="Pinnacle Design Studio"/>
    <x v="0"/>
    <x v="2"/>
    <x v="13"/>
    <s v="Female"/>
    <n v="19"/>
    <n v="578"/>
    <n v="1434"/>
    <n v="10982"/>
    <n v="27246"/>
    <n v="16264"/>
    <s v="profit"/>
  </r>
  <r>
    <x v="48"/>
    <s v="january"/>
    <s v="Legacy Travel Ventures"/>
    <x v="0"/>
    <x v="0"/>
    <x v="3"/>
    <s v="Female"/>
    <n v="14"/>
    <n v="521"/>
    <n v="974"/>
    <n v="7294"/>
    <n v="13636"/>
    <n v="6342"/>
    <s v="profit"/>
  </r>
  <r>
    <x v="49"/>
    <s v="may"/>
    <s v="Absolute Solutions"/>
    <x v="1"/>
    <x v="5"/>
    <x v="6"/>
    <s v="Male"/>
    <n v="79"/>
    <n v="616"/>
    <n v="944"/>
    <n v="48664"/>
    <n v="74576"/>
    <n v="25912"/>
    <s v="profit"/>
  </r>
  <r>
    <x v="50"/>
    <s v="january"/>
    <s v="Stellar Design Group"/>
    <x v="0"/>
    <x v="0"/>
    <x v="14"/>
    <s v="Female"/>
    <n v="14"/>
    <n v="734"/>
    <n v="1058"/>
    <n v="10276"/>
    <n v="14812"/>
    <n v="4536"/>
    <s v="profit"/>
  </r>
  <r>
    <x v="51"/>
    <s v="january"/>
    <s v="Horizon Ventures Co."/>
    <x v="0"/>
    <x v="0"/>
    <x v="1"/>
    <s v="Female"/>
    <n v="20"/>
    <n v="837"/>
    <n v="1014"/>
    <n v="16740"/>
    <n v="20280"/>
    <n v="3540"/>
    <s v="profit"/>
  </r>
  <r>
    <x v="52"/>
    <s v="january"/>
    <s v="Zenith Wellness Services"/>
    <x v="0"/>
    <x v="0"/>
    <x v="3"/>
    <s v="Male"/>
    <n v="11"/>
    <n v="617"/>
    <n v="1025"/>
    <n v="6787"/>
    <n v="11275"/>
    <n v="4488"/>
    <s v="profit"/>
  </r>
  <r>
    <x v="53"/>
    <s v="january"/>
    <s v="Legacy Travel Co."/>
    <x v="0"/>
    <x v="2"/>
    <x v="0"/>
    <s v="Female"/>
    <n v="20"/>
    <n v="749"/>
    <n v="753"/>
    <n v="14980"/>
    <n v="15060"/>
    <n v="80"/>
    <s v="profit"/>
  </r>
  <r>
    <x v="54"/>
    <s v="january"/>
    <s v="Pinnacle Innovations Group"/>
    <x v="0"/>
    <x v="2"/>
    <x v="1"/>
    <s v="Female"/>
    <n v="15"/>
    <n v="924"/>
    <n v="1024"/>
    <n v="13860"/>
    <n v="15360"/>
    <n v="1500"/>
    <s v="profit"/>
  </r>
  <r>
    <x v="55"/>
    <s v="january"/>
    <s v="Stellar Health Services"/>
    <x v="0"/>
    <x v="2"/>
    <x v="2"/>
    <s v="Female"/>
    <n v="18"/>
    <n v="601"/>
    <n v="1246"/>
    <n v="10818"/>
    <n v="22428"/>
    <n v="11610"/>
    <s v="profit"/>
  </r>
  <r>
    <x v="56"/>
    <s v="january"/>
    <s v="Radiance Design Co."/>
    <x v="0"/>
    <x v="2"/>
    <x v="3"/>
    <s v="Female"/>
    <n v="17"/>
    <n v="626"/>
    <n v="1462"/>
    <n v="10642"/>
    <n v="24854"/>
    <n v="14212"/>
    <s v="profit"/>
  </r>
  <r>
    <x v="57"/>
    <s v="january"/>
    <s v="Harmony Consulting Group"/>
    <x v="0"/>
    <x v="2"/>
    <x v="3"/>
    <s v="Female"/>
    <n v="13"/>
    <n v="542"/>
    <n v="853"/>
    <n v="7046"/>
    <n v="11089"/>
    <n v="4043"/>
    <s v="profit"/>
  </r>
  <r>
    <x v="58"/>
    <s v="may"/>
    <s v="Synergy Tech Solutions"/>
    <x v="1"/>
    <x v="5"/>
    <x v="11"/>
    <s v="Male"/>
    <n v="50"/>
    <n v="639"/>
    <n v="789"/>
    <n v="31950"/>
    <n v="39450"/>
    <n v="7500"/>
    <s v="profit"/>
  </r>
  <r>
    <x v="59"/>
    <s v="january"/>
    <s v="Apex Educational Group"/>
    <x v="0"/>
    <x v="2"/>
    <x v="5"/>
    <s v="Male"/>
    <n v="19"/>
    <n v="595"/>
    <n v="1424"/>
    <n v="11305"/>
    <n v="27056"/>
    <n v="15751"/>
    <s v="profit"/>
  </r>
  <r>
    <x v="60"/>
    <s v="january"/>
    <s v="Modern Wellness Co."/>
    <x v="0"/>
    <x v="2"/>
    <x v="3"/>
    <s v="Male"/>
    <n v="17"/>
    <n v="593"/>
    <n v="895"/>
    <n v="10081"/>
    <n v="15215"/>
    <n v="5134"/>
    <s v="profit"/>
  </r>
  <r>
    <x v="61"/>
    <s v="january"/>
    <s v="Pure Spectrum Innovations"/>
    <x v="0"/>
    <x v="2"/>
    <x v="7"/>
    <s v="Male"/>
    <n v="20"/>
    <n v="735"/>
    <n v="1277"/>
    <n v="14700"/>
    <n v="25540"/>
    <n v="10840"/>
    <s v="profit"/>
  </r>
  <r>
    <x v="62"/>
    <s v="january"/>
    <s v="Pinnacle Travel Co."/>
    <x v="0"/>
    <x v="2"/>
    <x v="17"/>
    <s v="Male"/>
    <n v="17"/>
    <n v="750"/>
    <n v="1253"/>
    <n v="12750"/>
    <n v="21301"/>
    <n v="8551"/>
    <s v="profit"/>
  </r>
  <r>
    <x v="0"/>
    <s v="june"/>
    <s v="Horizon Wellness"/>
    <x v="0"/>
    <x v="0"/>
    <x v="0"/>
    <s v="Female"/>
    <n v="11"/>
    <n v="601"/>
    <n v="1323"/>
    <n v="6611"/>
    <n v="14553"/>
    <n v="7942"/>
    <s v="profit"/>
  </r>
  <r>
    <x v="1"/>
    <s v="june"/>
    <s v="True Value Electronics"/>
    <x v="0"/>
    <x v="0"/>
    <x v="1"/>
    <s v="Female"/>
    <n v="20"/>
    <n v="857"/>
    <n v="983"/>
    <n v="17140"/>
    <n v="19660"/>
    <n v="2520"/>
    <s v="profit"/>
  </r>
  <r>
    <x v="2"/>
    <s v="june"/>
    <s v="Harmony Homes Realty"/>
    <x v="0"/>
    <x v="0"/>
    <x v="2"/>
    <s v="Female"/>
    <n v="11"/>
    <n v="774"/>
    <n v="1363"/>
    <n v="8514"/>
    <n v="14993"/>
    <n v="6479"/>
    <s v="profit"/>
  </r>
  <r>
    <x v="3"/>
    <s v="june"/>
    <s v="Stellar Advertising"/>
    <x v="0"/>
    <x v="0"/>
    <x v="3"/>
    <s v="Female"/>
    <n v="13"/>
    <n v="986"/>
    <n v="1073"/>
    <n v="12818"/>
    <n v="13949"/>
    <n v="1131"/>
    <s v="profit"/>
  </r>
  <r>
    <x v="4"/>
    <s v="june"/>
    <s v="Modern Trends Retail"/>
    <x v="0"/>
    <x v="0"/>
    <x v="4"/>
    <s v="Male"/>
    <n v="12"/>
    <n v="997"/>
    <n v="1445"/>
    <n v="11964"/>
    <n v="17340"/>
    <n v="5376"/>
    <s v="profit"/>
  </r>
  <r>
    <x v="5"/>
    <s v="june"/>
    <s v="Global Spectrum Consulting"/>
    <x v="0"/>
    <x v="0"/>
    <x v="5"/>
    <s v="Male"/>
    <n v="20"/>
    <n v="941"/>
    <n v="1053"/>
    <n v="18820"/>
    <n v="21060"/>
    <n v="2240"/>
    <s v="profit"/>
  </r>
  <r>
    <x v="7"/>
    <s v="june"/>
    <s v="Radiant Vision Studios"/>
    <x v="0"/>
    <x v="2"/>
    <x v="6"/>
    <s v="Female"/>
    <n v="19"/>
    <n v="952"/>
    <n v="1486"/>
    <n v="18088"/>
    <n v="28234"/>
    <n v="10146"/>
    <s v="profit"/>
  </r>
  <r>
    <x v="8"/>
    <s v="june"/>
    <s v="Noble Travel Services"/>
    <x v="0"/>
    <x v="2"/>
    <x v="7"/>
    <s v="Female"/>
    <n v="11"/>
    <n v="503"/>
    <n v="762"/>
    <n v="5533"/>
    <n v="8382"/>
    <n v="2849"/>
    <s v="profit"/>
  </r>
  <r>
    <x v="9"/>
    <s v="july"/>
    <s v="Bright Future Academy"/>
    <x v="0"/>
    <x v="2"/>
    <x v="7"/>
    <s v="Female"/>
    <n v="10"/>
    <n v="719"/>
    <n v="862"/>
    <n v="7190"/>
    <n v="8620"/>
    <n v="1430"/>
    <s v="profit"/>
  </r>
  <r>
    <x v="10"/>
    <s v="july"/>
    <s v="Visionary Health Systems"/>
    <x v="0"/>
    <x v="2"/>
    <x v="4"/>
    <s v="Female"/>
    <n v="15"/>
    <n v="941"/>
    <n v="913"/>
    <n v="14115"/>
    <n v="13695"/>
    <n v="-420"/>
    <s v="loss"/>
  </r>
  <r>
    <x v="11"/>
    <s v="july"/>
    <s v="Apex Retailers"/>
    <x v="0"/>
    <x v="2"/>
    <x v="8"/>
    <s v="Female"/>
    <n v="15"/>
    <n v="937"/>
    <n v="1427"/>
    <n v="14055"/>
    <n v="21405"/>
    <n v="7350"/>
    <s v="profit"/>
  </r>
  <r>
    <x v="13"/>
    <s v="july"/>
    <s v="Prestige Property Developers"/>
    <x v="0"/>
    <x v="2"/>
    <x v="9"/>
    <s v="Female"/>
    <n v="11"/>
    <n v="674"/>
    <n v="1415"/>
    <n v="7414"/>
    <n v="15565"/>
    <n v="8151"/>
    <s v="profit"/>
  </r>
  <r>
    <x v="63"/>
    <s v="june"/>
    <s v="Radiant Enterprise Solutions"/>
    <x v="0"/>
    <x v="0"/>
    <x v="3"/>
    <s v="Female"/>
    <n v="20"/>
    <n v="827"/>
    <n v="816"/>
    <n v="16540"/>
    <n v="16320"/>
    <n v="-220"/>
    <s v="loss"/>
  </r>
  <r>
    <x v="14"/>
    <s v="july"/>
    <s v="Classic Trends Fashion"/>
    <x v="0"/>
    <x v="2"/>
    <x v="4"/>
    <s v="Male"/>
    <n v="20"/>
    <n v="596"/>
    <n v="1255"/>
    <n v="11920"/>
    <n v="25100"/>
    <n v="13180"/>
    <s v="profit"/>
  </r>
  <r>
    <x v="15"/>
    <s v="july"/>
    <s v="Harmony Ventures"/>
    <x v="0"/>
    <x v="2"/>
    <x v="10"/>
    <s v="Male"/>
    <n v="20"/>
    <n v="689"/>
    <n v="939"/>
    <n v="13780"/>
    <n v="18780"/>
    <n v="5000"/>
    <s v="profit"/>
  </r>
  <r>
    <x v="16"/>
    <s v="july"/>
    <s v="Stellar Realty"/>
    <x v="0"/>
    <x v="2"/>
    <x v="11"/>
    <s v="Male"/>
    <n v="17"/>
    <n v="990"/>
    <n v="1391"/>
    <n v="16830"/>
    <n v="23647"/>
    <n v="6817"/>
    <s v="profit"/>
  </r>
  <r>
    <x v="17"/>
    <s v="july"/>
    <s v="Future Path Technologies"/>
    <x v="0"/>
    <x v="2"/>
    <x v="6"/>
    <s v="Male"/>
    <n v="20"/>
    <n v="589"/>
    <n v="773"/>
    <n v="11780"/>
    <n v="15460"/>
    <n v="3680"/>
    <s v="profit"/>
  </r>
  <r>
    <x v="18"/>
    <s v="july"/>
    <s v="Elite Edge Services"/>
    <x v="0"/>
    <x v="2"/>
    <x v="7"/>
    <s v="Female"/>
    <n v="17"/>
    <n v="773"/>
    <n v="1266"/>
    <n v="13141"/>
    <n v="21522"/>
    <n v="8381"/>
    <s v="profit"/>
  </r>
  <r>
    <x v="64"/>
    <s v="june"/>
    <s v="Infinite Solutions"/>
    <x v="1"/>
    <x v="5"/>
    <x v="8"/>
    <s v="Female"/>
    <n v="75"/>
    <n v="859"/>
    <n v="1486"/>
    <n v="64425"/>
    <n v="111450"/>
    <n v="47025"/>
    <s v="profit"/>
  </r>
  <r>
    <x v="19"/>
    <s v="august"/>
    <s v="Modern Harmony Products"/>
    <x v="0"/>
    <x v="2"/>
    <x v="8"/>
    <s v="Female"/>
    <n v="11"/>
    <n v="830"/>
    <n v="1386"/>
    <n v="9130"/>
    <n v="15246"/>
    <n v="6116"/>
    <s v="profit"/>
  </r>
  <r>
    <x v="20"/>
    <s v="august"/>
    <s v="Horizon Builders &amp; Developers"/>
    <x v="0"/>
    <x v="2"/>
    <x v="12"/>
    <s v="Female"/>
    <n v="11"/>
    <n v="930"/>
    <n v="876"/>
    <n v="10230"/>
    <n v="9636"/>
    <n v="-594"/>
    <s v="loss"/>
  </r>
  <r>
    <x v="21"/>
    <s v="august"/>
    <s v="Legacy Apparel"/>
    <x v="0"/>
    <x v="2"/>
    <x v="7"/>
    <s v="Female"/>
    <n v="19"/>
    <n v="654"/>
    <n v="1295"/>
    <n v="12426"/>
    <n v="24605"/>
    <n v="12179"/>
    <s v="profit"/>
  </r>
  <r>
    <x v="23"/>
    <s v="august"/>
    <s v="Pinnacle Education Group"/>
    <x v="0"/>
    <x v="2"/>
    <x v="7"/>
    <s v="Female"/>
    <n v="18"/>
    <n v="767"/>
    <n v="988"/>
    <n v="13806"/>
    <n v="17784"/>
    <n v="3978"/>
    <s v="profit"/>
  </r>
  <r>
    <x v="25"/>
    <s v="august"/>
    <s v="Noble Innovations"/>
    <x v="0"/>
    <x v="2"/>
    <x v="8"/>
    <s v="Male"/>
    <n v="12"/>
    <n v="654"/>
    <n v="788"/>
    <n v="7848"/>
    <n v="9456"/>
    <n v="1608"/>
    <s v="profit"/>
  </r>
  <r>
    <x v="26"/>
    <s v="august"/>
    <s v="Crystal Clear Realty"/>
    <x v="0"/>
    <x v="2"/>
    <x v="4"/>
    <s v="Male"/>
    <n v="11"/>
    <n v="827"/>
    <n v="765"/>
    <n v="9097"/>
    <n v="8415"/>
    <n v="-682"/>
    <s v="loss"/>
  </r>
  <r>
    <x v="27"/>
    <s v="september"/>
    <s v="Apex Publishing House"/>
    <x v="0"/>
    <x v="2"/>
    <x v="14"/>
    <s v="Male"/>
    <n v="12"/>
    <n v="561"/>
    <n v="1162"/>
    <n v="6732"/>
    <n v="13944"/>
    <n v="7212"/>
    <s v="profit"/>
  </r>
  <r>
    <x v="28"/>
    <s v="september"/>
    <s v="True Value Consulting"/>
    <x v="0"/>
    <x v="2"/>
    <x v="8"/>
    <s v="Male"/>
    <n v="12"/>
    <n v="879"/>
    <n v="1428"/>
    <n v="10548"/>
    <n v="17136"/>
    <n v="6588"/>
    <s v="profit"/>
  </r>
  <r>
    <x v="29"/>
    <s v="september"/>
    <s v="Future Path Ventures"/>
    <x v="0"/>
    <x v="2"/>
    <x v="3"/>
    <s v="Male"/>
    <n v="13"/>
    <n v="523"/>
    <n v="1326"/>
    <n v="6799"/>
    <n v="17238"/>
    <n v="10439"/>
    <s v="profit"/>
  </r>
  <r>
    <x v="30"/>
    <s v="september"/>
    <s v="Stellar Tech Services"/>
    <x v="0"/>
    <x v="2"/>
    <x v="13"/>
    <s v="Male"/>
    <n v="10"/>
    <n v="990"/>
    <n v="1030"/>
    <n v="9900"/>
    <n v="10300"/>
    <n v="400"/>
    <s v="profit"/>
  </r>
  <r>
    <x v="65"/>
    <s v="july"/>
    <s v="Synergy Solutions Group"/>
    <x v="0"/>
    <x v="2"/>
    <x v="8"/>
    <s v="Female"/>
    <n v="15"/>
    <n v="910"/>
    <n v="916"/>
    <n v="13650"/>
    <n v="13740"/>
    <n v="90"/>
    <s v="profit"/>
  </r>
  <r>
    <x v="31"/>
    <s v="september"/>
    <s v="Legacy Travel Agency"/>
    <x v="0"/>
    <x v="2"/>
    <x v="15"/>
    <s v="Female"/>
    <n v="12"/>
    <n v="707"/>
    <n v="1203"/>
    <n v="8484"/>
    <n v="14436"/>
    <n v="5952"/>
    <s v="profit"/>
  </r>
  <r>
    <x v="32"/>
    <s v="september"/>
    <s v="Harmony Innovations"/>
    <x v="0"/>
    <x v="2"/>
    <x v="16"/>
    <s v="Female"/>
    <n v="13"/>
    <n v="515"/>
    <n v="1095"/>
    <n v="6695"/>
    <n v="14235"/>
    <n v="7540"/>
    <s v="profit"/>
  </r>
  <r>
    <x v="33"/>
    <s v="september"/>
    <s v="Elite Media Group"/>
    <x v="0"/>
    <x v="2"/>
    <x v="8"/>
    <s v="Female"/>
    <n v="12"/>
    <n v="671"/>
    <n v="850"/>
    <n v="8052"/>
    <n v="10200"/>
    <n v="2148"/>
    <s v="profit"/>
  </r>
  <r>
    <x v="34"/>
    <s v="september"/>
    <s v="Radiant Construction"/>
    <x v="0"/>
    <x v="2"/>
    <x v="12"/>
    <s v="Female"/>
    <n v="12"/>
    <n v="500"/>
    <n v="1276"/>
    <n v="6000"/>
    <n v="15312"/>
    <n v="9312"/>
    <s v="profit"/>
  </r>
  <r>
    <x v="35"/>
    <s v="september"/>
    <s v="Pinnacle Finance"/>
    <x v="0"/>
    <x v="2"/>
    <x v="6"/>
    <s v="Female"/>
    <n v="18"/>
    <n v="602"/>
    <n v="1401"/>
    <n v="10836"/>
    <n v="25218"/>
    <n v="14382"/>
    <s v="profit"/>
  </r>
  <r>
    <x v="36"/>
    <s v="september"/>
    <s v="Horizon Tech Ventures"/>
    <x v="0"/>
    <x v="2"/>
    <x v="7"/>
    <s v="Female"/>
    <n v="18"/>
    <n v="629"/>
    <n v="945"/>
    <n v="11322"/>
    <n v="17010"/>
    <n v="5688"/>
    <s v="profit"/>
  </r>
  <r>
    <x v="37"/>
    <s v="september"/>
    <s v="Elite Edge Consulting"/>
    <x v="0"/>
    <x v="0"/>
    <x v="6"/>
    <s v="Male"/>
    <n v="17"/>
    <n v="565"/>
    <n v="1281"/>
    <n v="9605"/>
    <n v="21777"/>
    <n v="12172"/>
    <s v="profit"/>
  </r>
  <r>
    <x v="38"/>
    <s v="september"/>
    <s v="Harmony Tech Ventures"/>
    <x v="0"/>
    <x v="0"/>
    <x v="7"/>
    <s v="Female"/>
    <n v="10"/>
    <n v="917"/>
    <n v="1107"/>
    <n v="9170"/>
    <n v="11070"/>
    <n v="1900"/>
    <s v="profit"/>
  </r>
  <r>
    <x v="39"/>
    <s v="october"/>
    <s v="Radiant Fitness Studio"/>
    <x v="0"/>
    <x v="0"/>
    <x v="13"/>
    <s v="Female"/>
    <n v="18"/>
    <n v="867"/>
    <n v="875"/>
    <n v="15606"/>
    <n v="15750"/>
    <n v="144"/>
    <s v="profit"/>
  </r>
  <r>
    <x v="40"/>
    <s v="october"/>
    <s v="Zenith Finance Co."/>
    <x v="0"/>
    <x v="0"/>
    <x v="12"/>
    <s v="Female"/>
    <n v="10"/>
    <n v="757"/>
    <n v="885"/>
    <n v="7570"/>
    <n v="8850"/>
    <n v="1280"/>
    <s v="profit"/>
  </r>
  <r>
    <x v="41"/>
    <s v="october"/>
    <s v="Apex Events Management"/>
    <x v="0"/>
    <x v="0"/>
    <x v="7"/>
    <s v="Female"/>
    <n v="18"/>
    <n v="668"/>
    <n v="1366"/>
    <n v="12024"/>
    <n v="24588"/>
    <n v="12564"/>
    <s v="profit"/>
  </r>
  <r>
    <x v="42"/>
    <s v="october"/>
    <s v="Stellar Media Group"/>
    <x v="0"/>
    <x v="2"/>
    <x v="5"/>
    <s v="Male"/>
    <n v="20"/>
    <n v="882"/>
    <n v="1193"/>
    <n v="17640"/>
    <n v="23860"/>
    <n v="6220"/>
    <s v="profit"/>
  </r>
  <r>
    <x v="66"/>
    <s v="july"/>
    <s v="Horizon Tech Solutions"/>
    <x v="2"/>
    <x v="6"/>
    <x v="7"/>
    <s v="Female"/>
    <n v="26"/>
    <n v="627"/>
    <n v="1416"/>
    <n v="16302"/>
    <n v="36816"/>
    <n v="20514"/>
    <s v="profit"/>
  </r>
  <r>
    <x v="43"/>
    <s v="october"/>
    <s v="Harmony Finance Co."/>
    <x v="0"/>
    <x v="2"/>
    <x v="3"/>
    <s v="Male"/>
    <n v="17"/>
    <n v="739"/>
    <n v="826"/>
    <n v="12563"/>
    <n v="14042"/>
    <n v="1479"/>
    <s v="profit"/>
  </r>
  <r>
    <x v="44"/>
    <s v="october"/>
    <s v="Pure Vision Ventures"/>
    <x v="0"/>
    <x v="2"/>
    <x v="15"/>
    <s v="Male"/>
    <n v="15"/>
    <n v="563"/>
    <n v="1069"/>
    <n v="8445"/>
    <n v="16035"/>
    <n v="7590"/>
    <s v="profit"/>
  </r>
  <r>
    <x v="45"/>
    <s v="october"/>
    <s v="Legacy Travel Services"/>
    <x v="0"/>
    <x v="2"/>
    <x v="6"/>
    <s v="Female"/>
    <n v="15"/>
    <n v="662"/>
    <n v="1183"/>
    <n v="9930"/>
    <n v="17745"/>
    <n v="7815"/>
    <s v="profit"/>
  </r>
  <r>
    <x v="46"/>
    <s v="october"/>
    <s v="Elite Spectrum Media"/>
    <x v="0"/>
    <x v="2"/>
    <x v="7"/>
    <s v="Female"/>
    <n v="16"/>
    <n v="846"/>
    <n v="1375"/>
    <n v="13536"/>
    <n v="22000"/>
    <n v="8464"/>
    <s v="profit"/>
  </r>
  <r>
    <x v="47"/>
    <s v="october"/>
    <s v="Pinnacle Design Studio"/>
    <x v="0"/>
    <x v="2"/>
    <x v="13"/>
    <s v="Female"/>
    <n v="14"/>
    <n v="777"/>
    <n v="1192"/>
    <n v="10878"/>
    <n v="16688"/>
    <n v="5810"/>
    <s v="profit"/>
  </r>
  <r>
    <x v="48"/>
    <s v="january"/>
    <s v="Legacy Travel Ventures"/>
    <x v="0"/>
    <x v="0"/>
    <x v="3"/>
    <s v="Female"/>
    <n v="16"/>
    <n v="632"/>
    <n v="835"/>
    <n v="10112"/>
    <n v="13360"/>
    <n v="3248"/>
    <s v="profit"/>
  </r>
  <r>
    <x v="50"/>
    <s v="january"/>
    <s v="Stellar Design Group"/>
    <x v="0"/>
    <x v="0"/>
    <x v="14"/>
    <s v="Female"/>
    <n v="11"/>
    <n v="731"/>
    <n v="1311"/>
    <n v="8041"/>
    <n v="14421"/>
    <n v="6380"/>
    <s v="profit"/>
  </r>
  <r>
    <x v="51"/>
    <s v="january"/>
    <s v="Horizon Ventures Co."/>
    <x v="0"/>
    <x v="0"/>
    <x v="1"/>
    <s v="Female"/>
    <n v="10"/>
    <n v="774"/>
    <n v="1472"/>
    <n v="7740"/>
    <n v="14720"/>
    <n v="6980"/>
    <s v="profit"/>
  </r>
  <r>
    <x v="52"/>
    <s v="january"/>
    <s v="Zenith Wellness Services"/>
    <x v="0"/>
    <x v="0"/>
    <x v="3"/>
    <s v="Male"/>
    <n v="11"/>
    <n v="986"/>
    <n v="1228"/>
    <n v="10846"/>
    <n v="13508"/>
    <n v="2662"/>
    <s v="profit"/>
  </r>
  <r>
    <x v="53"/>
    <s v="january"/>
    <s v="Legacy Travel Co."/>
    <x v="0"/>
    <x v="2"/>
    <x v="0"/>
    <s v="Female"/>
    <n v="11"/>
    <n v="519"/>
    <n v="1143"/>
    <n v="5709"/>
    <n v="12573"/>
    <n v="6864"/>
    <s v="profit"/>
  </r>
  <r>
    <x v="54"/>
    <s v="january"/>
    <s v="Pinnacle Innovations Group"/>
    <x v="0"/>
    <x v="2"/>
    <x v="1"/>
    <s v="Female"/>
    <n v="20"/>
    <n v="597"/>
    <n v="1175"/>
    <n v="11940"/>
    <n v="23500"/>
    <n v="11560"/>
    <s v="profit"/>
  </r>
  <r>
    <x v="55"/>
    <s v="january"/>
    <s v="Stellar Health Services"/>
    <x v="0"/>
    <x v="2"/>
    <x v="2"/>
    <s v="Female"/>
    <n v="18"/>
    <n v="632"/>
    <n v="1384"/>
    <n v="11376"/>
    <n v="24912"/>
    <n v="13536"/>
    <s v="profit"/>
  </r>
  <r>
    <x v="56"/>
    <s v="january"/>
    <s v="Radiance Design Co."/>
    <x v="0"/>
    <x v="2"/>
    <x v="3"/>
    <s v="Female"/>
    <n v="17"/>
    <n v="649"/>
    <n v="1392"/>
    <n v="11033"/>
    <n v="23664"/>
    <n v="12631"/>
    <s v="profit"/>
  </r>
  <r>
    <x v="57"/>
    <s v="january"/>
    <s v="Harmony Consulting Group"/>
    <x v="0"/>
    <x v="2"/>
    <x v="3"/>
    <s v="Female"/>
    <n v="18"/>
    <n v="587"/>
    <n v="905"/>
    <n v="10566"/>
    <n v="16290"/>
    <n v="5724"/>
    <s v="profit"/>
  </r>
  <r>
    <x v="59"/>
    <s v="january"/>
    <s v="Apex Educational Group"/>
    <x v="0"/>
    <x v="2"/>
    <x v="5"/>
    <s v="Male"/>
    <n v="19"/>
    <n v="701"/>
    <n v="1136"/>
    <n v="13319"/>
    <n v="21584"/>
    <n v="8265"/>
    <s v="profit"/>
  </r>
  <r>
    <x v="60"/>
    <s v="january"/>
    <s v="Modern Wellness Co."/>
    <x v="0"/>
    <x v="2"/>
    <x v="3"/>
    <s v="Male"/>
    <n v="19"/>
    <n v="972"/>
    <n v="1314"/>
    <n v="18468"/>
    <n v="24966"/>
    <n v="6498"/>
    <s v="profit"/>
  </r>
  <r>
    <x v="61"/>
    <s v="january"/>
    <s v="Pure Spectrum Innovations"/>
    <x v="0"/>
    <x v="2"/>
    <x v="7"/>
    <s v="Male"/>
    <n v="13"/>
    <n v="615"/>
    <n v="1010"/>
    <n v="7995"/>
    <n v="13130"/>
    <n v="5135"/>
    <s v="profit"/>
  </r>
  <r>
    <x v="62"/>
    <s v="january"/>
    <s v="Pinnacle Travel Co."/>
    <x v="0"/>
    <x v="2"/>
    <x v="17"/>
    <s v="Male"/>
    <n v="19"/>
    <n v="864"/>
    <n v="1147"/>
    <n v="16416"/>
    <n v="21793"/>
    <n v="5377"/>
    <s v="profit"/>
  </r>
  <r>
    <x v="67"/>
    <s v="august"/>
    <s v="Apex Wellness Solutions"/>
    <x v="1"/>
    <x v="7"/>
    <x v="15"/>
    <s v="Male"/>
    <n v="86"/>
    <n v="540"/>
    <n v="1460"/>
    <n v="46440"/>
    <n v="125560"/>
    <n v="79120"/>
    <s v="profit"/>
  </r>
  <r>
    <x v="0"/>
    <s v="june"/>
    <s v="Horizon Wellness"/>
    <x v="0"/>
    <x v="0"/>
    <x v="0"/>
    <s v="Female"/>
    <n v="13"/>
    <n v="643"/>
    <n v="1432"/>
    <n v="8359"/>
    <n v="18616"/>
    <n v="10257"/>
    <s v="profit"/>
  </r>
  <r>
    <x v="1"/>
    <s v="june"/>
    <s v="True Value Electronics"/>
    <x v="0"/>
    <x v="0"/>
    <x v="1"/>
    <s v="Female"/>
    <n v="16"/>
    <n v="848"/>
    <n v="1211"/>
    <n v="13568"/>
    <n v="19376"/>
    <n v="5808"/>
    <s v="profit"/>
  </r>
  <r>
    <x v="2"/>
    <s v="june"/>
    <s v="Harmony Homes Realty"/>
    <x v="0"/>
    <x v="0"/>
    <x v="2"/>
    <s v="Female"/>
    <n v="19"/>
    <n v="982"/>
    <n v="1457"/>
    <n v="18658"/>
    <n v="27683"/>
    <n v="9025"/>
    <s v="profit"/>
  </r>
  <r>
    <x v="3"/>
    <s v="june"/>
    <s v="Stellar Advertising"/>
    <x v="0"/>
    <x v="0"/>
    <x v="3"/>
    <s v="Female"/>
    <n v="19"/>
    <n v="918"/>
    <n v="864"/>
    <n v="17442"/>
    <n v="16416"/>
    <n v="-1026"/>
    <s v="loss"/>
  </r>
  <r>
    <x v="68"/>
    <s v="august"/>
    <s v="Radiance Tech Solutions"/>
    <x v="0"/>
    <x v="2"/>
    <x v="6"/>
    <s v="Female"/>
    <n v="10"/>
    <n v="863"/>
    <n v="1386"/>
    <n v="8630"/>
    <n v="13860"/>
    <n v="5230"/>
    <s v="profit"/>
  </r>
  <r>
    <x v="4"/>
    <s v="june"/>
    <s v="Modern Trends Retail"/>
    <x v="0"/>
    <x v="0"/>
    <x v="4"/>
    <s v="Male"/>
    <n v="17"/>
    <n v="787"/>
    <n v="1108"/>
    <n v="13379"/>
    <n v="18836"/>
    <n v="5457"/>
    <s v="profit"/>
  </r>
  <r>
    <x v="5"/>
    <s v="june"/>
    <s v="Global Spectrum Consulting"/>
    <x v="0"/>
    <x v="0"/>
    <x v="5"/>
    <s v="Male"/>
    <n v="15"/>
    <n v="545"/>
    <n v="1182"/>
    <n v="8175"/>
    <n v="17730"/>
    <n v="9555"/>
    <s v="profit"/>
  </r>
  <r>
    <x v="7"/>
    <s v="june"/>
    <s v="Radiant Vision Studios"/>
    <x v="0"/>
    <x v="2"/>
    <x v="6"/>
    <s v="Female"/>
    <n v="11"/>
    <n v="616"/>
    <n v="1015"/>
    <n v="6776"/>
    <n v="11165"/>
    <n v="4389"/>
    <s v="profit"/>
  </r>
  <r>
    <x v="8"/>
    <s v="june"/>
    <s v="Noble Travel Services"/>
    <x v="0"/>
    <x v="2"/>
    <x v="7"/>
    <s v="Female"/>
    <n v="16"/>
    <n v="911"/>
    <n v="1299"/>
    <n v="14576"/>
    <n v="20784"/>
    <n v="6208"/>
    <s v="profit"/>
  </r>
  <r>
    <x v="9"/>
    <s v="july"/>
    <s v="Bright Future Academy"/>
    <x v="0"/>
    <x v="2"/>
    <x v="7"/>
    <s v="Female"/>
    <n v="19"/>
    <n v="816"/>
    <n v="1285"/>
    <n v="15504"/>
    <n v="24415"/>
    <n v="8911"/>
    <s v="profit"/>
  </r>
  <r>
    <x v="10"/>
    <s v="july"/>
    <s v="Visionary Health Systems"/>
    <x v="0"/>
    <x v="2"/>
    <x v="4"/>
    <s v="Female"/>
    <n v="16"/>
    <n v="693"/>
    <n v="1042"/>
    <n v="11088"/>
    <n v="16672"/>
    <n v="5584"/>
    <s v="profit"/>
  </r>
  <r>
    <x v="11"/>
    <s v="july"/>
    <s v="Apex Retailers"/>
    <x v="0"/>
    <x v="2"/>
    <x v="8"/>
    <s v="Female"/>
    <n v="14"/>
    <n v="965"/>
    <n v="1212"/>
    <n v="13510"/>
    <n v="16968"/>
    <n v="3458"/>
    <s v="profit"/>
  </r>
  <r>
    <x v="69"/>
    <s v="august"/>
    <s v="Apex Enterprise Solutions"/>
    <x v="2"/>
    <x v="6"/>
    <x v="10"/>
    <s v="Male"/>
    <n v="26"/>
    <n v="715"/>
    <n v="840"/>
    <n v="18590"/>
    <n v="21840"/>
    <n v="3250"/>
    <s v="profit"/>
  </r>
  <r>
    <x v="13"/>
    <s v="july"/>
    <s v="Prestige Property Developers"/>
    <x v="0"/>
    <x v="2"/>
    <x v="9"/>
    <s v="Female"/>
    <n v="20"/>
    <n v="960"/>
    <n v="1170"/>
    <n v="19200"/>
    <n v="23400"/>
    <n v="4200"/>
    <s v="profit"/>
  </r>
  <r>
    <x v="14"/>
    <s v="july"/>
    <s v="Classic Trends Fashion"/>
    <x v="0"/>
    <x v="2"/>
    <x v="4"/>
    <s v="Male"/>
    <n v="16"/>
    <n v="734"/>
    <n v="1330"/>
    <n v="11744"/>
    <n v="21280"/>
    <n v="9536"/>
    <s v="profit"/>
  </r>
  <r>
    <x v="15"/>
    <s v="july"/>
    <s v="Harmony Ventures"/>
    <x v="0"/>
    <x v="2"/>
    <x v="10"/>
    <s v="Male"/>
    <n v="16"/>
    <n v="673"/>
    <n v="1233"/>
    <n v="10768"/>
    <n v="19728"/>
    <n v="8960"/>
    <s v="profit"/>
  </r>
  <r>
    <x v="16"/>
    <s v="july"/>
    <s v="Stellar Realty"/>
    <x v="0"/>
    <x v="2"/>
    <x v="11"/>
    <s v="Male"/>
    <n v="14"/>
    <n v="782"/>
    <n v="835"/>
    <n v="10948"/>
    <n v="11690"/>
    <n v="742"/>
    <s v="profit"/>
  </r>
  <r>
    <x v="17"/>
    <s v="july"/>
    <s v="Future Path Technologies"/>
    <x v="0"/>
    <x v="2"/>
    <x v="6"/>
    <s v="Male"/>
    <n v="19"/>
    <n v="536"/>
    <n v="927"/>
    <n v="10184"/>
    <n v="17613"/>
    <n v="7429"/>
    <s v="profit"/>
  </r>
  <r>
    <x v="70"/>
    <s v="august"/>
    <s v="Prestige Solutions"/>
    <x v="2"/>
    <x v="6"/>
    <x v="13"/>
    <s v="Female"/>
    <n v="23"/>
    <n v="923"/>
    <n v="897"/>
    <n v="21229"/>
    <n v="20631"/>
    <n v="-598"/>
    <s v="loss"/>
  </r>
  <r>
    <x v="18"/>
    <s v="july"/>
    <s v="Elite Edge Services"/>
    <x v="0"/>
    <x v="2"/>
    <x v="7"/>
    <s v="Female"/>
    <n v="11"/>
    <n v="991"/>
    <n v="803"/>
    <n v="10901"/>
    <n v="8833"/>
    <n v="-2068"/>
    <s v="loss"/>
  </r>
  <r>
    <x v="19"/>
    <s v="august"/>
    <s v="Modern Harmony Products"/>
    <x v="0"/>
    <x v="2"/>
    <x v="8"/>
    <s v="Female"/>
    <n v="10"/>
    <n v="844"/>
    <n v="865"/>
    <n v="8440"/>
    <n v="8650"/>
    <n v="210"/>
    <s v="profit"/>
  </r>
  <r>
    <x v="20"/>
    <s v="august"/>
    <s v="Horizon Builders &amp; Developers"/>
    <x v="0"/>
    <x v="2"/>
    <x v="12"/>
    <s v="Female"/>
    <n v="20"/>
    <n v="803"/>
    <n v="1377"/>
    <n v="16060"/>
    <n v="27540"/>
    <n v="11480"/>
    <s v="profit"/>
  </r>
  <r>
    <x v="21"/>
    <s v="august"/>
    <s v="Legacy Apparel"/>
    <x v="0"/>
    <x v="2"/>
    <x v="7"/>
    <s v="Female"/>
    <n v="12"/>
    <n v="606"/>
    <n v="1154"/>
    <n v="7272"/>
    <n v="13848"/>
    <n v="6576"/>
    <s v="profit"/>
  </r>
  <r>
    <x v="23"/>
    <s v="august"/>
    <s v="Pinnacle Education Group"/>
    <x v="0"/>
    <x v="2"/>
    <x v="7"/>
    <s v="Female"/>
    <n v="11"/>
    <n v="622"/>
    <n v="767"/>
    <n v="6842"/>
    <n v="8437"/>
    <n v="1595"/>
    <s v="profit"/>
  </r>
  <r>
    <x v="25"/>
    <s v="august"/>
    <s v="Noble Innovations"/>
    <x v="0"/>
    <x v="2"/>
    <x v="8"/>
    <s v="Male"/>
    <n v="17"/>
    <n v="671"/>
    <n v="906"/>
    <n v="11407"/>
    <n v="15402"/>
    <n v="3995"/>
    <s v="profit"/>
  </r>
  <r>
    <x v="26"/>
    <s v="august"/>
    <s v="Crystal Clear Realty"/>
    <x v="0"/>
    <x v="2"/>
    <x v="4"/>
    <s v="Male"/>
    <n v="12"/>
    <n v="814"/>
    <n v="1392"/>
    <n v="9768"/>
    <n v="16704"/>
    <n v="6936"/>
    <s v="profit"/>
  </r>
  <r>
    <x v="27"/>
    <s v="september"/>
    <s v="Apex Publishing House"/>
    <x v="0"/>
    <x v="2"/>
    <x v="14"/>
    <s v="Male"/>
    <n v="11"/>
    <n v="960"/>
    <n v="939"/>
    <n v="10560"/>
    <n v="10329"/>
    <n v="-231"/>
    <s v="loss"/>
  </r>
  <r>
    <x v="71"/>
    <s v="august"/>
    <s v="Urban Wave Solutions"/>
    <x v="1"/>
    <x v="5"/>
    <x v="1"/>
    <s v="Male"/>
    <n v="89"/>
    <n v="910"/>
    <n v="1261"/>
    <n v="80990"/>
    <n v="112229"/>
    <n v="31239"/>
    <s v="profit"/>
  </r>
  <r>
    <x v="28"/>
    <s v="september"/>
    <s v="True Value Consulting"/>
    <x v="0"/>
    <x v="2"/>
    <x v="8"/>
    <s v="Male"/>
    <n v="10"/>
    <n v="654"/>
    <n v="1029"/>
    <n v="6540"/>
    <n v="10290"/>
    <n v="3750"/>
    <s v="profit"/>
  </r>
  <r>
    <x v="29"/>
    <s v="september"/>
    <s v="Future Path Ventures"/>
    <x v="0"/>
    <x v="2"/>
    <x v="3"/>
    <s v="Male"/>
    <n v="14"/>
    <n v="504"/>
    <n v="1130"/>
    <n v="7056"/>
    <n v="15820"/>
    <n v="8764"/>
    <s v="profit"/>
  </r>
  <r>
    <x v="30"/>
    <s v="september"/>
    <s v="Stellar Tech Services"/>
    <x v="0"/>
    <x v="2"/>
    <x v="13"/>
    <s v="Male"/>
    <n v="12"/>
    <n v="886"/>
    <n v="1233"/>
    <n v="10632"/>
    <n v="14796"/>
    <n v="4164"/>
    <s v="profit"/>
  </r>
  <r>
    <x v="31"/>
    <s v="september"/>
    <s v="Legacy Travel Agency"/>
    <x v="0"/>
    <x v="2"/>
    <x v="15"/>
    <s v="Female"/>
    <n v="10"/>
    <n v="554"/>
    <n v="1210"/>
    <n v="5540"/>
    <n v="12100"/>
    <n v="6560"/>
    <s v="profit"/>
  </r>
  <r>
    <x v="72"/>
    <s v="september"/>
    <s v="Visionary Realty Solutions"/>
    <x v="1"/>
    <x v="7"/>
    <x v="5"/>
    <s v="Female"/>
    <n v="59"/>
    <n v="764"/>
    <n v="1365"/>
    <n v="45076"/>
    <n v="80535"/>
    <n v="35459"/>
    <s v="profit"/>
  </r>
  <r>
    <x v="32"/>
    <s v="september"/>
    <s v="Harmony Innovations"/>
    <x v="0"/>
    <x v="2"/>
    <x v="16"/>
    <s v="Female"/>
    <n v="14"/>
    <n v="933"/>
    <n v="1064"/>
    <n v="13062"/>
    <n v="14896"/>
    <n v="1834"/>
    <s v="profit"/>
  </r>
  <r>
    <x v="33"/>
    <s v="september"/>
    <s v="Elite Media Group"/>
    <x v="0"/>
    <x v="2"/>
    <x v="8"/>
    <s v="Female"/>
    <n v="15"/>
    <n v="674"/>
    <n v="1125"/>
    <n v="10110"/>
    <n v="16875"/>
    <n v="6765"/>
    <s v="profit"/>
  </r>
  <r>
    <x v="34"/>
    <s v="september"/>
    <s v="Radiant Construction"/>
    <x v="0"/>
    <x v="2"/>
    <x v="12"/>
    <s v="Female"/>
    <n v="20"/>
    <n v="529"/>
    <n v="1455"/>
    <n v="10580"/>
    <n v="29100"/>
    <n v="18520"/>
    <s v="profit"/>
  </r>
  <r>
    <x v="35"/>
    <s v="september"/>
    <s v="Pinnacle Finance"/>
    <x v="0"/>
    <x v="2"/>
    <x v="6"/>
    <s v="Female"/>
    <n v="18"/>
    <n v="717"/>
    <n v="833"/>
    <n v="12906"/>
    <n v="14994"/>
    <n v="2088"/>
    <s v="profit"/>
  </r>
  <r>
    <x v="36"/>
    <s v="september"/>
    <s v="Horizon Tech Ventures"/>
    <x v="0"/>
    <x v="2"/>
    <x v="7"/>
    <s v="Female"/>
    <n v="17"/>
    <n v="966"/>
    <n v="1044"/>
    <n v="16422"/>
    <n v="17748"/>
    <n v="1326"/>
    <s v="profit"/>
  </r>
  <r>
    <x v="37"/>
    <s v="september"/>
    <s v="Elite Edge Consulting"/>
    <x v="0"/>
    <x v="0"/>
    <x v="6"/>
    <s v="Male"/>
    <n v="16"/>
    <n v="599"/>
    <n v="1490"/>
    <n v="9584"/>
    <n v="23840"/>
    <n v="14256"/>
    <s v="profit"/>
  </r>
  <r>
    <x v="38"/>
    <s v="september"/>
    <s v="Harmony Tech Ventures"/>
    <x v="0"/>
    <x v="0"/>
    <x v="7"/>
    <s v="Female"/>
    <n v="12"/>
    <n v="827"/>
    <n v="955"/>
    <n v="9924"/>
    <n v="11460"/>
    <n v="1536"/>
    <s v="profit"/>
  </r>
  <r>
    <x v="39"/>
    <s v="october"/>
    <s v="Radiant Fitness Studio"/>
    <x v="0"/>
    <x v="0"/>
    <x v="13"/>
    <s v="Female"/>
    <n v="17"/>
    <n v="932"/>
    <n v="808"/>
    <n v="15844"/>
    <n v="13736"/>
    <n v="-2108"/>
    <s v="loss"/>
  </r>
  <r>
    <x v="73"/>
    <s v="september"/>
    <s v="Pure Essence Solutions"/>
    <x v="0"/>
    <x v="2"/>
    <x v="6"/>
    <s v="Female"/>
    <n v="14"/>
    <n v="857"/>
    <n v="767"/>
    <n v="11998"/>
    <n v="10738"/>
    <n v="-1260"/>
    <s v="loss"/>
  </r>
  <r>
    <x v="40"/>
    <s v="october"/>
    <s v="Zenith Finance Co."/>
    <x v="0"/>
    <x v="0"/>
    <x v="12"/>
    <s v="Female"/>
    <n v="11"/>
    <n v="654"/>
    <n v="767"/>
    <n v="7194"/>
    <n v="8437"/>
    <n v="1243"/>
    <s v="profit"/>
  </r>
  <r>
    <x v="41"/>
    <s v="october"/>
    <s v="Apex Events Management"/>
    <x v="0"/>
    <x v="0"/>
    <x v="7"/>
    <s v="Female"/>
    <n v="19"/>
    <n v="764"/>
    <n v="1069"/>
    <n v="14516"/>
    <n v="20311"/>
    <n v="5795"/>
    <s v="profit"/>
  </r>
  <r>
    <x v="42"/>
    <s v="october"/>
    <s v="Stellar Media Group"/>
    <x v="0"/>
    <x v="2"/>
    <x v="5"/>
    <s v="Male"/>
    <n v="15"/>
    <n v="906"/>
    <n v="1485"/>
    <n v="13590"/>
    <n v="22275"/>
    <n v="8685"/>
    <s v="profit"/>
  </r>
  <r>
    <x v="43"/>
    <s v="october"/>
    <s v="Harmony Finance Co."/>
    <x v="0"/>
    <x v="2"/>
    <x v="3"/>
    <s v="Male"/>
    <n v="20"/>
    <n v="780"/>
    <n v="783"/>
    <n v="15600"/>
    <n v="15660"/>
    <n v="60"/>
    <s v="profit"/>
  </r>
  <r>
    <x v="74"/>
    <s v="september"/>
    <s v="Crystal Health Solutions"/>
    <x v="0"/>
    <x v="2"/>
    <x v="7"/>
    <s v="Male"/>
    <n v="14"/>
    <n v="515"/>
    <n v="1230"/>
    <n v="7210"/>
    <n v="17220"/>
    <n v="10010"/>
    <s v="profit"/>
  </r>
  <r>
    <x v="44"/>
    <s v="october"/>
    <s v="Pure Vision Ventures"/>
    <x v="0"/>
    <x v="2"/>
    <x v="15"/>
    <s v="Male"/>
    <n v="17"/>
    <n v="747"/>
    <n v="1190"/>
    <n v="12699"/>
    <n v="20230"/>
    <n v="7531"/>
    <s v="profit"/>
  </r>
  <r>
    <x v="45"/>
    <s v="october"/>
    <s v="Legacy Travel Services"/>
    <x v="0"/>
    <x v="2"/>
    <x v="6"/>
    <s v="Female"/>
    <n v="15"/>
    <n v="747"/>
    <n v="966"/>
    <n v="11205"/>
    <n v="14490"/>
    <n v="3285"/>
    <s v="profit"/>
  </r>
  <r>
    <x v="46"/>
    <s v="october"/>
    <s v="Elite Spectrum Media"/>
    <x v="0"/>
    <x v="2"/>
    <x v="7"/>
    <s v="Female"/>
    <n v="20"/>
    <n v="844"/>
    <n v="1010"/>
    <n v="16880"/>
    <n v="20200"/>
    <n v="3320"/>
    <s v="profit"/>
  </r>
  <r>
    <x v="47"/>
    <s v="october"/>
    <s v="Pinnacle Design Studio"/>
    <x v="0"/>
    <x v="2"/>
    <x v="13"/>
    <s v="Female"/>
    <n v="14"/>
    <n v="799"/>
    <n v="1154"/>
    <n v="11186"/>
    <n v="16156"/>
    <n v="4970"/>
    <s v="profit"/>
  </r>
  <r>
    <x v="48"/>
    <s v="january"/>
    <s v="Legacy Travel Ventures"/>
    <x v="0"/>
    <x v="0"/>
    <x v="3"/>
    <s v="Female"/>
    <n v="19"/>
    <n v="608"/>
    <n v="1032"/>
    <n v="11552"/>
    <n v="19608"/>
    <n v="8056"/>
    <s v="profit"/>
  </r>
  <r>
    <x v="50"/>
    <s v="january"/>
    <s v="Stellar Design Group"/>
    <x v="0"/>
    <x v="0"/>
    <x v="14"/>
    <s v="Female"/>
    <n v="14"/>
    <n v="579"/>
    <n v="907"/>
    <n v="8106"/>
    <n v="12698"/>
    <n v="4592"/>
    <s v="profit"/>
  </r>
  <r>
    <x v="51"/>
    <s v="january"/>
    <s v="Horizon Ventures Co."/>
    <x v="0"/>
    <x v="0"/>
    <x v="1"/>
    <s v="Female"/>
    <n v="17"/>
    <n v="825"/>
    <n v="1080"/>
    <n v="14025"/>
    <n v="18360"/>
    <n v="4335"/>
    <s v="profit"/>
  </r>
  <r>
    <x v="52"/>
    <s v="january"/>
    <s v="Zenith Wellness Services"/>
    <x v="0"/>
    <x v="0"/>
    <x v="3"/>
    <s v="Male"/>
    <n v="15"/>
    <n v="827"/>
    <n v="931"/>
    <n v="12405"/>
    <n v="13965"/>
    <n v="1560"/>
    <s v="profit"/>
  </r>
  <r>
    <x v="75"/>
    <s v="september"/>
    <s v="Stellar Travel Solutions"/>
    <x v="0"/>
    <x v="0"/>
    <x v="7"/>
    <s v="Female"/>
    <n v="15"/>
    <n v="650"/>
    <n v="1347"/>
    <n v="9750"/>
    <n v="20205"/>
    <n v="10455"/>
    <s v="profit"/>
  </r>
  <r>
    <x v="53"/>
    <s v="january"/>
    <s v="Legacy Travel Co."/>
    <x v="0"/>
    <x v="2"/>
    <x v="0"/>
    <s v="Female"/>
    <n v="20"/>
    <n v="900"/>
    <n v="1431"/>
    <n v="18000"/>
    <n v="28620"/>
    <n v="10620"/>
    <s v="profit"/>
  </r>
  <r>
    <x v="76"/>
    <s v="september"/>
    <s v="Pure Harmony Solutions"/>
    <x v="0"/>
    <x v="0"/>
    <x v="13"/>
    <s v="Female"/>
    <n v="15"/>
    <n v="825"/>
    <n v="947"/>
    <n v="12375"/>
    <n v="14205"/>
    <n v="1830"/>
    <s v="profit"/>
  </r>
  <r>
    <x v="54"/>
    <s v="january"/>
    <s v="Pinnacle Innovations Group"/>
    <x v="0"/>
    <x v="2"/>
    <x v="1"/>
    <s v="Female"/>
    <n v="19"/>
    <n v="791"/>
    <n v="965"/>
    <n v="15029"/>
    <n v="18335"/>
    <n v="3306"/>
    <s v="profit"/>
  </r>
  <r>
    <x v="55"/>
    <s v="january"/>
    <s v="Stellar Health Services"/>
    <x v="0"/>
    <x v="2"/>
    <x v="2"/>
    <s v="Female"/>
    <n v="18"/>
    <n v="963"/>
    <n v="1178"/>
    <n v="17334"/>
    <n v="21204"/>
    <n v="3870"/>
    <s v="profit"/>
  </r>
  <r>
    <x v="56"/>
    <s v="january"/>
    <s v="Radiance Design Co."/>
    <x v="0"/>
    <x v="2"/>
    <x v="3"/>
    <s v="Female"/>
    <n v="19"/>
    <n v="763"/>
    <n v="1036"/>
    <n v="14497"/>
    <n v="19684"/>
    <n v="5187"/>
    <s v="profit"/>
  </r>
  <r>
    <x v="57"/>
    <s v="january"/>
    <s v="Harmony Consulting Group"/>
    <x v="0"/>
    <x v="2"/>
    <x v="3"/>
    <s v="Female"/>
    <n v="19"/>
    <n v="795"/>
    <n v="1471"/>
    <n v="15105"/>
    <n v="27949"/>
    <n v="12844"/>
    <s v="profit"/>
  </r>
  <r>
    <x v="59"/>
    <s v="january"/>
    <s v="Apex Educational Group"/>
    <x v="0"/>
    <x v="2"/>
    <x v="5"/>
    <s v="Male"/>
    <n v="16"/>
    <n v="731"/>
    <n v="1296"/>
    <n v="11696"/>
    <n v="20736"/>
    <n v="9040"/>
    <s v="profit"/>
  </r>
  <r>
    <x v="77"/>
    <s v="october"/>
    <s v="Modern Spectrum Solutions"/>
    <x v="1"/>
    <x v="5"/>
    <x v="8"/>
    <s v="Female"/>
    <n v="92"/>
    <n v="923"/>
    <n v="1151"/>
    <n v="84916"/>
    <n v="105892"/>
    <n v="20976"/>
    <s v="profit"/>
  </r>
  <r>
    <x v="60"/>
    <s v="january"/>
    <s v="Modern Wellness Co."/>
    <x v="0"/>
    <x v="2"/>
    <x v="3"/>
    <s v="Male"/>
    <n v="12"/>
    <n v="927"/>
    <n v="1162"/>
    <n v="11124"/>
    <n v="13944"/>
    <n v="2820"/>
    <s v="profit"/>
  </r>
  <r>
    <x v="61"/>
    <s v="january"/>
    <s v="Pure Spectrum Innovations"/>
    <x v="0"/>
    <x v="2"/>
    <x v="7"/>
    <s v="Male"/>
    <n v="13"/>
    <n v="528"/>
    <n v="1175"/>
    <n v="6864"/>
    <n v="15275"/>
    <n v="8411"/>
    <s v="profit"/>
  </r>
  <r>
    <x v="62"/>
    <s v="january"/>
    <s v="Pinnacle Travel Co."/>
    <x v="0"/>
    <x v="2"/>
    <x v="17"/>
    <s v="Male"/>
    <n v="16"/>
    <n v="998"/>
    <n v="835"/>
    <n v="15968"/>
    <n v="13360"/>
    <n v="-2608"/>
    <s v="loss"/>
  </r>
  <r>
    <x v="78"/>
    <s v="april"/>
    <s v="Bharat Innovations"/>
    <x v="2"/>
    <x v="3"/>
    <x v="14"/>
    <s v="Male"/>
    <n v="29"/>
    <n v="924"/>
    <n v="1101"/>
    <n v="26796"/>
    <n v="31929"/>
    <n v="5133"/>
    <s v="profit"/>
  </r>
  <r>
    <x v="79"/>
    <s v="april"/>
    <s v="Green Leaf Enterprises"/>
    <x v="2"/>
    <x v="8"/>
    <x v="8"/>
    <s v="Male"/>
    <n v="30"/>
    <n v="817"/>
    <n v="1334"/>
    <n v="24510"/>
    <n v="40020"/>
    <n v="15510"/>
    <s v="profit"/>
  </r>
  <r>
    <x v="80"/>
    <s v="april"/>
    <s v="Urban Pulse Technologies"/>
    <x v="2"/>
    <x v="8"/>
    <x v="3"/>
    <s v="Male"/>
    <n v="23"/>
    <n v="753"/>
    <n v="987"/>
    <n v="17319"/>
    <n v="22701"/>
    <n v="5382"/>
    <s v="profit"/>
  </r>
  <r>
    <x v="81"/>
    <s v="october"/>
    <s v="Apex Creative Solutions"/>
    <x v="1"/>
    <x v="7"/>
    <x v="3"/>
    <s v="Male"/>
    <n v="57"/>
    <n v="927"/>
    <n v="1477"/>
    <n v="52839"/>
    <n v="84189"/>
    <n v="31350"/>
    <s v="profit"/>
  </r>
  <r>
    <x v="82"/>
    <s v="april"/>
    <s v="Mystic India Exports"/>
    <x v="2"/>
    <x v="8"/>
    <x v="13"/>
    <s v="Male"/>
    <n v="26"/>
    <n v="809"/>
    <n v="800"/>
    <n v="21034"/>
    <n v="20800"/>
    <n v="-234"/>
    <s v="loss"/>
  </r>
  <r>
    <x v="83"/>
    <s v="april"/>
    <s v="Pure Essence Skincare"/>
    <x v="2"/>
    <x v="3"/>
    <x v="12"/>
    <s v="Female"/>
    <n v="23"/>
    <n v="852"/>
    <n v="1480"/>
    <n v="19596"/>
    <n v="34040"/>
    <n v="14444"/>
    <s v="profit"/>
  </r>
  <r>
    <x v="84"/>
    <s v="april"/>
    <s v="Zenith Construction Co."/>
    <x v="2"/>
    <x v="3"/>
    <x v="6"/>
    <s v="Female"/>
    <n v="24"/>
    <n v="903"/>
    <n v="1338"/>
    <n v="21672"/>
    <n v="32112"/>
    <n v="10440"/>
    <s v="profit"/>
  </r>
  <r>
    <x v="85"/>
    <s v="april"/>
    <s v="Radiant Health Systems"/>
    <x v="2"/>
    <x v="3"/>
    <x v="7"/>
    <s v="Female"/>
    <n v="21"/>
    <n v="829"/>
    <n v="950"/>
    <n v="17409"/>
    <n v="19950"/>
    <n v="2541"/>
    <s v="profit"/>
  </r>
  <r>
    <x v="86"/>
    <s v="october"/>
    <s v="Radiance Solutions Group"/>
    <x v="0"/>
    <x v="2"/>
    <x v="11"/>
    <s v="Female"/>
    <n v="16"/>
    <n v="584"/>
    <n v="1278"/>
    <n v="9344"/>
    <n v="20448"/>
    <n v="11104"/>
    <s v="profit"/>
  </r>
  <r>
    <x v="87"/>
    <s v="april"/>
    <s v="Divine Creations"/>
    <x v="2"/>
    <x v="3"/>
    <x v="7"/>
    <s v="Female"/>
    <n v="20"/>
    <n v="557"/>
    <n v="1002"/>
    <n v="11140"/>
    <n v="20040"/>
    <n v="8900"/>
    <s v="profit"/>
  </r>
  <r>
    <x v="88"/>
    <s v="april"/>
    <s v="True Path Logistics"/>
    <x v="2"/>
    <x v="3"/>
    <x v="4"/>
    <s v="Female"/>
    <n v="20"/>
    <n v="648"/>
    <n v="1106"/>
    <n v="12960"/>
    <n v="22120"/>
    <n v="9160"/>
    <s v="profit"/>
  </r>
  <r>
    <x v="89"/>
    <s v="october"/>
    <s v="Modern Edge Solutions"/>
    <x v="0"/>
    <x v="2"/>
    <x v="7"/>
    <s v="Female"/>
    <n v="19"/>
    <n v="589"/>
    <n v="1100"/>
    <n v="11191"/>
    <n v="20900"/>
    <n v="9709"/>
    <s v="profit"/>
  </r>
  <r>
    <x v="90"/>
    <s v="april"/>
    <s v="Prestige Automobiles"/>
    <x v="2"/>
    <x v="4"/>
    <x v="7"/>
    <s v="Male"/>
    <n v="26"/>
    <n v="942"/>
    <n v="1143"/>
    <n v="24492"/>
    <n v="29718"/>
    <n v="5226"/>
    <s v="profit"/>
  </r>
  <r>
    <x v="91"/>
    <s v="october"/>
    <s v="Horizon Health Solutions"/>
    <x v="2"/>
    <x v="3"/>
    <x v="13"/>
    <s v="Female"/>
    <n v="30"/>
    <n v="869"/>
    <n v="1033"/>
    <n v="26070"/>
    <n v="30990"/>
    <n v="4920"/>
    <s v="profit"/>
  </r>
  <r>
    <x v="92"/>
    <s v="april"/>
    <s v="Natural Bliss Beverages"/>
    <x v="2"/>
    <x v="4"/>
    <x v="13"/>
    <s v="Male"/>
    <n v="20"/>
    <n v="606"/>
    <n v="806"/>
    <n v="12120"/>
    <n v="16120"/>
    <n v="4000"/>
    <s v="profit"/>
  </r>
  <r>
    <x v="93"/>
    <s v="october"/>
    <s v="Apex Marketing Solutions"/>
    <x v="2"/>
    <x v="8"/>
    <x v="7"/>
    <s v="Male"/>
    <n v="20"/>
    <n v="979"/>
    <n v="1471"/>
    <n v="19580"/>
    <n v="29420"/>
    <n v="9840"/>
    <s v="profit"/>
  </r>
  <r>
    <x v="94"/>
    <s v="april"/>
    <s v="Modern Trends Fashion"/>
    <x v="2"/>
    <x v="4"/>
    <x v="7"/>
    <s v="Female"/>
    <n v="22"/>
    <n v="822"/>
    <n v="1153"/>
    <n v="18084"/>
    <n v="25366"/>
    <n v="7282"/>
    <s v="profit"/>
  </r>
  <r>
    <x v="95"/>
    <s v="april"/>
    <s v="Heritage Crafts"/>
    <x v="2"/>
    <x v="4"/>
    <x v="5"/>
    <s v="Female"/>
    <n v="26"/>
    <n v="505"/>
    <n v="1337"/>
    <n v="13130"/>
    <n v="34762"/>
    <n v="21632"/>
    <s v="profit"/>
  </r>
  <r>
    <x v="96"/>
    <s v="april"/>
    <s v="Future Insights Analytics"/>
    <x v="2"/>
    <x v="4"/>
    <x v="17"/>
    <s v="Female"/>
    <n v="23"/>
    <n v="649"/>
    <n v="1210"/>
    <n v="14927"/>
    <n v="27830"/>
    <n v="12903"/>
    <s v="profit"/>
  </r>
  <r>
    <x v="97"/>
    <s v="april"/>
    <s v="Emerald Estate Developers"/>
    <x v="2"/>
    <x v="4"/>
    <x v="8"/>
    <s v="Female"/>
    <n v="26"/>
    <n v="647"/>
    <n v="1025"/>
    <n v="16822"/>
    <n v="26650"/>
    <n v="9828"/>
    <s v="profit"/>
  </r>
  <r>
    <x v="98"/>
    <s v="april"/>
    <s v="Starlight Media Group"/>
    <x v="2"/>
    <x v="4"/>
    <x v="18"/>
    <s v="Female"/>
    <n v="30"/>
    <n v="843"/>
    <n v="953"/>
    <n v="25290"/>
    <n v="28590"/>
    <n v="3300"/>
    <s v="profit"/>
  </r>
  <r>
    <x v="99"/>
    <s v="may"/>
    <s v="Supreme Electronics"/>
    <x v="2"/>
    <x v="4"/>
    <x v="19"/>
    <s v="Female"/>
    <n v="21"/>
    <n v="571"/>
    <n v="900"/>
    <n v="11991"/>
    <n v="18900"/>
    <n v="6909"/>
    <s v="profit"/>
  </r>
  <r>
    <x v="100"/>
    <s v="may"/>
    <s v="Optimum Wellness"/>
    <x v="2"/>
    <x v="4"/>
    <x v="0"/>
    <s v="Male"/>
    <n v="25"/>
    <n v="909"/>
    <n v="970"/>
    <n v="22725"/>
    <n v="24250"/>
    <n v="1525"/>
    <s v="profit"/>
  </r>
  <r>
    <x v="101"/>
    <s v="may"/>
    <s v="Zenith Books Publishing"/>
    <x v="2"/>
    <x v="4"/>
    <x v="1"/>
    <s v="Male"/>
    <n v="24"/>
    <n v="584"/>
    <n v="1158"/>
    <n v="14016"/>
    <n v="27792"/>
    <n v="13776"/>
    <s v="profit"/>
  </r>
  <r>
    <x v="102"/>
    <s v="may"/>
    <s v="Pinnacle Innovations"/>
    <x v="2"/>
    <x v="4"/>
    <x v="2"/>
    <s v="Male"/>
    <n v="28"/>
    <n v="787"/>
    <n v="1452"/>
    <n v="22036"/>
    <n v="40656"/>
    <n v="18620"/>
    <s v="profit"/>
  </r>
  <r>
    <x v="103"/>
    <s v="may"/>
    <s v="Apex Travel Services"/>
    <x v="2"/>
    <x v="4"/>
    <x v="3"/>
    <s v="Male"/>
    <n v="23"/>
    <n v="768"/>
    <n v="1102"/>
    <n v="17664"/>
    <n v="25346"/>
    <n v="7682"/>
    <s v="profit"/>
  </r>
  <r>
    <x v="104"/>
    <s v="may"/>
    <s v="Golden Era Realty"/>
    <x v="2"/>
    <x v="4"/>
    <x v="3"/>
    <s v="Female"/>
    <n v="23"/>
    <n v="584"/>
    <n v="1168"/>
    <n v="13432"/>
    <n v="26864"/>
    <n v="13432"/>
    <s v="profit"/>
  </r>
  <r>
    <x v="105"/>
    <s v="november"/>
    <s v="Radiance Solutions Co."/>
    <x v="1"/>
    <x v="9"/>
    <x v="5"/>
    <s v="Female"/>
    <n v="57"/>
    <n v="541"/>
    <n v="819"/>
    <n v="30837"/>
    <n v="46683"/>
    <n v="15846"/>
    <s v="profit"/>
  </r>
  <r>
    <x v="106"/>
    <s v="may"/>
    <s v="Radiant Jewelry"/>
    <x v="2"/>
    <x v="6"/>
    <x v="4"/>
    <s v="Female"/>
    <n v="20"/>
    <n v="778"/>
    <n v="1096"/>
    <n v="15560"/>
    <n v="21920"/>
    <n v="6360"/>
    <s v="profit"/>
  </r>
  <r>
    <x v="107"/>
    <s v="may"/>
    <s v="Infinity Ventures"/>
    <x v="2"/>
    <x v="6"/>
    <x v="5"/>
    <s v="Female"/>
    <n v="26"/>
    <n v="595"/>
    <n v="914"/>
    <n v="15470"/>
    <n v="23764"/>
    <n v="8294"/>
    <s v="profit"/>
  </r>
  <r>
    <x v="108"/>
    <s v="november"/>
    <s v="Horizon Creative Solutions"/>
    <x v="1"/>
    <x v="9"/>
    <x v="14"/>
    <s v="Female"/>
    <n v="70"/>
    <n v="871"/>
    <n v="862"/>
    <n v="60970"/>
    <n v="60340"/>
    <n v="-630"/>
    <s v="loss"/>
  </r>
  <r>
    <x v="109"/>
    <s v="may"/>
    <s v="Royal Taste Foods"/>
    <x v="2"/>
    <x v="6"/>
    <x v="3"/>
    <s v="Female"/>
    <n v="27"/>
    <n v="722"/>
    <n v="1497"/>
    <n v="19494"/>
    <n v="40419"/>
    <n v="20925"/>
    <s v="profit"/>
  </r>
  <r>
    <x v="110"/>
    <s v="may"/>
    <s v="Harmony Homes"/>
    <x v="2"/>
    <x v="6"/>
    <x v="15"/>
    <s v="Female"/>
    <n v="25"/>
    <n v="982"/>
    <n v="1395"/>
    <n v="24550"/>
    <n v="34875"/>
    <n v="10325"/>
    <s v="profit"/>
  </r>
  <r>
    <x v="111"/>
    <s v="may"/>
    <s v="Urban Edge Consulting"/>
    <x v="2"/>
    <x v="6"/>
    <x v="14"/>
    <s v="Female"/>
    <n v="25"/>
    <n v="982"/>
    <n v="1389"/>
    <n v="24550"/>
    <n v="34725"/>
    <n v="10175"/>
    <s v="profit"/>
  </r>
  <r>
    <x v="112"/>
    <s v="may"/>
    <s v="Prime Tech Innovations"/>
    <x v="2"/>
    <x v="6"/>
    <x v="8"/>
    <s v="Female"/>
    <n v="25"/>
    <n v="810"/>
    <n v="1086"/>
    <n v="20250"/>
    <n v="27150"/>
    <n v="6900"/>
    <s v="profit"/>
  </r>
  <r>
    <x v="113"/>
    <s v="november"/>
    <s v="Urban Spectrum Solutions"/>
    <x v="2"/>
    <x v="4"/>
    <x v="16"/>
    <s v="Male"/>
    <n v="20"/>
    <n v="773"/>
    <n v="823"/>
    <n v="15460"/>
    <n v="16460"/>
    <n v="1000"/>
    <s v="profit"/>
  </r>
  <r>
    <x v="114"/>
    <s v="may"/>
    <s v="Legacy Designs"/>
    <x v="2"/>
    <x v="6"/>
    <x v="3"/>
    <s v="Female"/>
    <n v="26"/>
    <n v="781"/>
    <n v="1019"/>
    <n v="20306"/>
    <n v="26494"/>
    <n v="6188"/>
    <s v="profit"/>
  </r>
  <r>
    <x v="115"/>
    <s v="may"/>
    <s v="Virtue Enterprises"/>
    <x v="2"/>
    <x v="6"/>
    <x v="13"/>
    <s v="Female"/>
    <n v="26"/>
    <n v="630"/>
    <n v="767"/>
    <n v="16380"/>
    <n v="19942"/>
    <n v="3562"/>
    <s v="profit"/>
  </r>
  <r>
    <x v="116"/>
    <s v="may"/>
    <s v="Radiant Health Club"/>
    <x v="2"/>
    <x v="6"/>
    <x v="15"/>
    <s v="Female"/>
    <n v="23"/>
    <n v="972"/>
    <n v="782"/>
    <n v="22356"/>
    <n v="17986"/>
    <n v="-4370"/>
    <s v="loss"/>
  </r>
  <r>
    <x v="117"/>
    <s v="november"/>
    <s v="Legacy Wellness Solutions"/>
    <x v="2"/>
    <x v="4"/>
    <x v="6"/>
    <s v="Female"/>
    <n v="23"/>
    <n v="906"/>
    <n v="1275"/>
    <n v="20838"/>
    <n v="29325"/>
    <n v="8487"/>
    <s v="profit"/>
  </r>
  <r>
    <x v="118"/>
    <s v="may"/>
    <s v="Bright Horizon Ventures"/>
    <x v="2"/>
    <x v="6"/>
    <x v="16"/>
    <s v="Male"/>
    <n v="30"/>
    <n v="987"/>
    <n v="1366"/>
    <n v="29610"/>
    <n v="40980"/>
    <n v="11370"/>
    <s v="profit"/>
  </r>
  <r>
    <x v="119"/>
    <s v="november"/>
    <s v="Horizon Media Solutions"/>
    <x v="2"/>
    <x v="4"/>
    <x v="7"/>
    <s v="Female"/>
    <n v="24"/>
    <n v="927"/>
    <n v="1379"/>
    <n v="22248"/>
    <n v="33096"/>
    <n v="10848"/>
    <s v="profit"/>
  </r>
  <r>
    <x v="120"/>
    <s v="may"/>
    <s v="Modern Lifestyle Products"/>
    <x v="2"/>
    <x v="6"/>
    <x v="6"/>
    <s v="Male"/>
    <n v="25"/>
    <n v="877"/>
    <n v="797"/>
    <n v="21925"/>
    <n v="19925"/>
    <n v="-2000"/>
    <s v="loss"/>
  </r>
  <r>
    <x v="121"/>
    <s v="may"/>
    <s v="Nexus Trading Co."/>
    <x v="2"/>
    <x v="6"/>
    <x v="8"/>
    <s v="Male"/>
    <n v="26"/>
    <n v="596"/>
    <n v="1136"/>
    <n v="15496"/>
    <n v="29536"/>
    <n v="14040"/>
    <s v="profit"/>
  </r>
  <r>
    <x v="122"/>
    <s v="july"/>
    <s v="Radiance Health and Wellness"/>
    <x v="2"/>
    <x v="6"/>
    <x v="7"/>
    <s v="Male"/>
    <n v="26"/>
    <n v="771"/>
    <n v="1172"/>
    <n v="20046"/>
    <n v="30472"/>
    <n v="10426"/>
    <s v="profit"/>
  </r>
  <r>
    <x v="123"/>
    <s v="july"/>
    <s v="Legacy Auto Works"/>
    <x v="2"/>
    <x v="6"/>
    <x v="13"/>
    <s v="Male"/>
    <n v="30"/>
    <n v="859"/>
    <n v="1123"/>
    <n v="25770"/>
    <n v="33690"/>
    <n v="7920"/>
    <s v="profit"/>
  </r>
  <r>
    <x v="124"/>
    <s v="july"/>
    <s v="Prime Essence Creations"/>
    <x v="2"/>
    <x v="6"/>
    <x v="13"/>
    <s v="Male"/>
    <n v="30"/>
    <n v="726"/>
    <n v="964"/>
    <n v="21780"/>
    <n v="28920"/>
    <n v="7140"/>
    <s v="profit"/>
  </r>
  <r>
    <x v="125"/>
    <s v="july"/>
    <s v="Quantum Ventures"/>
    <x v="2"/>
    <x v="6"/>
    <x v="12"/>
    <s v="Male"/>
    <n v="29"/>
    <n v="861"/>
    <n v="820"/>
    <n v="24969"/>
    <n v="23780"/>
    <n v="-1189"/>
    <s v="loss"/>
  </r>
  <r>
    <x v="126"/>
    <s v="july"/>
    <s v="Urban Legends Apparel"/>
    <x v="2"/>
    <x v="6"/>
    <x v="5"/>
    <s v="Female"/>
    <n v="24"/>
    <n v="978"/>
    <n v="773"/>
    <n v="23472"/>
    <n v="18552"/>
    <n v="-4920"/>
    <s v="loss"/>
  </r>
  <r>
    <x v="127"/>
    <s v="july"/>
    <s v="Pure Bliss Beverages"/>
    <x v="2"/>
    <x v="6"/>
    <x v="17"/>
    <s v="Female"/>
    <n v="30"/>
    <n v="514"/>
    <n v="1333"/>
    <n v="15420"/>
    <n v="39990"/>
    <n v="24570"/>
    <s v="profit"/>
  </r>
  <r>
    <x v="128"/>
    <s v="july"/>
    <s v="Noble Heights Builders"/>
    <x v="2"/>
    <x v="6"/>
    <x v="8"/>
    <s v="Female"/>
    <n v="26"/>
    <n v="656"/>
    <n v="908"/>
    <n v="17056"/>
    <n v="23608"/>
    <n v="6552"/>
    <s v="profit"/>
  </r>
  <r>
    <x v="129"/>
    <s v="november"/>
    <s v="Urban Vision Solutions"/>
    <x v="2"/>
    <x v="6"/>
    <x v="7"/>
    <s v="Female"/>
    <n v="28"/>
    <n v="866"/>
    <n v="1102"/>
    <n v="24248"/>
    <n v="30856"/>
    <n v="6608"/>
    <s v="profit"/>
  </r>
  <r>
    <x v="130"/>
    <s v="july"/>
    <s v="Radiant Foods"/>
    <x v="2"/>
    <x v="6"/>
    <x v="18"/>
    <s v="Female"/>
    <n v="28"/>
    <n v="866"/>
    <n v="1080"/>
    <n v="24248"/>
    <n v="30240"/>
    <n v="5992"/>
    <s v="profit"/>
  </r>
  <r>
    <x v="131"/>
    <s v="july"/>
    <s v="Zenith Financial Services"/>
    <x v="2"/>
    <x v="6"/>
    <x v="19"/>
    <s v="Female"/>
    <n v="23"/>
    <n v="969"/>
    <n v="1075"/>
    <n v="22287"/>
    <n v="24725"/>
    <n v="2438"/>
    <s v="profit"/>
  </r>
  <r>
    <x v="132"/>
    <s v="december"/>
    <s v="Pinnacle Travel Solutions"/>
    <x v="2"/>
    <x v="6"/>
    <x v="12"/>
    <s v="Male"/>
    <n v="29"/>
    <n v="639"/>
    <n v="1257"/>
    <n v="18531"/>
    <n v="36453"/>
    <n v="17922"/>
    <s v="profit"/>
  </r>
  <r>
    <x v="133"/>
    <s v="july"/>
    <s v="Apex Travel Ventures"/>
    <x v="2"/>
    <x v="6"/>
    <x v="0"/>
    <s v="Female"/>
    <n v="21"/>
    <n v="626"/>
    <n v="772"/>
    <n v="13146"/>
    <n v="16212"/>
    <n v="3066"/>
    <s v="profit"/>
  </r>
  <r>
    <x v="134"/>
    <s v="august"/>
    <s v="Future Vision Realty"/>
    <x v="2"/>
    <x v="6"/>
    <x v="8"/>
    <s v="Male"/>
    <n v="26"/>
    <n v="715"/>
    <n v="1113"/>
    <n v="18590"/>
    <n v="28938"/>
    <n v="10348"/>
    <s v="profit"/>
  </r>
  <r>
    <x v="135"/>
    <s v="august"/>
    <s v="Urban Pulse Media"/>
    <x v="2"/>
    <x v="6"/>
    <x v="9"/>
    <s v="Male"/>
    <n v="27"/>
    <n v="611"/>
    <n v="1309"/>
    <n v="16497"/>
    <n v="35343"/>
    <n v="18846"/>
    <s v="profit"/>
  </r>
  <r>
    <x v="136"/>
    <s v="august"/>
    <s v="True Essence Health"/>
    <x v="2"/>
    <x v="6"/>
    <x v="4"/>
    <s v="Female"/>
    <n v="29"/>
    <n v="544"/>
    <n v="1436"/>
    <n v="15776"/>
    <n v="41644"/>
    <n v="25868"/>
    <s v="profit"/>
  </r>
  <r>
    <x v="137"/>
    <s v="december"/>
    <s v="Harmony Health Solutions"/>
    <x v="2"/>
    <x v="6"/>
    <x v="18"/>
    <s v="Male"/>
    <n v="23"/>
    <n v="771"/>
    <n v="1430"/>
    <n v="17733"/>
    <n v="32890"/>
    <n v="15157"/>
    <s v="profit"/>
  </r>
  <r>
    <x v="138"/>
    <s v="august"/>
    <s v="Radiant Vision Realty"/>
    <x v="2"/>
    <x v="6"/>
    <x v="11"/>
    <s v="Male"/>
    <n v="30"/>
    <n v="652"/>
    <n v="1151"/>
    <n v="19560"/>
    <n v="34530"/>
    <n v="14970"/>
    <s v="profit"/>
  </r>
  <r>
    <x v="139"/>
    <s v="august"/>
    <s v="Harmony Consulting Group"/>
    <x v="2"/>
    <x v="6"/>
    <x v="6"/>
    <s v="Male"/>
    <n v="22"/>
    <n v="681"/>
    <n v="1087"/>
    <n v="14982"/>
    <n v="23914"/>
    <n v="8932"/>
    <s v="profit"/>
  </r>
  <r>
    <x v="140"/>
    <s v="december"/>
    <s v="Modern Vision Solutions"/>
    <x v="1"/>
    <x v="5"/>
    <x v="1"/>
    <s v="Male"/>
    <n v="66"/>
    <n v="888"/>
    <n v="809"/>
    <n v="58608"/>
    <n v="53394"/>
    <n v="-5214"/>
    <s v="loss"/>
  </r>
  <r>
    <x v="141"/>
    <s v="august"/>
    <s v="Zenith Tech Ventures"/>
    <x v="2"/>
    <x v="6"/>
    <x v="7"/>
    <s v="Male"/>
    <n v="28"/>
    <n v="923"/>
    <n v="1395"/>
    <n v="25844"/>
    <n v="39060"/>
    <n v="13216"/>
    <s v="profit"/>
  </r>
  <r>
    <x v="142"/>
    <s v="august"/>
    <s v="Stellar Health Services"/>
    <x v="2"/>
    <x v="6"/>
    <x v="7"/>
    <s v="Female"/>
    <n v="26"/>
    <n v="999"/>
    <n v="1112"/>
    <n v="25974"/>
    <n v="28912"/>
    <n v="2938"/>
    <s v="profit"/>
  </r>
  <r>
    <x v="143"/>
    <s v="august"/>
    <s v="Pure Path Foods"/>
    <x v="2"/>
    <x v="6"/>
    <x v="13"/>
    <s v="Female"/>
    <n v="30"/>
    <n v="792"/>
    <n v="1010"/>
    <n v="23760"/>
    <n v="30300"/>
    <n v="6540"/>
    <s v="profit"/>
  </r>
  <r>
    <x v="144"/>
    <s v="august"/>
    <s v="Bright Horizon Realty"/>
    <x v="2"/>
    <x v="6"/>
    <x v="12"/>
    <s v="Female"/>
    <n v="22"/>
    <n v="774"/>
    <n v="1387"/>
    <n v="17028"/>
    <n v="30514"/>
    <n v="13486"/>
    <s v="profit"/>
  </r>
  <r>
    <x v="145"/>
    <s v="december"/>
    <s v="Radiant Educational Solutions"/>
    <x v="1"/>
    <x v="5"/>
    <x v="7"/>
    <s v="Female"/>
    <n v="56"/>
    <n v="516"/>
    <n v="1316"/>
    <n v="28896"/>
    <n v="73696"/>
    <n v="44800"/>
    <s v="profit"/>
  </r>
  <r>
    <x v="146"/>
    <s v="october"/>
    <s v="Crystal Clear Consulting"/>
    <x v="2"/>
    <x v="8"/>
    <x v="12"/>
    <s v="Female"/>
    <n v="20"/>
    <n v="999"/>
    <n v="1191"/>
    <n v="19980"/>
    <n v="23820"/>
    <n v="3840"/>
    <s v="profit"/>
  </r>
  <r>
    <x v="147"/>
    <s v="october"/>
    <s v="Zenith Innovations"/>
    <x v="2"/>
    <x v="8"/>
    <x v="5"/>
    <s v="Male"/>
    <n v="29"/>
    <n v="661"/>
    <n v="1400"/>
    <n v="19169"/>
    <n v="40600"/>
    <n v="21431"/>
    <s v="profit"/>
  </r>
  <r>
    <x v="148"/>
    <s v="october"/>
    <s v="True Essence Innovations"/>
    <x v="2"/>
    <x v="3"/>
    <x v="0"/>
    <s v="Male"/>
    <n v="30"/>
    <n v="539"/>
    <n v="1364"/>
    <n v="16170"/>
    <n v="40920"/>
    <n v="24750"/>
    <s v="profit"/>
  </r>
  <r>
    <x v="149"/>
    <s v="december"/>
    <s v="Zenith Creative Solutions"/>
    <x v="1"/>
    <x v="5"/>
    <x v="7"/>
    <s v="Female"/>
    <n v="60"/>
    <n v="901"/>
    <n v="1148"/>
    <n v="54060"/>
    <n v="68880"/>
    <n v="14820"/>
    <s v="profit"/>
  </r>
  <r>
    <x v="150"/>
    <s v="november"/>
    <s v="Pinnacle Media Group"/>
    <x v="2"/>
    <x v="3"/>
    <x v="1"/>
    <s v="Male"/>
    <n v="26"/>
    <n v="726"/>
    <n v="1335"/>
    <n v="18876"/>
    <n v="34710"/>
    <n v="15834"/>
    <s v="profit"/>
  </r>
  <r>
    <x v="151"/>
    <s v="december"/>
    <s v="Pure Vision Solutions"/>
    <x v="1"/>
    <x v="7"/>
    <x v="17"/>
    <s v="Female"/>
    <n v="50"/>
    <n v="749"/>
    <n v="1269"/>
    <n v="37450"/>
    <n v="63450"/>
    <n v="26000"/>
    <s v="profit"/>
  </r>
  <r>
    <x v="152"/>
    <s v="november"/>
    <s v="Legacy Design Co."/>
    <x v="2"/>
    <x v="3"/>
    <x v="2"/>
    <s v="Male"/>
    <n v="29"/>
    <n v="510"/>
    <n v="1131"/>
    <n v="14790"/>
    <n v="32799"/>
    <n v="18009"/>
    <s v="profit"/>
  </r>
  <r>
    <x v="153"/>
    <s v="november"/>
    <s v="Apex Health Products"/>
    <x v="2"/>
    <x v="3"/>
    <x v="3"/>
    <s v="Female"/>
    <n v="27"/>
    <n v="752"/>
    <n v="1258"/>
    <n v="20304"/>
    <n v="33966"/>
    <n v="13662"/>
    <s v="profit"/>
  </r>
  <r>
    <x v="154"/>
    <s v="november"/>
    <s v="Zenith Travel Ventures"/>
    <x v="2"/>
    <x v="3"/>
    <x v="3"/>
    <s v="Female"/>
    <n v="28"/>
    <n v="924"/>
    <n v="847"/>
    <n v="25872"/>
    <n v="23716"/>
    <n v="-2156"/>
    <s v="loss"/>
  </r>
  <r>
    <x v="155"/>
    <s v="november"/>
    <s v="Pure Path Consulting"/>
    <x v="2"/>
    <x v="3"/>
    <x v="4"/>
    <s v="Female"/>
    <n v="26"/>
    <n v="643"/>
    <n v="1341"/>
    <n v="16718"/>
    <n v="34866"/>
    <n v="18148"/>
    <s v="profit"/>
  </r>
  <r>
    <x v="156"/>
    <s v="december"/>
    <s v="Harmony Edge Solutions"/>
    <x v="1"/>
    <x v="7"/>
    <x v="1"/>
    <s v="Male"/>
    <n v="59"/>
    <n v="774"/>
    <n v="1374"/>
    <n v="45666"/>
    <n v="81066"/>
    <n v="35400"/>
    <s v="profit"/>
  </r>
  <r>
    <x v="157"/>
    <s v="november"/>
    <s v="Harmony Educational Group"/>
    <x v="2"/>
    <x v="4"/>
    <x v="15"/>
    <s v="Male"/>
    <n v="23"/>
    <n v="584"/>
    <n v="1140"/>
    <n v="13432"/>
    <n v="26220"/>
    <n v="12788"/>
    <s v="profit"/>
  </r>
  <r>
    <x v="158"/>
    <s v="november"/>
    <s v="Radiant Design Studio"/>
    <x v="2"/>
    <x v="4"/>
    <x v="6"/>
    <s v="Male"/>
    <n v="21"/>
    <n v="608"/>
    <n v="983"/>
    <n v="12768"/>
    <n v="20643"/>
    <n v="7875"/>
    <s v="profit"/>
  </r>
  <r>
    <x v="159"/>
    <s v="november"/>
    <s v="Zenith Health Innovations"/>
    <x v="2"/>
    <x v="4"/>
    <x v="8"/>
    <s v="Male"/>
    <n v="30"/>
    <n v="712"/>
    <n v="1311"/>
    <n v="21360"/>
    <n v="39330"/>
    <n v="17970"/>
    <s v="profit"/>
  </r>
  <r>
    <x v="160"/>
    <s v="november"/>
    <s v="Apex Realty Ventures"/>
    <x v="2"/>
    <x v="4"/>
    <x v="12"/>
    <s v="Male"/>
    <n v="24"/>
    <n v="672"/>
    <n v="878"/>
    <n v="16128"/>
    <n v="21072"/>
    <n v="4944"/>
    <s v="profit"/>
  </r>
  <r>
    <x v="161"/>
    <s v="november"/>
    <s v="True Value Ventures"/>
    <x v="2"/>
    <x v="4"/>
    <x v="7"/>
    <s v="Female"/>
    <n v="29"/>
    <n v="520"/>
    <n v="770"/>
    <n v="15080"/>
    <n v="22330"/>
    <n v="7250"/>
    <s v="profit"/>
  </r>
  <r>
    <x v="162"/>
    <s v="november"/>
    <s v="Crystal Clear Designs"/>
    <x v="2"/>
    <x v="4"/>
    <x v="8"/>
    <s v="Male"/>
    <n v="28"/>
    <n v="884"/>
    <n v="1165"/>
    <n v="24752"/>
    <n v="32620"/>
    <n v="7868"/>
    <s v="profit"/>
  </r>
  <r>
    <x v="163"/>
    <s v="january"/>
    <s v="Pinnacle Media Solutions"/>
    <x v="0"/>
    <x v="0"/>
    <x v="15"/>
    <s v="Female"/>
    <n v="11"/>
    <n v="562"/>
    <n v="800"/>
    <n v="6182"/>
    <n v="8800"/>
    <n v="2618"/>
    <s v="profit"/>
  </r>
  <r>
    <x v="164"/>
    <s v="november"/>
    <s v="Pinnacle Innovations Co."/>
    <x v="2"/>
    <x v="4"/>
    <x v="4"/>
    <s v="Male"/>
    <n v="25"/>
    <n v="990"/>
    <n v="868"/>
    <n v="24750"/>
    <n v="21700"/>
    <n v="-3050"/>
    <s v="loss"/>
  </r>
  <r>
    <x v="165"/>
    <s v="january"/>
    <s v="Radiant Tech Solutions"/>
    <x v="0"/>
    <x v="0"/>
    <x v="8"/>
    <s v="Female"/>
    <n v="15"/>
    <n v="992"/>
    <n v="1404"/>
    <n v="14880"/>
    <n v="21060"/>
    <n v="6180"/>
    <s v="profit"/>
  </r>
  <r>
    <x v="166"/>
    <s v="november"/>
    <s v="Modern Pathways"/>
    <x v="2"/>
    <x v="4"/>
    <x v="8"/>
    <s v="Male"/>
    <n v="22"/>
    <n v="524"/>
    <n v="1156"/>
    <n v="11528"/>
    <n v="25432"/>
    <n v="13904"/>
    <s v="profit"/>
  </r>
  <r>
    <x v="167"/>
    <s v="january"/>
    <s v="Elite Creative Solutions"/>
    <x v="0"/>
    <x v="0"/>
    <x v="2"/>
    <s v="Female"/>
    <n v="11"/>
    <n v="668"/>
    <n v="1096"/>
    <n v="7348"/>
    <n v="12056"/>
    <n v="4708"/>
    <s v="profit"/>
  </r>
  <r>
    <x v="168"/>
    <s v="november"/>
    <s v="Stellar Finance Co."/>
    <x v="2"/>
    <x v="4"/>
    <x v="9"/>
    <s v="Male"/>
    <n v="26"/>
    <n v="997"/>
    <n v="982"/>
    <n v="25922"/>
    <n v="25532"/>
    <n v="-390"/>
    <s v="loss"/>
  </r>
  <r>
    <x v="169"/>
    <s v="november"/>
    <s v="Radiant Spectrum Group"/>
    <x v="2"/>
    <x v="4"/>
    <x v="4"/>
    <s v="Male"/>
    <n v="27"/>
    <n v="922"/>
    <n v="1284"/>
    <n v="24894"/>
    <n v="34668"/>
    <n v="9774"/>
    <s v="profit"/>
  </r>
  <r>
    <x v="170"/>
    <s v="november"/>
    <s v="Harmony Design Ventures"/>
    <x v="2"/>
    <x v="4"/>
    <x v="10"/>
    <s v="Female"/>
    <n v="21"/>
    <n v="978"/>
    <n v="1139"/>
    <n v="20538"/>
    <n v="23919"/>
    <n v="3381"/>
    <s v="profit"/>
  </r>
  <r>
    <x v="171"/>
    <s v="november"/>
    <s v="Elite Edge Products"/>
    <x v="2"/>
    <x v="4"/>
    <x v="11"/>
    <s v="Female"/>
    <n v="24"/>
    <n v="830"/>
    <n v="1355"/>
    <n v="19920"/>
    <n v="32520"/>
    <n v="12600"/>
    <s v="profit"/>
  </r>
  <r>
    <x v="172"/>
    <s v="november"/>
    <s v="Zenith Consulting Co."/>
    <x v="2"/>
    <x v="6"/>
    <x v="6"/>
    <s v="Female"/>
    <n v="21"/>
    <n v="751"/>
    <n v="1498"/>
    <n v="15771"/>
    <n v="31458"/>
    <n v="15687"/>
    <s v="profit"/>
  </r>
  <r>
    <x v="173"/>
    <s v="november"/>
    <s v="Apex Wellness Products"/>
    <x v="2"/>
    <x v="6"/>
    <x v="7"/>
    <s v="Female"/>
    <n v="26"/>
    <n v="520"/>
    <n v="1261"/>
    <n v="13520"/>
    <n v="32786"/>
    <n v="19266"/>
    <s v="profit"/>
  </r>
  <r>
    <x v="174"/>
    <s v="january"/>
    <s v="Pinnacle Design Solutions"/>
    <x v="1"/>
    <x v="7"/>
    <x v="12"/>
    <s v="Male"/>
    <n v="56"/>
    <n v="685"/>
    <n v="771"/>
    <n v="38360"/>
    <n v="43176"/>
    <n v="4816"/>
    <s v="profit"/>
  </r>
  <r>
    <x v="175"/>
    <s v="december"/>
    <s v="Pure Harmony Innovations"/>
    <x v="2"/>
    <x v="6"/>
    <x v="13"/>
    <s v="Female"/>
    <n v="21"/>
    <n v="605"/>
    <n v="1264"/>
    <n v="12705"/>
    <n v="26544"/>
    <n v="13839"/>
    <s v="profit"/>
  </r>
  <r>
    <x v="176"/>
    <s v="december"/>
    <s v="Legacy Media Group"/>
    <x v="2"/>
    <x v="6"/>
    <x v="13"/>
    <s v="Female"/>
    <n v="20"/>
    <n v="666"/>
    <n v="1087"/>
    <n v="13320"/>
    <n v="21740"/>
    <n v="8420"/>
    <s v="profit"/>
  </r>
  <r>
    <x v="177"/>
    <s v="december"/>
    <s v="Horizon Tech Innovations"/>
    <x v="2"/>
    <x v="6"/>
    <x v="7"/>
    <s v="Male"/>
    <n v="23"/>
    <n v="632"/>
    <n v="762"/>
    <n v="14536"/>
    <n v="17526"/>
    <n v="2990"/>
    <s v="profit"/>
  </r>
  <r>
    <x v="178"/>
    <s v="december"/>
    <s v="Crystal Spectrum Consulting"/>
    <x v="2"/>
    <x v="6"/>
    <x v="5"/>
    <s v="Male"/>
    <n v="21"/>
    <n v="540"/>
    <n v="812"/>
    <n v="11340"/>
    <n v="17052"/>
    <n v="5712"/>
    <s v="profit"/>
  </r>
  <r>
    <x v="179"/>
    <s v="december"/>
    <s v="Stellar Creative Co."/>
    <x v="2"/>
    <x v="6"/>
    <x v="17"/>
    <s v="Male"/>
    <n v="30"/>
    <n v="557"/>
    <n v="886"/>
    <n v="16710"/>
    <n v="26580"/>
    <n v="9870"/>
    <s v="profit"/>
  </r>
  <r>
    <x v="180"/>
    <s v="january"/>
    <s v="Pure Harmony Solutions"/>
    <x v="0"/>
    <x v="2"/>
    <x v="19"/>
    <s v="Female"/>
    <n v="20"/>
    <n v="803"/>
    <n v="941"/>
    <n v="16060"/>
    <n v="18820"/>
    <n v="2760"/>
    <s v="profit"/>
  </r>
  <r>
    <x v="181"/>
    <s v="december"/>
    <s v="Radiance Media Ventures"/>
    <x v="2"/>
    <x v="6"/>
    <x v="8"/>
    <s v="Female"/>
    <n v="24"/>
    <n v="651"/>
    <n v="1386"/>
    <n v="15624"/>
    <n v="33264"/>
    <n v="17640"/>
    <s v="profit"/>
  </r>
  <r>
    <x v="182"/>
    <s v="december"/>
    <s v="Zenith Edge Services"/>
    <x v="2"/>
    <x v="6"/>
    <x v="19"/>
    <s v="Male"/>
    <n v="20"/>
    <n v="565"/>
    <n v="943"/>
    <n v="11300"/>
    <n v="18860"/>
    <n v="7560"/>
    <s v="profit"/>
  </r>
  <r>
    <x v="183"/>
    <s v="february"/>
    <s v="Stellar Consulting Services"/>
    <x v="2"/>
    <x v="6"/>
    <x v="8"/>
    <s v="Female"/>
    <n v="22"/>
    <n v="810"/>
    <n v="1201"/>
    <n v="17820"/>
    <n v="26422"/>
    <n v="8602"/>
    <s v="profit"/>
  </r>
  <r>
    <x v="184"/>
    <s v="february"/>
    <s v="Radiant Ventures"/>
    <x v="2"/>
    <x v="6"/>
    <x v="18"/>
    <s v="Female"/>
    <n v="23"/>
    <n v="827"/>
    <n v="1185"/>
    <n v="19021"/>
    <n v="27255"/>
    <n v="8234"/>
    <s v="profit"/>
  </r>
  <r>
    <x v="185"/>
    <s v="february"/>
    <s v="Harmony Tech Co."/>
    <x v="2"/>
    <x v="6"/>
    <x v="19"/>
    <s v="Female"/>
    <n v="23"/>
    <n v="570"/>
    <n v="1230"/>
    <n v="13110"/>
    <n v="28290"/>
    <n v="15180"/>
    <s v="profit"/>
  </r>
  <r>
    <x v="186"/>
    <s v="january"/>
    <s v="Zenith Path Solutions"/>
    <x v="0"/>
    <x v="2"/>
    <x v="4"/>
    <s v="Female"/>
    <n v="19"/>
    <n v="911"/>
    <n v="1116"/>
    <n v="17309"/>
    <n v="21204"/>
    <n v="3895"/>
    <s v="profit"/>
  </r>
  <r>
    <x v="187"/>
    <s v="february"/>
    <s v="Zenith Creative Ventures"/>
    <x v="2"/>
    <x v="6"/>
    <x v="0"/>
    <s v="Male"/>
    <n v="21"/>
    <n v="938"/>
    <n v="1275"/>
    <n v="19698"/>
    <n v="26775"/>
    <n v="7077"/>
    <s v="profit"/>
  </r>
  <r>
    <x v="188"/>
    <s v="february"/>
    <s v="Apex Health Services"/>
    <x v="2"/>
    <x v="6"/>
    <x v="1"/>
    <s v="Male"/>
    <n v="24"/>
    <n v="993"/>
    <n v="987"/>
    <n v="23832"/>
    <n v="23688"/>
    <n v="-144"/>
    <s v="loss"/>
  </r>
  <r>
    <x v="189"/>
    <s v="february"/>
    <s v="Pure Vision Media"/>
    <x v="2"/>
    <x v="6"/>
    <x v="2"/>
    <s v="Male"/>
    <n v="20"/>
    <n v="534"/>
    <n v="1233"/>
    <n v="10680"/>
    <n v="24660"/>
    <n v="13980"/>
    <s v="profit"/>
  </r>
  <r>
    <x v="190"/>
    <s v="january"/>
    <s v="Legacy Media Solutions"/>
    <x v="0"/>
    <x v="2"/>
    <x v="5"/>
    <s v="Male"/>
    <n v="10"/>
    <n v="911"/>
    <n v="1097"/>
    <n v="9110"/>
    <n v="10970"/>
    <n v="1860"/>
    <s v="profit"/>
  </r>
  <r>
    <x v="191"/>
    <s v="february"/>
    <s v="Legacy Innovations Group"/>
    <x v="2"/>
    <x v="6"/>
    <x v="3"/>
    <s v="Male"/>
    <n v="23"/>
    <n v="761"/>
    <n v="901"/>
    <n v="17503"/>
    <n v="20723"/>
    <n v="3220"/>
    <s v="profit"/>
  </r>
  <r>
    <x v="192"/>
    <s v="february"/>
    <s v="Pinnacle Consulting Co."/>
    <x v="2"/>
    <x v="6"/>
    <x v="3"/>
    <s v="Male"/>
    <n v="23"/>
    <n v="701"/>
    <n v="1322"/>
    <n v="16123"/>
    <n v="30406"/>
    <n v="14283"/>
    <s v="profit"/>
  </r>
  <r>
    <x v="193"/>
    <s v="february"/>
    <s v="Stellar Finance Group"/>
    <x v="2"/>
    <x v="6"/>
    <x v="4"/>
    <s v="Female"/>
    <n v="25"/>
    <n v="541"/>
    <n v="1090"/>
    <n v="13525"/>
    <n v="27250"/>
    <n v="13725"/>
    <s v="profit"/>
  </r>
  <r>
    <x v="194"/>
    <s v="february"/>
    <s v="Harmony Ventures Group"/>
    <x v="2"/>
    <x v="6"/>
    <x v="6"/>
    <s v="Female"/>
    <n v="28"/>
    <n v="708"/>
    <n v="1358"/>
    <n v="19824"/>
    <n v="38024"/>
    <n v="18200"/>
    <s v="profit"/>
  </r>
  <r>
    <x v="78"/>
    <s v="april"/>
    <s v="Bharat Innovations"/>
    <x v="2"/>
    <x v="3"/>
    <x v="14"/>
    <s v="Male"/>
    <n v="28"/>
    <n v="826"/>
    <n v="929"/>
    <n v="23128"/>
    <n v="26012"/>
    <n v="2884"/>
    <s v="profit"/>
  </r>
  <r>
    <x v="79"/>
    <s v="april"/>
    <s v="Green Leaf Enterprises"/>
    <x v="2"/>
    <x v="8"/>
    <x v="8"/>
    <s v="Male"/>
    <n v="25"/>
    <n v="952"/>
    <n v="1261"/>
    <n v="23800"/>
    <n v="31525"/>
    <n v="7725"/>
    <s v="profit"/>
  </r>
  <r>
    <x v="80"/>
    <s v="april"/>
    <s v="Urban Pulse Technologies"/>
    <x v="2"/>
    <x v="8"/>
    <x v="3"/>
    <s v="Male"/>
    <n v="20"/>
    <n v="940"/>
    <n v="1259"/>
    <n v="18800"/>
    <n v="25180"/>
    <n v="6380"/>
    <s v="profit"/>
  </r>
  <r>
    <x v="82"/>
    <s v="april"/>
    <s v="Mystic India Exports"/>
    <x v="2"/>
    <x v="8"/>
    <x v="13"/>
    <s v="Male"/>
    <n v="22"/>
    <n v="785"/>
    <n v="1292"/>
    <n v="17270"/>
    <n v="28424"/>
    <n v="11154"/>
    <s v="profit"/>
  </r>
  <r>
    <x v="83"/>
    <s v="april"/>
    <s v="Pure Essence Skincare"/>
    <x v="2"/>
    <x v="3"/>
    <x v="12"/>
    <s v="Female"/>
    <n v="21"/>
    <n v="879"/>
    <n v="1019"/>
    <n v="18459"/>
    <n v="21399"/>
    <n v="2940"/>
    <s v="profit"/>
  </r>
  <r>
    <x v="84"/>
    <s v="april"/>
    <s v="Zenith Construction Co."/>
    <x v="2"/>
    <x v="3"/>
    <x v="6"/>
    <s v="Female"/>
    <n v="28"/>
    <n v="937"/>
    <n v="872"/>
    <n v="26236"/>
    <n v="24416"/>
    <n v="-1820"/>
    <s v="loss"/>
  </r>
  <r>
    <x v="195"/>
    <s v="february"/>
    <s v="Radiant Solutions Co."/>
    <x v="2"/>
    <x v="6"/>
    <x v="5"/>
    <s v="Female"/>
    <n v="26"/>
    <n v="751"/>
    <n v="1292"/>
    <n v="19526"/>
    <n v="33592"/>
    <n v="14066"/>
    <s v="profit"/>
  </r>
  <r>
    <x v="85"/>
    <s v="april"/>
    <s v="Radiant Health Systems"/>
    <x v="2"/>
    <x v="3"/>
    <x v="7"/>
    <s v="Female"/>
    <n v="22"/>
    <n v="832"/>
    <n v="769"/>
    <n v="18304"/>
    <n v="16918"/>
    <n v="-1386"/>
    <s v="loss"/>
  </r>
  <r>
    <x v="87"/>
    <s v="april"/>
    <s v="Divine Creations"/>
    <x v="2"/>
    <x v="3"/>
    <x v="7"/>
    <s v="Female"/>
    <n v="28"/>
    <n v="832"/>
    <n v="1028"/>
    <n v="23296"/>
    <n v="28784"/>
    <n v="5488"/>
    <s v="profit"/>
  </r>
  <r>
    <x v="88"/>
    <s v="april"/>
    <s v="True Path Logistics"/>
    <x v="2"/>
    <x v="3"/>
    <x v="4"/>
    <s v="Female"/>
    <n v="22"/>
    <n v="622"/>
    <n v="822"/>
    <n v="13684"/>
    <n v="18084"/>
    <n v="4400"/>
    <s v="profit"/>
  </r>
  <r>
    <x v="196"/>
    <s v="february"/>
    <s v="Modern Travel Solutions"/>
    <x v="1"/>
    <x v="5"/>
    <x v="13"/>
    <s v="Female"/>
    <n v="55"/>
    <n v="856"/>
    <n v="756"/>
    <n v="47080"/>
    <n v="41580"/>
    <n v="-5500"/>
    <s v="loss"/>
  </r>
  <r>
    <x v="90"/>
    <s v="april"/>
    <s v="Prestige Automobiles"/>
    <x v="2"/>
    <x v="4"/>
    <x v="7"/>
    <s v="Male"/>
    <n v="23"/>
    <n v="663"/>
    <n v="1153"/>
    <n v="15249"/>
    <n v="26519"/>
    <n v="11270"/>
    <s v="profit"/>
  </r>
  <r>
    <x v="92"/>
    <s v="april"/>
    <s v="Natural Bliss Beverages"/>
    <x v="2"/>
    <x v="4"/>
    <x v="13"/>
    <s v="Male"/>
    <n v="23"/>
    <n v="779"/>
    <n v="1415"/>
    <n v="17917"/>
    <n v="32545"/>
    <n v="14628"/>
    <s v="profit"/>
  </r>
  <r>
    <x v="94"/>
    <s v="april"/>
    <s v="Modern Trends Fashion"/>
    <x v="2"/>
    <x v="4"/>
    <x v="7"/>
    <s v="Female"/>
    <n v="29"/>
    <n v="952"/>
    <n v="1428"/>
    <n v="27608"/>
    <n v="41412"/>
    <n v="13804"/>
    <s v="profit"/>
  </r>
  <r>
    <x v="95"/>
    <s v="april"/>
    <s v="Heritage Crafts"/>
    <x v="2"/>
    <x v="4"/>
    <x v="5"/>
    <s v="Female"/>
    <n v="26"/>
    <n v="983"/>
    <n v="1270"/>
    <n v="25558"/>
    <n v="33020"/>
    <n v="7462"/>
    <s v="profit"/>
  </r>
  <r>
    <x v="96"/>
    <s v="april"/>
    <s v="Future Insights Analytics"/>
    <x v="2"/>
    <x v="4"/>
    <x v="17"/>
    <s v="Female"/>
    <n v="28"/>
    <n v="814"/>
    <n v="1343"/>
    <n v="22792"/>
    <n v="37604"/>
    <n v="14812"/>
    <s v="profit"/>
  </r>
  <r>
    <x v="97"/>
    <s v="april"/>
    <s v="Emerald Estate Developers"/>
    <x v="2"/>
    <x v="4"/>
    <x v="8"/>
    <s v="Female"/>
    <n v="26"/>
    <n v="835"/>
    <n v="973"/>
    <n v="21710"/>
    <n v="25298"/>
    <n v="3588"/>
    <s v="profit"/>
  </r>
  <r>
    <x v="197"/>
    <s v="february"/>
    <s v="Zenith Tech Solutions"/>
    <x v="1"/>
    <x v="5"/>
    <x v="18"/>
    <s v="Male"/>
    <n v="88"/>
    <n v="635"/>
    <n v="1370"/>
    <n v="55880"/>
    <n v="120560"/>
    <n v="64680"/>
    <s v="profit"/>
  </r>
  <r>
    <x v="98"/>
    <s v="april"/>
    <s v="Starlight Media Group"/>
    <x v="2"/>
    <x v="4"/>
    <x v="18"/>
    <s v="Female"/>
    <n v="24"/>
    <n v="631"/>
    <n v="1304"/>
    <n v="15144"/>
    <n v="31296"/>
    <n v="16152"/>
    <s v="profit"/>
  </r>
  <r>
    <x v="99"/>
    <s v="may"/>
    <s v="Supreme Electronics"/>
    <x v="2"/>
    <x v="4"/>
    <x v="19"/>
    <s v="Female"/>
    <n v="24"/>
    <n v="833"/>
    <n v="1280"/>
    <n v="19992"/>
    <n v="30720"/>
    <n v="10728"/>
    <s v="profit"/>
  </r>
  <r>
    <x v="100"/>
    <s v="may"/>
    <s v="Optimum Wellness"/>
    <x v="2"/>
    <x v="4"/>
    <x v="0"/>
    <s v="Male"/>
    <n v="21"/>
    <n v="680"/>
    <n v="1049"/>
    <n v="14280"/>
    <n v="22029"/>
    <n v="7749"/>
    <s v="profit"/>
  </r>
  <r>
    <x v="101"/>
    <s v="may"/>
    <s v="Zenith Books Publishing"/>
    <x v="2"/>
    <x v="4"/>
    <x v="1"/>
    <s v="Male"/>
    <n v="23"/>
    <n v="667"/>
    <n v="962"/>
    <n v="15341"/>
    <n v="22126"/>
    <n v="6785"/>
    <s v="profit"/>
  </r>
  <r>
    <x v="102"/>
    <s v="may"/>
    <s v="Pinnacle Innovations"/>
    <x v="2"/>
    <x v="4"/>
    <x v="2"/>
    <s v="Male"/>
    <n v="24"/>
    <n v="504"/>
    <n v="1283"/>
    <n v="12096"/>
    <n v="30792"/>
    <n v="18696"/>
    <s v="profit"/>
  </r>
  <r>
    <x v="103"/>
    <s v="may"/>
    <s v="Apex Travel Services"/>
    <x v="2"/>
    <x v="4"/>
    <x v="3"/>
    <s v="Male"/>
    <n v="26"/>
    <n v="985"/>
    <n v="1407"/>
    <n v="25610"/>
    <n v="36582"/>
    <n v="10972"/>
    <s v="profit"/>
  </r>
  <r>
    <x v="104"/>
    <s v="may"/>
    <s v="Golden Era Realty"/>
    <x v="2"/>
    <x v="4"/>
    <x v="3"/>
    <s v="Female"/>
    <n v="27"/>
    <n v="890"/>
    <n v="853"/>
    <n v="24030"/>
    <n v="23031"/>
    <n v="-999"/>
    <s v="loss"/>
  </r>
  <r>
    <x v="106"/>
    <s v="may"/>
    <s v="Radiant Jewelry"/>
    <x v="2"/>
    <x v="6"/>
    <x v="4"/>
    <s v="Female"/>
    <n v="21"/>
    <n v="722"/>
    <n v="1247"/>
    <n v="15162"/>
    <n v="26187"/>
    <n v="11025"/>
    <s v="profit"/>
  </r>
  <r>
    <x v="107"/>
    <s v="may"/>
    <s v="Infinity Ventures"/>
    <x v="2"/>
    <x v="6"/>
    <x v="5"/>
    <s v="Female"/>
    <n v="22"/>
    <n v="725"/>
    <n v="765"/>
    <n v="15950"/>
    <n v="16830"/>
    <n v="880"/>
    <s v="profit"/>
  </r>
  <r>
    <x v="109"/>
    <s v="may"/>
    <s v="Royal Taste Foods"/>
    <x v="2"/>
    <x v="6"/>
    <x v="3"/>
    <s v="Female"/>
    <n v="26"/>
    <n v="509"/>
    <n v="1120"/>
    <n v="13234"/>
    <n v="29120"/>
    <n v="15886"/>
    <s v="profit"/>
  </r>
  <r>
    <x v="6"/>
    <s v="april"/>
    <s v="Apex Solutions"/>
    <x v="1"/>
    <x v="1"/>
    <x v="6"/>
    <s v="Male"/>
    <n v="55"/>
    <n v="906"/>
    <n v="880"/>
    <n v="49830"/>
    <n v="48400"/>
    <n v="-1430"/>
    <s v="loss"/>
  </r>
  <r>
    <x v="110"/>
    <s v="may"/>
    <s v="Harmony Homes"/>
    <x v="2"/>
    <x v="6"/>
    <x v="15"/>
    <s v="Female"/>
    <n v="28"/>
    <n v="905"/>
    <n v="958"/>
    <n v="25340"/>
    <n v="26824"/>
    <n v="1484"/>
    <s v="profit"/>
  </r>
  <r>
    <x v="111"/>
    <s v="may"/>
    <s v="Urban Edge Consulting"/>
    <x v="2"/>
    <x v="6"/>
    <x v="14"/>
    <s v="Female"/>
    <n v="22"/>
    <n v="866"/>
    <n v="1453"/>
    <n v="19052"/>
    <n v="31966"/>
    <n v="12914"/>
    <s v="profit"/>
  </r>
  <r>
    <x v="112"/>
    <s v="may"/>
    <s v="Prime Tech Innovations"/>
    <x v="2"/>
    <x v="6"/>
    <x v="8"/>
    <s v="Female"/>
    <n v="23"/>
    <n v="816"/>
    <n v="1273"/>
    <n v="18768"/>
    <n v="29279"/>
    <n v="10511"/>
    <s v="profit"/>
  </r>
  <r>
    <x v="114"/>
    <s v="may"/>
    <s v="Legacy Designs"/>
    <x v="2"/>
    <x v="6"/>
    <x v="3"/>
    <s v="Female"/>
    <n v="30"/>
    <n v="738"/>
    <n v="1216"/>
    <n v="22140"/>
    <n v="36480"/>
    <n v="14340"/>
    <s v="profit"/>
  </r>
  <r>
    <x v="115"/>
    <s v="may"/>
    <s v="Virtue Enterprises"/>
    <x v="2"/>
    <x v="6"/>
    <x v="13"/>
    <s v="Female"/>
    <n v="24"/>
    <n v="653"/>
    <n v="1293"/>
    <n v="15672"/>
    <n v="31032"/>
    <n v="15360"/>
    <s v="profit"/>
  </r>
  <r>
    <x v="12"/>
    <s v="april"/>
    <s v="Metro Tech Solutions"/>
    <x v="2"/>
    <x v="3"/>
    <x v="8"/>
    <s v="Female"/>
    <n v="22"/>
    <n v="692"/>
    <n v="906"/>
    <n v="15224"/>
    <n v="19932"/>
    <n v="4708"/>
    <s v="profit"/>
  </r>
  <r>
    <x v="116"/>
    <s v="may"/>
    <s v="Radiant Health Club"/>
    <x v="2"/>
    <x v="6"/>
    <x v="15"/>
    <s v="Female"/>
    <n v="30"/>
    <n v="583"/>
    <n v="1500"/>
    <n v="17490"/>
    <n v="45000"/>
    <n v="27510"/>
    <s v="profit"/>
  </r>
  <r>
    <x v="118"/>
    <s v="may"/>
    <s v="Bright Horizon Ventures"/>
    <x v="2"/>
    <x v="6"/>
    <x v="16"/>
    <s v="Male"/>
    <n v="26"/>
    <n v="1000"/>
    <n v="765"/>
    <n v="26000"/>
    <n v="19890"/>
    <n v="-6110"/>
    <s v="loss"/>
  </r>
  <r>
    <x v="120"/>
    <s v="may"/>
    <s v="Modern Lifestyle Products"/>
    <x v="2"/>
    <x v="6"/>
    <x v="6"/>
    <s v="Male"/>
    <n v="27"/>
    <n v="913"/>
    <n v="1197"/>
    <n v="24651"/>
    <n v="32319"/>
    <n v="7668"/>
    <s v="profit"/>
  </r>
  <r>
    <x v="121"/>
    <s v="may"/>
    <s v="Nexus Trading Co."/>
    <x v="2"/>
    <x v="6"/>
    <x v="8"/>
    <s v="Male"/>
    <n v="29"/>
    <n v="735"/>
    <n v="1388"/>
    <n v="21315"/>
    <n v="40252"/>
    <n v="18937"/>
    <s v="profit"/>
  </r>
  <r>
    <x v="122"/>
    <s v="july"/>
    <s v="Radiance Health and Wellness"/>
    <x v="2"/>
    <x v="6"/>
    <x v="7"/>
    <s v="Male"/>
    <n v="29"/>
    <n v="965"/>
    <n v="1195"/>
    <n v="27985"/>
    <n v="34655"/>
    <n v="6670"/>
    <s v="profit"/>
  </r>
  <r>
    <x v="123"/>
    <s v="july"/>
    <s v="Legacy Auto Works"/>
    <x v="2"/>
    <x v="6"/>
    <x v="13"/>
    <s v="Male"/>
    <n v="24"/>
    <n v="970"/>
    <n v="1256"/>
    <n v="23280"/>
    <n v="30144"/>
    <n v="6864"/>
    <s v="profit"/>
  </r>
  <r>
    <x v="124"/>
    <s v="july"/>
    <s v="Prime Essence Creations"/>
    <x v="2"/>
    <x v="6"/>
    <x v="13"/>
    <s v="Male"/>
    <n v="22"/>
    <n v="974"/>
    <n v="1329"/>
    <n v="21428"/>
    <n v="29238"/>
    <n v="7810"/>
    <s v="profit"/>
  </r>
  <r>
    <x v="125"/>
    <s v="july"/>
    <s v="Quantum Ventures"/>
    <x v="2"/>
    <x v="6"/>
    <x v="12"/>
    <s v="Male"/>
    <n v="21"/>
    <n v="915"/>
    <n v="1442"/>
    <n v="19215"/>
    <n v="30282"/>
    <n v="11067"/>
    <s v="profit"/>
  </r>
  <r>
    <x v="126"/>
    <s v="july"/>
    <s v="Urban Legends Apparel"/>
    <x v="2"/>
    <x v="6"/>
    <x v="5"/>
    <s v="Female"/>
    <n v="27"/>
    <n v="605"/>
    <n v="826"/>
    <n v="16335"/>
    <n v="22302"/>
    <n v="5967"/>
    <s v="profit"/>
  </r>
  <r>
    <x v="22"/>
    <s v="april"/>
    <s v="Elite Marketing Solutions"/>
    <x v="2"/>
    <x v="4"/>
    <x v="13"/>
    <s v="Male"/>
    <n v="29"/>
    <n v="893"/>
    <n v="865"/>
    <n v="25897"/>
    <n v="25085"/>
    <n v="-812"/>
    <s v="loss"/>
  </r>
  <r>
    <x v="127"/>
    <s v="july"/>
    <s v="Pure Bliss Beverages"/>
    <x v="2"/>
    <x v="6"/>
    <x v="17"/>
    <s v="Female"/>
    <n v="29"/>
    <n v="689"/>
    <n v="783"/>
    <n v="19981"/>
    <n v="22707"/>
    <n v="2726"/>
    <s v="profit"/>
  </r>
  <r>
    <x v="24"/>
    <s v="april"/>
    <s v="Crystal Clear Solutions"/>
    <x v="2"/>
    <x v="4"/>
    <x v="12"/>
    <s v="Female"/>
    <n v="24"/>
    <n v="859"/>
    <n v="1473"/>
    <n v="20616"/>
    <n v="35352"/>
    <n v="14736"/>
    <s v="profit"/>
  </r>
  <r>
    <x v="128"/>
    <s v="july"/>
    <s v="Noble Heights Builders"/>
    <x v="2"/>
    <x v="6"/>
    <x v="8"/>
    <s v="Female"/>
    <n v="25"/>
    <n v="861"/>
    <n v="843"/>
    <n v="21525"/>
    <n v="21075"/>
    <n v="-450"/>
    <s v="loss"/>
  </r>
  <r>
    <x v="130"/>
    <s v="july"/>
    <s v="Radiant Foods"/>
    <x v="2"/>
    <x v="6"/>
    <x v="18"/>
    <s v="Female"/>
    <n v="22"/>
    <n v="629"/>
    <n v="1263"/>
    <n v="13838"/>
    <n v="27786"/>
    <n v="13948"/>
    <s v="profit"/>
  </r>
  <r>
    <x v="131"/>
    <s v="july"/>
    <s v="Zenith Financial Services"/>
    <x v="2"/>
    <x v="6"/>
    <x v="19"/>
    <s v="Female"/>
    <n v="22"/>
    <n v="779"/>
    <n v="1301"/>
    <n v="17138"/>
    <n v="28622"/>
    <n v="11484"/>
    <s v="profit"/>
  </r>
  <r>
    <x v="133"/>
    <s v="july"/>
    <s v="Apex Travel Ventures"/>
    <x v="2"/>
    <x v="6"/>
    <x v="0"/>
    <s v="Female"/>
    <n v="23"/>
    <n v="730"/>
    <n v="1189"/>
    <n v="16790"/>
    <n v="27347"/>
    <n v="10557"/>
    <s v="profit"/>
  </r>
  <r>
    <x v="134"/>
    <s v="august"/>
    <s v="Future Vision Realty"/>
    <x v="2"/>
    <x v="6"/>
    <x v="8"/>
    <s v="Male"/>
    <n v="26"/>
    <n v="847"/>
    <n v="1116"/>
    <n v="22022"/>
    <n v="29016"/>
    <n v="6994"/>
    <s v="profit"/>
  </r>
  <r>
    <x v="135"/>
    <s v="august"/>
    <s v="Urban Pulse Media"/>
    <x v="2"/>
    <x v="6"/>
    <x v="9"/>
    <s v="Male"/>
    <n v="24"/>
    <n v="942"/>
    <n v="1313"/>
    <n v="22608"/>
    <n v="31512"/>
    <n v="8904"/>
    <s v="profit"/>
  </r>
  <r>
    <x v="136"/>
    <s v="august"/>
    <s v="True Essence Health"/>
    <x v="2"/>
    <x v="6"/>
    <x v="4"/>
    <s v="Female"/>
    <n v="20"/>
    <n v="751"/>
    <n v="861"/>
    <n v="15020"/>
    <n v="17220"/>
    <n v="2200"/>
    <s v="profit"/>
  </r>
  <r>
    <x v="138"/>
    <s v="august"/>
    <s v="Radiant Vision Realty"/>
    <x v="2"/>
    <x v="6"/>
    <x v="11"/>
    <s v="Male"/>
    <n v="28"/>
    <n v="855"/>
    <n v="930"/>
    <n v="23940"/>
    <n v="26040"/>
    <n v="2100"/>
    <s v="profit"/>
  </r>
  <r>
    <x v="139"/>
    <s v="august"/>
    <s v="Harmony Consulting Group"/>
    <x v="2"/>
    <x v="6"/>
    <x v="6"/>
    <s v="Male"/>
    <n v="22"/>
    <n v="806"/>
    <n v="1391"/>
    <n v="17732"/>
    <n v="30602"/>
    <n v="12870"/>
    <s v="profit"/>
  </r>
  <r>
    <x v="141"/>
    <s v="august"/>
    <s v="Zenith Tech Ventures"/>
    <x v="2"/>
    <x v="6"/>
    <x v="7"/>
    <s v="Male"/>
    <n v="30"/>
    <n v="624"/>
    <n v="999"/>
    <n v="18720"/>
    <n v="29970"/>
    <n v="11250"/>
    <s v="profit"/>
  </r>
  <r>
    <x v="142"/>
    <s v="august"/>
    <s v="Stellar Health Services"/>
    <x v="2"/>
    <x v="6"/>
    <x v="7"/>
    <s v="Female"/>
    <n v="25"/>
    <n v="533"/>
    <n v="860"/>
    <n v="13325"/>
    <n v="21500"/>
    <n v="8175"/>
    <s v="profit"/>
  </r>
  <r>
    <x v="143"/>
    <s v="august"/>
    <s v="Pure Path Foods"/>
    <x v="2"/>
    <x v="6"/>
    <x v="13"/>
    <s v="Female"/>
    <n v="20"/>
    <n v="681"/>
    <n v="823"/>
    <n v="13620"/>
    <n v="16460"/>
    <n v="2840"/>
    <s v="profit"/>
  </r>
  <r>
    <x v="144"/>
    <s v="august"/>
    <s v="Bright Horizon Realty"/>
    <x v="2"/>
    <x v="6"/>
    <x v="12"/>
    <s v="Female"/>
    <n v="23"/>
    <n v="577"/>
    <n v="1125"/>
    <n v="13271"/>
    <n v="25875"/>
    <n v="12604"/>
    <s v="profit"/>
  </r>
  <r>
    <x v="146"/>
    <s v="october"/>
    <s v="Crystal Clear Consulting"/>
    <x v="2"/>
    <x v="8"/>
    <x v="12"/>
    <s v="Female"/>
    <n v="28"/>
    <n v="537"/>
    <n v="828"/>
    <n v="15036"/>
    <n v="23184"/>
    <n v="8148"/>
    <s v="profit"/>
  </r>
  <r>
    <x v="147"/>
    <s v="october"/>
    <s v="Zenith Innovations"/>
    <x v="2"/>
    <x v="8"/>
    <x v="5"/>
    <s v="Male"/>
    <n v="23"/>
    <n v="746"/>
    <n v="1410"/>
    <n v="17158"/>
    <n v="32430"/>
    <n v="15272"/>
    <s v="profit"/>
  </r>
  <r>
    <x v="148"/>
    <s v="october"/>
    <s v="True Essence Innovations"/>
    <x v="2"/>
    <x v="3"/>
    <x v="0"/>
    <s v="Male"/>
    <n v="29"/>
    <n v="895"/>
    <n v="882"/>
    <n v="25955"/>
    <n v="25578"/>
    <n v="-377"/>
    <s v="loss"/>
  </r>
  <r>
    <x v="150"/>
    <s v="november"/>
    <s v="Pinnacle Media Group"/>
    <x v="2"/>
    <x v="3"/>
    <x v="1"/>
    <s v="Male"/>
    <n v="26"/>
    <n v="728"/>
    <n v="1466"/>
    <n v="18928"/>
    <n v="38116"/>
    <n v="19188"/>
    <s v="profit"/>
  </r>
  <r>
    <x v="152"/>
    <s v="november"/>
    <s v="Legacy Design Co."/>
    <x v="2"/>
    <x v="3"/>
    <x v="2"/>
    <s v="Male"/>
    <n v="22"/>
    <n v="586"/>
    <n v="1206"/>
    <n v="12892"/>
    <n v="26532"/>
    <n v="13640"/>
    <s v="profit"/>
  </r>
  <r>
    <x v="153"/>
    <s v="november"/>
    <s v="Apex Health Products"/>
    <x v="2"/>
    <x v="3"/>
    <x v="3"/>
    <s v="Female"/>
    <n v="29"/>
    <n v="724"/>
    <n v="858"/>
    <n v="20996"/>
    <n v="24882"/>
    <n v="3886"/>
    <s v="profit"/>
  </r>
  <r>
    <x v="154"/>
    <s v="november"/>
    <s v="Zenith Travel Ventures"/>
    <x v="2"/>
    <x v="3"/>
    <x v="3"/>
    <s v="Female"/>
    <n v="20"/>
    <n v="941"/>
    <n v="1181"/>
    <n v="18820"/>
    <n v="23620"/>
    <n v="4800"/>
    <s v="profit"/>
  </r>
  <r>
    <x v="155"/>
    <s v="november"/>
    <s v="Pure Path Consulting"/>
    <x v="2"/>
    <x v="3"/>
    <x v="4"/>
    <s v="Female"/>
    <n v="22"/>
    <n v="618"/>
    <n v="1373"/>
    <n v="13596"/>
    <n v="30206"/>
    <n v="16610"/>
    <s v="profit"/>
  </r>
  <r>
    <x v="157"/>
    <s v="november"/>
    <s v="Harmony Educational Group"/>
    <x v="2"/>
    <x v="4"/>
    <x v="15"/>
    <s v="Male"/>
    <n v="28"/>
    <n v="896"/>
    <n v="1363"/>
    <n v="25088"/>
    <n v="38164"/>
    <n v="13076"/>
    <s v="profit"/>
  </r>
  <r>
    <x v="158"/>
    <s v="november"/>
    <s v="Radiant Design Studio"/>
    <x v="2"/>
    <x v="4"/>
    <x v="6"/>
    <s v="Male"/>
    <n v="28"/>
    <n v="986"/>
    <n v="866"/>
    <n v="27608"/>
    <n v="24248"/>
    <n v="-3360"/>
    <s v="loss"/>
  </r>
  <r>
    <x v="159"/>
    <s v="november"/>
    <s v="Zenith Health Innovations"/>
    <x v="2"/>
    <x v="4"/>
    <x v="8"/>
    <s v="Male"/>
    <n v="27"/>
    <n v="951"/>
    <n v="1255"/>
    <n v="25677"/>
    <n v="33885"/>
    <n v="8208"/>
    <s v="profit"/>
  </r>
  <r>
    <x v="49"/>
    <s v="may"/>
    <s v="Absolute Solutions"/>
    <x v="1"/>
    <x v="5"/>
    <x v="6"/>
    <s v="Male"/>
    <n v="63"/>
    <n v="929"/>
    <n v="1320"/>
    <n v="58527"/>
    <n v="83160"/>
    <n v="24633"/>
    <s v="profit"/>
  </r>
  <r>
    <x v="160"/>
    <s v="november"/>
    <s v="Apex Realty Ventures"/>
    <x v="2"/>
    <x v="4"/>
    <x v="12"/>
    <s v="Male"/>
    <n v="22"/>
    <n v="783"/>
    <n v="886"/>
    <n v="17226"/>
    <n v="19492"/>
    <n v="2266"/>
    <s v="profit"/>
  </r>
  <r>
    <x v="161"/>
    <s v="november"/>
    <s v="True Value Ventures"/>
    <x v="2"/>
    <x v="4"/>
    <x v="7"/>
    <s v="Female"/>
    <n v="21"/>
    <n v="547"/>
    <n v="784"/>
    <n v="11487"/>
    <n v="16464"/>
    <n v="4977"/>
    <s v="profit"/>
  </r>
  <r>
    <x v="162"/>
    <s v="november"/>
    <s v="Crystal Clear Designs"/>
    <x v="2"/>
    <x v="4"/>
    <x v="8"/>
    <s v="Male"/>
    <n v="20"/>
    <n v="737"/>
    <n v="932"/>
    <n v="14740"/>
    <n v="18640"/>
    <n v="3900"/>
    <s v="profit"/>
  </r>
  <r>
    <x v="164"/>
    <s v="november"/>
    <s v="Pinnacle Innovations Co."/>
    <x v="2"/>
    <x v="4"/>
    <x v="4"/>
    <s v="Male"/>
    <n v="25"/>
    <n v="924"/>
    <n v="1062"/>
    <n v="23100"/>
    <n v="26550"/>
    <n v="3450"/>
    <s v="profit"/>
  </r>
  <r>
    <x v="166"/>
    <s v="november"/>
    <s v="Modern Pathways"/>
    <x v="2"/>
    <x v="4"/>
    <x v="8"/>
    <s v="Male"/>
    <n v="28"/>
    <n v="665"/>
    <n v="1467"/>
    <n v="18620"/>
    <n v="41076"/>
    <n v="22456"/>
    <s v="profit"/>
  </r>
  <r>
    <x v="168"/>
    <s v="november"/>
    <s v="Stellar Finance Co."/>
    <x v="2"/>
    <x v="4"/>
    <x v="9"/>
    <s v="Male"/>
    <n v="24"/>
    <n v="839"/>
    <n v="1092"/>
    <n v="20136"/>
    <n v="26208"/>
    <n v="6072"/>
    <s v="profit"/>
  </r>
  <r>
    <x v="169"/>
    <s v="november"/>
    <s v="Radiant Spectrum Group"/>
    <x v="2"/>
    <x v="4"/>
    <x v="4"/>
    <s v="Male"/>
    <n v="30"/>
    <n v="790"/>
    <n v="1245"/>
    <n v="23700"/>
    <n v="37350"/>
    <n v="13650"/>
    <s v="profit"/>
  </r>
  <r>
    <x v="170"/>
    <s v="november"/>
    <s v="Harmony Design Ventures"/>
    <x v="2"/>
    <x v="4"/>
    <x v="10"/>
    <s v="Female"/>
    <n v="30"/>
    <n v="651"/>
    <n v="1277"/>
    <n v="19530"/>
    <n v="38310"/>
    <n v="18780"/>
    <s v="profit"/>
  </r>
  <r>
    <x v="58"/>
    <s v="may"/>
    <s v="Synergy Tech Solutions"/>
    <x v="1"/>
    <x v="5"/>
    <x v="11"/>
    <s v="Male"/>
    <n v="67"/>
    <n v="796"/>
    <n v="1347"/>
    <n v="53332"/>
    <n v="90249"/>
    <n v="36917"/>
    <s v="profit"/>
  </r>
  <r>
    <x v="171"/>
    <s v="november"/>
    <s v="Elite Edge Products"/>
    <x v="2"/>
    <x v="4"/>
    <x v="11"/>
    <s v="Female"/>
    <n v="23"/>
    <n v="531"/>
    <n v="1072"/>
    <n v="12213"/>
    <n v="24656"/>
    <n v="12443"/>
    <s v="profit"/>
  </r>
  <r>
    <x v="172"/>
    <s v="november"/>
    <s v="Zenith Consulting Co."/>
    <x v="2"/>
    <x v="6"/>
    <x v="6"/>
    <s v="Female"/>
    <n v="30"/>
    <n v="591"/>
    <n v="949"/>
    <n v="17730"/>
    <n v="28470"/>
    <n v="10740"/>
    <s v="profit"/>
  </r>
  <r>
    <x v="173"/>
    <s v="november"/>
    <s v="Apex Wellness Products"/>
    <x v="2"/>
    <x v="6"/>
    <x v="7"/>
    <s v="Female"/>
    <n v="29"/>
    <n v="621"/>
    <n v="1485"/>
    <n v="18009"/>
    <n v="43065"/>
    <n v="25056"/>
    <s v="profit"/>
  </r>
  <r>
    <x v="175"/>
    <s v="december"/>
    <s v="Pure Harmony Innovations"/>
    <x v="2"/>
    <x v="6"/>
    <x v="13"/>
    <s v="Female"/>
    <n v="30"/>
    <n v="857"/>
    <n v="1455"/>
    <n v="25710"/>
    <n v="43650"/>
    <n v="17940"/>
    <s v="profit"/>
  </r>
  <r>
    <x v="176"/>
    <s v="december"/>
    <s v="Legacy Media Group"/>
    <x v="2"/>
    <x v="6"/>
    <x v="13"/>
    <s v="Female"/>
    <n v="20"/>
    <n v="897"/>
    <n v="1024"/>
    <n v="17940"/>
    <n v="20480"/>
    <n v="2540"/>
    <s v="profit"/>
  </r>
  <r>
    <x v="177"/>
    <s v="december"/>
    <s v="Horizon Tech Innovations"/>
    <x v="2"/>
    <x v="6"/>
    <x v="7"/>
    <s v="Male"/>
    <n v="22"/>
    <n v="781"/>
    <n v="1423"/>
    <n v="17182"/>
    <n v="31306"/>
    <n v="14124"/>
    <s v="profit"/>
  </r>
  <r>
    <x v="178"/>
    <s v="december"/>
    <s v="Crystal Spectrum Consulting"/>
    <x v="2"/>
    <x v="6"/>
    <x v="5"/>
    <s v="Male"/>
    <n v="20"/>
    <n v="854"/>
    <n v="956"/>
    <n v="17080"/>
    <n v="19120"/>
    <n v="2040"/>
    <s v="profit"/>
  </r>
  <r>
    <x v="179"/>
    <s v="december"/>
    <s v="Stellar Creative Co."/>
    <x v="2"/>
    <x v="6"/>
    <x v="17"/>
    <s v="Male"/>
    <n v="26"/>
    <n v="909"/>
    <n v="1206"/>
    <n v="23634"/>
    <n v="31356"/>
    <n v="7722"/>
    <s v="profit"/>
  </r>
  <r>
    <x v="181"/>
    <s v="december"/>
    <s v="Radiance Media Ventures"/>
    <x v="2"/>
    <x v="6"/>
    <x v="8"/>
    <s v="Female"/>
    <n v="20"/>
    <n v="976"/>
    <n v="905"/>
    <n v="19520"/>
    <n v="18100"/>
    <n v="-1420"/>
    <s v="loss"/>
  </r>
  <r>
    <x v="182"/>
    <s v="december"/>
    <s v="Zenith Edge Services"/>
    <x v="2"/>
    <x v="6"/>
    <x v="19"/>
    <s v="Male"/>
    <n v="24"/>
    <n v="787"/>
    <n v="1122"/>
    <n v="18888"/>
    <n v="26928"/>
    <n v="8040"/>
    <s v="profit"/>
  </r>
  <r>
    <x v="183"/>
    <s v="february"/>
    <s v="Stellar Consulting Services"/>
    <x v="2"/>
    <x v="6"/>
    <x v="8"/>
    <s v="Female"/>
    <n v="23"/>
    <n v="755"/>
    <n v="806"/>
    <n v="17365"/>
    <n v="18538"/>
    <n v="1173"/>
    <s v="profit"/>
  </r>
  <r>
    <x v="184"/>
    <s v="february"/>
    <s v="Radiant Ventures"/>
    <x v="2"/>
    <x v="6"/>
    <x v="18"/>
    <s v="Female"/>
    <n v="26"/>
    <n v="573"/>
    <n v="1309"/>
    <n v="14898"/>
    <n v="34034"/>
    <n v="19136"/>
    <s v="profit"/>
  </r>
  <r>
    <x v="185"/>
    <s v="february"/>
    <s v="Harmony Tech Co."/>
    <x v="2"/>
    <x v="6"/>
    <x v="19"/>
    <s v="Female"/>
    <n v="30"/>
    <n v="946"/>
    <n v="1089"/>
    <n v="28380"/>
    <n v="32670"/>
    <n v="4290"/>
    <s v="profit"/>
  </r>
  <r>
    <x v="187"/>
    <s v="february"/>
    <s v="Zenith Creative Ventures"/>
    <x v="2"/>
    <x v="6"/>
    <x v="0"/>
    <s v="Male"/>
    <n v="22"/>
    <n v="679"/>
    <n v="1463"/>
    <n v="14938"/>
    <n v="32186"/>
    <n v="17248"/>
    <s v="profit"/>
  </r>
  <r>
    <x v="188"/>
    <s v="february"/>
    <s v="Apex Health Services"/>
    <x v="2"/>
    <x v="6"/>
    <x v="1"/>
    <s v="Male"/>
    <n v="25"/>
    <n v="975"/>
    <n v="935"/>
    <n v="24375"/>
    <n v="23375"/>
    <n v="-1000"/>
    <s v="loss"/>
  </r>
  <r>
    <x v="189"/>
    <s v="february"/>
    <s v="Pure Vision Media"/>
    <x v="2"/>
    <x v="6"/>
    <x v="2"/>
    <s v="Male"/>
    <n v="24"/>
    <n v="642"/>
    <n v="996"/>
    <n v="15408"/>
    <n v="23904"/>
    <n v="8496"/>
    <s v="profit"/>
  </r>
  <r>
    <x v="63"/>
    <s v="june"/>
    <s v="Radiant Enterprise Solutions"/>
    <x v="0"/>
    <x v="0"/>
    <x v="3"/>
    <s v="Female"/>
    <n v="14"/>
    <n v="603"/>
    <n v="1104"/>
    <n v="8442"/>
    <n v="15456"/>
    <n v="7014"/>
    <s v="profit"/>
  </r>
  <r>
    <x v="191"/>
    <s v="february"/>
    <s v="Legacy Innovations Group"/>
    <x v="2"/>
    <x v="6"/>
    <x v="3"/>
    <s v="Male"/>
    <n v="29"/>
    <n v="598"/>
    <n v="923"/>
    <n v="17342"/>
    <n v="26767"/>
    <n v="9425"/>
    <s v="profit"/>
  </r>
  <r>
    <x v="192"/>
    <s v="february"/>
    <s v="Pinnacle Consulting Co."/>
    <x v="2"/>
    <x v="6"/>
    <x v="3"/>
    <s v="Male"/>
    <n v="22"/>
    <n v="719"/>
    <n v="1079"/>
    <n v="15818"/>
    <n v="23738"/>
    <n v="7920"/>
    <s v="profit"/>
  </r>
  <r>
    <x v="193"/>
    <s v="february"/>
    <s v="Stellar Finance Group"/>
    <x v="2"/>
    <x v="6"/>
    <x v="4"/>
    <s v="Female"/>
    <n v="30"/>
    <n v="716"/>
    <n v="956"/>
    <n v="21480"/>
    <n v="28680"/>
    <n v="7200"/>
    <s v="profit"/>
  </r>
  <r>
    <x v="194"/>
    <s v="february"/>
    <s v="Harmony Ventures Group"/>
    <x v="2"/>
    <x v="6"/>
    <x v="6"/>
    <s v="Female"/>
    <n v="29"/>
    <n v="623"/>
    <n v="919"/>
    <n v="18067"/>
    <n v="26651"/>
    <n v="8584"/>
    <s v="profit"/>
  </r>
  <r>
    <x v="78"/>
    <s v="april"/>
    <s v="Bharat Innovations"/>
    <x v="2"/>
    <x v="3"/>
    <x v="14"/>
    <s v="Male"/>
    <n v="21"/>
    <n v="553"/>
    <n v="1459"/>
    <n v="11613"/>
    <n v="30639"/>
    <n v="19026"/>
    <s v="profit"/>
  </r>
  <r>
    <x v="64"/>
    <s v="june"/>
    <s v="Infinite Solutions"/>
    <x v="1"/>
    <x v="5"/>
    <x v="8"/>
    <s v="Female"/>
    <n v="77"/>
    <n v="923"/>
    <n v="1132"/>
    <n v="71071"/>
    <n v="87164"/>
    <n v="16093"/>
    <s v="profit"/>
  </r>
  <r>
    <x v="79"/>
    <s v="april"/>
    <s v="Green Leaf Enterprises"/>
    <x v="2"/>
    <x v="8"/>
    <x v="8"/>
    <s v="Male"/>
    <n v="30"/>
    <n v="719"/>
    <n v="1162"/>
    <n v="21570"/>
    <n v="34860"/>
    <n v="13290"/>
    <s v="profit"/>
  </r>
  <r>
    <x v="80"/>
    <s v="april"/>
    <s v="Urban Pulse Technologies"/>
    <x v="2"/>
    <x v="8"/>
    <x v="3"/>
    <s v="Male"/>
    <n v="25"/>
    <n v="980"/>
    <n v="926"/>
    <n v="24500"/>
    <n v="23150"/>
    <n v="-1350"/>
    <s v="loss"/>
  </r>
  <r>
    <x v="82"/>
    <s v="april"/>
    <s v="Mystic India Exports"/>
    <x v="2"/>
    <x v="8"/>
    <x v="13"/>
    <s v="Male"/>
    <n v="22"/>
    <n v="718"/>
    <n v="1335"/>
    <n v="15796"/>
    <n v="29370"/>
    <n v="13574"/>
    <s v="profit"/>
  </r>
  <r>
    <x v="83"/>
    <s v="april"/>
    <s v="Pure Essence Skincare"/>
    <x v="2"/>
    <x v="3"/>
    <x v="12"/>
    <s v="Female"/>
    <n v="30"/>
    <n v="520"/>
    <n v="1251"/>
    <n v="15600"/>
    <n v="37530"/>
    <n v="21930"/>
    <s v="profit"/>
  </r>
  <r>
    <x v="84"/>
    <s v="april"/>
    <s v="Zenith Construction Co."/>
    <x v="2"/>
    <x v="3"/>
    <x v="6"/>
    <s v="Female"/>
    <n v="26"/>
    <n v="808"/>
    <n v="1135"/>
    <n v="21008"/>
    <n v="29510"/>
    <n v="8502"/>
    <s v="profit"/>
  </r>
  <r>
    <x v="85"/>
    <s v="april"/>
    <s v="Radiant Health Systems"/>
    <x v="2"/>
    <x v="3"/>
    <x v="7"/>
    <s v="Female"/>
    <n v="23"/>
    <n v="504"/>
    <n v="1328"/>
    <n v="11592"/>
    <n v="30544"/>
    <n v="18952"/>
    <s v="profit"/>
  </r>
  <r>
    <x v="87"/>
    <s v="april"/>
    <s v="Divine Creations"/>
    <x v="2"/>
    <x v="3"/>
    <x v="7"/>
    <s v="Female"/>
    <n v="28"/>
    <n v="918"/>
    <n v="808"/>
    <n v="25704"/>
    <n v="22624"/>
    <n v="-3080"/>
    <s v="loss"/>
  </r>
  <r>
    <x v="88"/>
    <s v="april"/>
    <s v="True Path Logistics"/>
    <x v="2"/>
    <x v="3"/>
    <x v="4"/>
    <s v="Female"/>
    <n v="27"/>
    <n v="966"/>
    <n v="850"/>
    <n v="26082"/>
    <n v="22950"/>
    <n v="-3132"/>
    <s v="loss"/>
  </r>
  <r>
    <x v="90"/>
    <s v="april"/>
    <s v="Prestige Automobiles"/>
    <x v="2"/>
    <x v="4"/>
    <x v="7"/>
    <s v="Male"/>
    <n v="20"/>
    <n v="664"/>
    <n v="924"/>
    <n v="13280"/>
    <n v="18480"/>
    <n v="5200"/>
    <s v="profit"/>
  </r>
  <r>
    <x v="92"/>
    <s v="april"/>
    <s v="Natural Bliss Beverages"/>
    <x v="2"/>
    <x v="4"/>
    <x v="13"/>
    <s v="Male"/>
    <n v="26"/>
    <n v="608"/>
    <n v="1125"/>
    <n v="15808"/>
    <n v="29250"/>
    <n v="13442"/>
    <s v="profit"/>
  </r>
  <r>
    <x v="65"/>
    <s v="july"/>
    <s v="Synergy Solutions Group"/>
    <x v="0"/>
    <x v="2"/>
    <x v="8"/>
    <s v="Female"/>
    <n v="19"/>
    <n v="860"/>
    <n v="1234"/>
    <n v="16340"/>
    <n v="23446"/>
    <n v="7106"/>
    <s v="profit"/>
  </r>
  <r>
    <x v="94"/>
    <s v="april"/>
    <s v="Modern Trends Fashion"/>
    <x v="2"/>
    <x v="4"/>
    <x v="7"/>
    <s v="Female"/>
    <n v="24"/>
    <n v="826"/>
    <n v="975"/>
    <n v="19824"/>
    <n v="23400"/>
    <n v="3576"/>
    <s v="profit"/>
  </r>
  <r>
    <x v="95"/>
    <s v="april"/>
    <s v="Heritage Crafts"/>
    <x v="2"/>
    <x v="4"/>
    <x v="5"/>
    <s v="Female"/>
    <n v="24"/>
    <n v="877"/>
    <n v="762"/>
    <n v="21048"/>
    <n v="18288"/>
    <n v="-2760"/>
    <s v="loss"/>
  </r>
  <r>
    <x v="96"/>
    <s v="april"/>
    <s v="Future Insights Analytics"/>
    <x v="2"/>
    <x v="4"/>
    <x v="17"/>
    <s v="Female"/>
    <n v="23"/>
    <n v="736"/>
    <n v="872"/>
    <n v="16928"/>
    <n v="20056"/>
    <n v="3128"/>
    <s v="profit"/>
  </r>
  <r>
    <x v="97"/>
    <s v="april"/>
    <s v="Emerald Estate Developers"/>
    <x v="2"/>
    <x v="4"/>
    <x v="8"/>
    <s v="Female"/>
    <n v="27"/>
    <n v="828"/>
    <n v="1008"/>
    <n v="22356"/>
    <n v="27216"/>
    <n v="4860"/>
    <s v="profit"/>
  </r>
  <r>
    <x v="98"/>
    <s v="april"/>
    <s v="Starlight Media Group"/>
    <x v="2"/>
    <x v="4"/>
    <x v="18"/>
    <s v="Female"/>
    <n v="28"/>
    <n v="901"/>
    <n v="1260"/>
    <n v="25228"/>
    <n v="35280"/>
    <n v="10052"/>
    <s v="profit"/>
  </r>
  <r>
    <x v="99"/>
    <s v="may"/>
    <s v="Supreme Electronics"/>
    <x v="2"/>
    <x v="4"/>
    <x v="19"/>
    <s v="Female"/>
    <n v="28"/>
    <n v="796"/>
    <n v="1407"/>
    <n v="22288"/>
    <n v="39396"/>
    <n v="17108"/>
    <s v="profit"/>
  </r>
  <r>
    <x v="100"/>
    <s v="may"/>
    <s v="Optimum Wellness"/>
    <x v="2"/>
    <x v="4"/>
    <x v="0"/>
    <s v="Male"/>
    <n v="27"/>
    <n v="794"/>
    <n v="905"/>
    <n v="21438"/>
    <n v="24435"/>
    <n v="2997"/>
    <s v="profit"/>
  </r>
  <r>
    <x v="101"/>
    <s v="may"/>
    <s v="Zenith Books Publishing"/>
    <x v="2"/>
    <x v="4"/>
    <x v="1"/>
    <s v="Male"/>
    <n v="20"/>
    <n v="812"/>
    <n v="1248"/>
    <n v="16240"/>
    <n v="24960"/>
    <n v="8720"/>
    <s v="profit"/>
  </r>
  <r>
    <x v="102"/>
    <s v="may"/>
    <s v="Pinnacle Innovations"/>
    <x v="2"/>
    <x v="4"/>
    <x v="2"/>
    <s v="Male"/>
    <n v="20"/>
    <n v="908"/>
    <n v="1130"/>
    <n v="18160"/>
    <n v="22600"/>
    <n v="4440"/>
    <s v="profit"/>
  </r>
  <r>
    <x v="103"/>
    <s v="may"/>
    <s v="Apex Travel Services"/>
    <x v="2"/>
    <x v="4"/>
    <x v="3"/>
    <s v="Male"/>
    <n v="23"/>
    <n v="846"/>
    <n v="1143"/>
    <n v="19458"/>
    <n v="26289"/>
    <n v="6831"/>
    <s v="profit"/>
  </r>
  <r>
    <x v="104"/>
    <s v="may"/>
    <s v="Golden Era Realty"/>
    <x v="2"/>
    <x v="4"/>
    <x v="3"/>
    <s v="Female"/>
    <n v="25"/>
    <n v="627"/>
    <n v="1071"/>
    <n v="15675"/>
    <n v="26775"/>
    <n v="11100"/>
    <s v="profit"/>
  </r>
  <r>
    <x v="106"/>
    <s v="may"/>
    <s v="Radiant Jewelry"/>
    <x v="2"/>
    <x v="6"/>
    <x v="4"/>
    <s v="Female"/>
    <n v="27"/>
    <n v="817"/>
    <n v="977"/>
    <n v="22059"/>
    <n v="26379"/>
    <n v="4320"/>
    <s v="profit"/>
  </r>
  <r>
    <x v="66"/>
    <s v="july"/>
    <s v="Horizon Tech Solutions"/>
    <x v="2"/>
    <x v="6"/>
    <x v="7"/>
    <s v="Female"/>
    <n v="29"/>
    <n v="929"/>
    <n v="1429"/>
    <n v="26941"/>
    <n v="41441"/>
    <n v="14500"/>
    <s v="profit"/>
  </r>
  <r>
    <x v="107"/>
    <s v="may"/>
    <s v="Infinity Ventures"/>
    <x v="2"/>
    <x v="6"/>
    <x v="5"/>
    <s v="Female"/>
    <n v="27"/>
    <n v="675"/>
    <n v="1138"/>
    <n v="18225"/>
    <n v="30726"/>
    <n v="12501"/>
    <s v="profit"/>
  </r>
  <r>
    <x v="109"/>
    <s v="may"/>
    <s v="Royal Taste Foods"/>
    <x v="2"/>
    <x v="6"/>
    <x v="3"/>
    <s v="Female"/>
    <n v="22"/>
    <n v="695"/>
    <n v="830"/>
    <n v="15290"/>
    <n v="18260"/>
    <n v="2970"/>
    <s v="profit"/>
  </r>
  <r>
    <x v="110"/>
    <s v="may"/>
    <s v="Harmony Homes"/>
    <x v="2"/>
    <x v="6"/>
    <x v="15"/>
    <s v="Female"/>
    <n v="21"/>
    <n v="781"/>
    <n v="816"/>
    <n v="16401"/>
    <n v="17136"/>
    <n v="735"/>
    <s v="profit"/>
  </r>
  <r>
    <x v="111"/>
    <s v="may"/>
    <s v="Urban Edge Consulting"/>
    <x v="2"/>
    <x v="6"/>
    <x v="14"/>
    <s v="Female"/>
    <n v="25"/>
    <n v="517"/>
    <n v="939"/>
    <n v="12925"/>
    <n v="23475"/>
    <n v="10550"/>
    <s v="profit"/>
  </r>
  <r>
    <x v="112"/>
    <s v="may"/>
    <s v="Prime Tech Innovations"/>
    <x v="2"/>
    <x v="6"/>
    <x v="8"/>
    <s v="Female"/>
    <n v="24"/>
    <n v="730"/>
    <n v="886"/>
    <n v="17520"/>
    <n v="21264"/>
    <n v="3744"/>
    <s v="profit"/>
  </r>
  <r>
    <x v="114"/>
    <s v="may"/>
    <s v="Legacy Designs"/>
    <x v="2"/>
    <x v="6"/>
    <x v="3"/>
    <s v="Female"/>
    <n v="23"/>
    <n v="811"/>
    <n v="1142"/>
    <n v="18653"/>
    <n v="26266"/>
    <n v="7613"/>
    <s v="profit"/>
  </r>
  <r>
    <x v="115"/>
    <s v="may"/>
    <s v="Virtue Enterprises"/>
    <x v="2"/>
    <x v="6"/>
    <x v="13"/>
    <s v="Female"/>
    <n v="21"/>
    <n v="967"/>
    <n v="888"/>
    <n v="20307"/>
    <n v="18648"/>
    <n v="-1659"/>
    <s v="loss"/>
  </r>
  <r>
    <x v="116"/>
    <s v="may"/>
    <s v="Radiant Health Club"/>
    <x v="2"/>
    <x v="6"/>
    <x v="15"/>
    <s v="Female"/>
    <n v="29"/>
    <n v="655"/>
    <n v="950"/>
    <n v="18995"/>
    <n v="27550"/>
    <n v="8555"/>
    <s v="profit"/>
  </r>
  <r>
    <x v="118"/>
    <s v="may"/>
    <s v="Bright Horizon Ventures"/>
    <x v="2"/>
    <x v="6"/>
    <x v="16"/>
    <s v="Male"/>
    <n v="30"/>
    <n v="616"/>
    <n v="804"/>
    <n v="18480"/>
    <n v="24120"/>
    <n v="5640"/>
    <s v="profit"/>
  </r>
  <r>
    <x v="120"/>
    <s v="may"/>
    <s v="Modern Lifestyle Products"/>
    <x v="2"/>
    <x v="6"/>
    <x v="6"/>
    <s v="Male"/>
    <n v="30"/>
    <n v="709"/>
    <n v="1209"/>
    <n v="21270"/>
    <n v="36270"/>
    <n v="15000"/>
    <s v="profit"/>
  </r>
  <r>
    <x v="121"/>
    <s v="may"/>
    <s v="Nexus Trading Co."/>
    <x v="2"/>
    <x v="6"/>
    <x v="8"/>
    <s v="Male"/>
    <n v="23"/>
    <n v="875"/>
    <n v="843"/>
    <n v="20125"/>
    <n v="19389"/>
    <n v="-736"/>
    <s v="loss"/>
  </r>
  <r>
    <x v="122"/>
    <s v="july"/>
    <s v="Radiance Health and Wellness"/>
    <x v="2"/>
    <x v="6"/>
    <x v="7"/>
    <s v="Male"/>
    <n v="26"/>
    <n v="766"/>
    <n v="836"/>
    <n v="19916"/>
    <n v="21736"/>
    <n v="1820"/>
    <s v="profit"/>
  </r>
  <r>
    <x v="123"/>
    <s v="july"/>
    <s v="Legacy Auto Works"/>
    <x v="2"/>
    <x v="6"/>
    <x v="13"/>
    <s v="Male"/>
    <n v="23"/>
    <n v="589"/>
    <n v="982"/>
    <n v="13547"/>
    <n v="22586"/>
    <n v="9039"/>
    <s v="profit"/>
  </r>
  <r>
    <x v="124"/>
    <s v="july"/>
    <s v="Prime Essence Creations"/>
    <x v="2"/>
    <x v="6"/>
    <x v="13"/>
    <s v="Male"/>
    <n v="24"/>
    <n v="718"/>
    <n v="1218"/>
    <n v="17232"/>
    <n v="29232"/>
    <n v="12000"/>
    <s v="profit"/>
  </r>
  <r>
    <x v="125"/>
    <s v="july"/>
    <s v="Quantum Ventures"/>
    <x v="2"/>
    <x v="6"/>
    <x v="12"/>
    <s v="Male"/>
    <n v="22"/>
    <n v="877"/>
    <n v="1120"/>
    <n v="19294"/>
    <n v="24640"/>
    <n v="5346"/>
    <s v="profit"/>
  </r>
  <r>
    <x v="126"/>
    <s v="july"/>
    <s v="Urban Legends Apparel"/>
    <x v="2"/>
    <x v="6"/>
    <x v="5"/>
    <s v="Female"/>
    <n v="23"/>
    <n v="641"/>
    <n v="1445"/>
    <n v="14743"/>
    <n v="33235"/>
    <n v="18492"/>
    <s v="profit"/>
  </r>
  <r>
    <x v="127"/>
    <s v="july"/>
    <s v="Pure Bliss Beverages"/>
    <x v="2"/>
    <x v="6"/>
    <x v="17"/>
    <s v="Female"/>
    <n v="30"/>
    <n v="916"/>
    <n v="1497"/>
    <n v="27480"/>
    <n v="44910"/>
    <n v="17430"/>
    <s v="profit"/>
  </r>
  <r>
    <x v="128"/>
    <s v="july"/>
    <s v="Noble Heights Builders"/>
    <x v="2"/>
    <x v="6"/>
    <x v="8"/>
    <s v="Female"/>
    <n v="28"/>
    <n v="588"/>
    <n v="784"/>
    <n v="16464"/>
    <n v="21952"/>
    <n v="5488"/>
    <s v="profit"/>
  </r>
  <r>
    <x v="67"/>
    <s v="august"/>
    <s v="Apex Wellness Solutions"/>
    <x v="1"/>
    <x v="7"/>
    <x v="15"/>
    <s v="Male"/>
    <n v="60"/>
    <n v="642"/>
    <n v="1497"/>
    <n v="38520"/>
    <n v="89820"/>
    <n v="51300"/>
    <s v="profit"/>
  </r>
  <r>
    <x v="130"/>
    <s v="july"/>
    <s v="Radiant Foods"/>
    <x v="2"/>
    <x v="6"/>
    <x v="18"/>
    <s v="Female"/>
    <n v="26"/>
    <n v="969"/>
    <n v="1087"/>
    <n v="25194"/>
    <n v="28262"/>
    <n v="3068"/>
    <s v="profit"/>
  </r>
  <r>
    <x v="131"/>
    <s v="july"/>
    <s v="Zenith Financial Services"/>
    <x v="2"/>
    <x v="6"/>
    <x v="19"/>
    <s v="Female"/>
    <n v="25"/>
    <n v="839"/>
    <n v="1233"/>
    <n v="20975"/>
    <n v="30825"/>
    <n v="9850"/>
    <s v="profit"/>
  </r>
  <r>
    <x v="133"/>
    <s v="july"/>
    <s v="Apex Travel Ventures"/>
    <x v="2"/>
    <x v="6"/>
    <x v="0"/>
    <s v="Female"/>
    <n v="25"/>
    <n v="536"/>
    <n v="1407"/>
    <n v="13400"/>
    <n v="35175"/>
    <n v="21775"/>
    <s v="profit"/>
  </r>
  <r>
    <x v="134"/>
    <s v="august"/>
    <s v="Future Vision Realty"/>
    <x v="2"/>
    <x v="6"/>
    <x v="8"/>
    <s v="Male"/>
    <n v="27"/>
    <n v="966"/>
    <n v="1255"/>
    <n v="26082"/>
    <n v="33885"/>
    <n v="7803"/>
    <s v="profit"/>
  </r>
  <r>
    <x v="68"/>
    <s v="august"/>
    <s v="Radiance Tech Solutions"/>
    <x v="0"/>
    <x v="2"/>
    <x v="6"/>
    <s v="Female"/>
    <n v="20"/>
    <n v="525"/>
    <n v="1122"/>
    <n v="10500"/>
    <n v="22440"/>
    <n v="11940"/>
    <s v="profit"/>
  </r>
  <r>
    <x v="135"/>
    <s v="august"/>
    <s v="Urban Pulse Media"/>
    <x v="2"/>
    <x v="6"/>
    <x v="9"/>
    <s v="Male"/>
    <n v="23"/>
    <n v="694"/>
    <n v="1309"/>
    <n v="15962"/>
    <n v="30107"/>
    <n v="14145"/>
    <s v="profit"/>
  </r>
  <r>
    <x v="136"/>
    <s v="august"/>
    <s v="True Essence Health"/>
    <x v="2"/>
    <x v="6"/>
    <x v="4"/>
    <s v="Female"/>
    <n v="22"/>
    <n v="749"/>
    <n v="850"/>
    <n v="16478"/>
    <n v="18700"/>
    <n v="2222"/>
    <s v="profit"/>
  </r>
  <r>
    <x v="138"/>
    <s v="august"/>
    <s v="Radiant Vision Realty"/>
    <x v="2"/>
    <x v="6"/>
    <x v="11"/>
    <s v="Male"/>
    <n v="24"/>
    <n v="845"/>
    <n v="1429"/>
    <n v="20280"/>
    <n v="34296"/>
    <n v="14016"/>
    <s v="profit"/>
  </r>
  <r>
    <x v="139"/>
    <s v="august"/>
    <s v="Harmony Consulting Group"/>
    <x v="2"/>
    <x v="6"/>
    <x v="6"/>
    <s v="Male"/>
    <n v="29"/>
    <n v="872"/>
    <n v="1351"/>
    <n v="25288"/>
    <n v="39179"/>
    <n v="13891"/>
    <s v="profit"/>
  </r>
  <r>
    <x v="141"/>
    <s v="august"/>
    <s v="Zenith Tech Ventures"/>
    <x v="2"/>
    <x v="6"/>
    <x v="7"/>
    <s v="Male"/>
    <n v="27"/>
    <n v="674"/>
    <n v="1119"/>
    <n v="18198"/>
    <n v="30213"/>
    <n v="12015"/>
    <s v="profit"/>
  </r>
  <r>
    <x v="142"/>
    <s v="august"/>
    <s v="Stellar Health Services"/>
    <x v="2"/>
    <x v="6"/>
    <x v="7"/>
    <s v="Female"/>
    <n v="27"/>
    <n v="583"/>
    <n v="1379"/>
    <n v="15741"/>
    <n v="37233"/>
    <n v="21492"/>
    <s v="profit"/>
  </r>
  <r>
    <x v="143"/>
    <s v="august"/>
    <s v="Pure Path Foods"/>
    <x v="2"/>
    <x v="6"/>
    <x v="13"/>
    <s v="Female"/>
    <n v="21"/>
    <n v="929"/>
    <n v="910"/>
    <n v="19509"/>
    <n v="19110"/>
    <n v="-399"/>
    <s v="loss"/>
  </r>
  <r>
    <x v="69"/>
    <s v="august"/>
    <s v="Apex Enterprise Solutions"/>
    <x v="2"/>
    <x v="6"/>
    <x v="10"/>
    <s v="Male"/>
    <n v="23"/>
    <n v="884"/>
    <n v="1392"/>
    <n v="20332"/>
    <n v="32016"/>
    <n v="11684"/>
    <s v="profit"/>
  </r>
  <r>
    <x v="144"/>
    <s v="august"/>
    <s v="Bright Horizon Realty"/>
    <x v="2"/>
    <x v="6"/>
    <x v="12"/>
    <s v="Female"/>
    <n v="28"/>
    <n v="873"/>
    <n v="809"/>
    <n v="24444"/>
    <n v="22652"/>
    <n v="-1792"/>
    <s v="loss"/>
  </r>
  <r>
    <x v="146"/>
    <s v="october"/>
    <s v="Crystal Clear Consulting"/>
    <x v="2"/>
    <x v="8"/>
    <x v="12"/>
    <s v="Female"/>
    <n v="21"/>
    <n v="541"/>
    <n v="1339"/>
    <n v="11361"/>
    <n v="28119"/>
    <n v="16758"/>
    <s v="profit"/>
  </r>
  <r>
    <x v="147"/>
    <s v="october"/>
    <s v="Zenith Innovations"/>
    <x v="2"/>
    <x v="8"/>
    <x v="5"/>
    <s v="Male"/>
    <n v="22"/>
    <n v="725"/>
    <n v="1268"/>
    <n v="15950"/>
    <n v="27896"/>
    <n v="11946"/>
    <s v="profit"/>
  </r>
  <r>
    <x v="148"/>
    <s v="october"/>
    <s v="True Essence Innovations"/>
    <x v="2"/>
    <x v="3"/>
    <x v="0"/>
    <s v="Male"/>
    <n v="21"/>
    <n v="596"/>
    <n v="838"/>
    <n v="12516"/>
    <n v="17598"/>
    <n v="5082"/>
    <s v="profit"/>
  </r>
  <r>
    <x v="150"/>
    <s v="november"/>
    <s v="Pinnacle Media Group"/>
    <x v="2"/>
    <x v="3"/>
    <x v="1"/>
    <s v="Male"/>
    <n v="30"/>
    <n v="910"/>
    <n v="1290"/>
    <n v="27300"/>
    <n v="38700"/>
    <n v="11400"/>
    <s v="profit"/>
  </r>
  <r>
    <x v="70"/>
    <s v="august"/>
    <s v="Prestige Solutions"/>
    <x v="2"/>
    <x v="6"/>
    <x v="13"/>
    <s v="Female"/>
    <n v="20"/>
    <n v="997"/>
    <n v="784"/>
    <n v="19940"/>
    <n v="15680"/>
    <n v="-4260"/>
    <s v="loss"/>
  </r>
  <r>
    <x v="152"/>
    <s v="november"/>
    <s v="Legacy Design Co."/>
    <x v="2"/>
    <x v="3"/>
    <x v="2"/>
    <s v="Male"/>
    <n v="25"/>
    <n v="532"/>
    <n v="1358"/>
    <n v="13300"/>
    <n v="33950"/>
    <n v="20650"/>
    <s v="profit"/>
  </r>
  <r>
    <x v="153"/>
    <s v="november"/>
    <s v="Apex Health Products"/>
    <x v="2"/>
    <x v="3"/>
    <x v="3"/>
    <s v="Female"/>
    <n v="29"/>
    <n v="813"/>
    <n v="1241"/>
    <n v="23577"/>
    <n v="35989"/>
    <n v="12412"/>
    <s v="profit"/>
  </r>
  <r>
    <x v="154"/>
    <s v="november"/>
    <s v="Zenith Travel Ventures"/>
    <x v="2"/>
    <x v="3"/>
    <x v="3"/>
    <s v="Female"/>
    <n v="28"/>
    <n v="858"/>
    <n v="1127"/>
    <n v="24024"/>
    <n v="31556"/>
    <n v="7532"/>
    <s v="profit"/>
  </r>
  <r>
    <x v="155"/>
    <s v="november"/>
    <s v="Pure Path Consulting"/>
    <x v="2"/>
    <x v="3"/>
    <x v="4"/>
    <s v="Female"/>
    <n v="24"/>
    <n v="641"/>
    <n v="1337"/>
    <n v="15384"/>
    <n v="32088"/>
    <n v="16704"/>
    <s v="profit"/>
  </r>
  <r>
    <x v="157"/>
    <s v="november"/>
    <s v="Harmony Educational Group"/>
    <x v="2"/>
    <x v="4"/>
    <x v="15"/>
    <s v="Male"/>
    <n v="25"/>
    <n v="709"/>
    <n v="1386"/>
    <n v="17725"/>
    <n v="34650"/>
    <n v="16925"/>
    <s v="profit"/>
  </r>
  <r>
    <x v="158"/>
    <s v="november"/>
    <s v="Radiant Design Studio"/>
    <x v="2"/>
    <x v="4"/>
    <x v="6"/>
    <s v="Male"/>
    <n v="25"/>
    <n v="802"/>
    <n v="1126"/>
    <n v="20050"/>
    <n v="28150"/>
    <n v="8100"/>
    <s v="profit"/>
  </r>
  <r>
    <x v="159"/>
    <s v="november"/>
    <s v="Zenith Health Innovations"/>
    <x v="2"/>
    <x v="4"/>
    <x v="8"/>
    <s v="Male"/>
    <n v="23"/>
    <n v="893"/>
    <n v="761"/>
    <n v="20539"/>
    <n v="17503"/>
    <n v="-3036"/>
    <s v="loss"/>
  </r>
  <r>
    <x v="160"/>
    <s v="november"/>
    <s v="Apex Realty Ventures"/>
    <x v="2"/>
    <x v="4"/>
    <x v="12"/>
    <s v="Male"/>
    <n v="29"/>
    <n v="852"/>
    <n v="1452"/>
    <n v="24708"/>
    <n v="42108"/>
    <n v="17400"/>
    <s v="profit"/>
  </r>
  <r>
    <x v="71"/>
    <s v="august"/>
    <s v="Urban Wave Solutions"/>
    <x v="1"/>
    <x v="5"/>
    <x v="1"/>
    <s v="Male"/>
    <n v="64"/>
    <n v="580"/>
    <n v="1164"/>
    <n v="37120"/>
    <n v="74496"/>
    <n v="37376"/>
    <s v="profit"/>
  </r>
  <r>
    <x v="161"/>
    <s v="november"/>
    <s v="True Value Ventures"/>
    <x v="2"/>
    <x v="4"/>
    <x v="7"/>
    <s v="Female"/>
    <n v="23"/>
    <n v="747"/>
    <n v="1340"/>
    <n v="17181"/>
    <n v="30820"/>
    <n v="13639"/>
    <s v="profit"/>
  </r>
  <r>
    <x v="162"/>
    <s v="november"/>
    <s v="Crystal Clear Designs"/>
    <x v="2"/>
    <x v="4"/>
    <x v="8"/>
    <s v="Male"/>
    <n v="26"/>
    <n v="625"/>
    <n v="1298"/>
    <n v="16250"/>
    <n v="33748"/>
    <n v="17498"/>
    <s v="profit"/>
  </r>
  <r>
    <x v="164"/>
    <s v="november"/>
    <s v="Pinnacle Innovations Co."/>
    <x v="2"/>
    <x v="4"/>
    <x v="4"/>
    <s v="Male"/>
    <n v="23"/>
    <n v="706"/>
    <n v="988"/>
    <n v="16238"/>
    <n v="22724"/>
    <n v="6486"/>
    <s v="profit"/>
  </r>
  <r>
    <x v="166"/>
    <s v="november"/>
    <s v="Modern Pathways"/>
    <x v="2"/>
    <x v="4"/>
    <x v="8"/>
    <s v="Male"/>
    <n v="28"/>
    <n v="858"/>
    <n v="1113"/>
    <n v="24024"/>
    <n v="31164"/>
    <n v="7140"/>
    <s v="profit"/>
  </r>
  <r>
    <x v="72"/>
    <s v="september"/>
    <s v="Visionary Realty Solutions"/>
    <x v="1"/>
    <x v="7"/>
    <x v="5"/>
    <s v="Female"/>
    <n v="52"/>
    <n v="893"/>
    <n v="1055"/>
    <n v="46436"/>
    <n v="54860"/>
    <n v="8424"/>
    <s v="profit"/>
  </r>
  <r>
    <x v="168"/>
    <s v="november"/>
    <s v="Stellar Finance Co."/>
    <x v="2"/>
    <x v="4"/>
    <x v="9"/>
    <s v="Male"/>
    <n v="24"/>
    <n v="736"/>
    <n v="1406"/>
    <n v="17664"/>
    <n v="33744"/>
    <n v="16080"/>
    <s v="profit"/>
  </r>
  <r>
    <x v="169"/>
    <s v="november"/>
    <s v="Radiant Spectrum Group"/>
    <x v="2"/>
    <x v="4"/>
    <x v="4"/>
    <s v="Male"/>
    <n v="20"/>
    <n v="599"/>
    <n v="1023"/>
    <n v="11980"/>
    <n v="20460"/>
    <n v="8480"/>
    <s v="profit"/>
  </r>
  <r>
    <x v="170"/>
    <s v="november"/>
    <s v="Harmony Design Ventures"/>
    <x v="2"/>
    <x v="4"/>
    <x v="10"/>
    <s v="Female"/>
    <n v="22"/>
    <n v="524"/>
    <n v="1147"/>
    <n v="11528"/>
    <n v="25234"/>
    <n v="13706"/>
    <s v="profit"/>
  </r>
  <r>
    <x v="171"/>
    <s v="november"/>
    <s v="Elite Edge Products"/>
    <x v="2"/>
    <x v="4"/>
    <x v="11"/>
    <s v="Female"/>
    <n v="27"/>
    <n v="744"/>
    <n v="1253"/>
    <n v="20088"/>
    <n v="33831"/>
    <n v="13743"/>
    <s v="profit"/>
  </r>
  <r>
    <x v="172"/>
    <s v="november"/>
    <s v="Zenith Consulting Co."/>
    <x v="2"/>
    <x v="6"/>
    <x v="6"/>
    <s v="Female"/>
    <n v="27"/>
    <n v="826"/>
    <n v="917"/>
    <n v="22302"/>
    <n v="24759"/>
    <n v="2457"/>
    <s v="profit"/>
  </r>
  <r>
    <x v="173"/>
    <s v="november"/>
    <s v="Apex Wellness Products"/>
    <x v="2"/>
    <x v="6"/>
    <x v="7"/>
    <s v="Female"/>
    <n v="27"/>
    <n v="573"/>
    <n v="1266"/>
    <n v="15471"/>
    <n v="34182"/>
    <n v="18711"/>
    <s v="profit"/>
  </r>
  <r>
    <x v="175"/>
    <s v="december"/>
    <s v="Pure Harmony Innovations"/>
    <x v="2"/>
    <x v="6"/>
    <x v="13"/>
    <s v="Female"/>
    <n v="28"/>
    <n v="798"/>
    <n v="1131"/>
    <n v="22344"/>
    <n v="31668"/>
    <n v="9324"/>
    <s v="profit"/>
  </r>
  <r>
    <x v="176"/>
    <s v="december"/>
    <s v="Legacy Media Group"/>
    <x v="2"/>
    <x v="6"/>
    <x v="13"/>
    <s v="Female"/>
    <n v="25"/>
    <n v="982"/>
    <n v="1479"/>
    <n v="24550"/>
    <n v="36975"/>
    <n v="12425"/>
    <s v="profit"/>
  </r>
  <r>
    <x v="73"/>
    <s v="september"/>
    <s v="Pure Essence Solutions"/>
    <x v="0"/>
    <x v="2"/>
    <x v="6"/>
    <s v="Female"/>
    <n v="19"/>
    <n v="938"/>
    <n v="1348"/>
    <n v="17822"/>
    <n v="25612"/>
    <n v="7790"/>
    <s v="profit"/>
  </r>
  <r>
    <x v="177"/>
    <s v="december"/>
    <s v="Horizon Tech Innovations"/>
    <x v="2"/>
    <x v="6"/>
    <x v="7"/>
    <s v="Male"/>
    <n v="29"/>
    <n v="841"/>
    <n v="854"/>
    <n v="24389"/>
    <n v="24766"/>
    <n v="377"/>
    <s v="profit"/>
  </r>
  <r>
    <x v="178"/>
    <s v="december"/>
    <s v="Crystal Spectrum Consulting"/>
    <x v="2"/>
    <x v="6"/>
    <x v="5"/>
    <s v="Male"/>
    <n v="21"/>
    <n v="691"/>
    <n v="1142"/>
    <n v="14511"/>
    <n v="23982"/>
    <n v="9471"/>
    <s v="profit"/>
  </r>
  <r>
    <x v="179"/>
    <s v="december"/>
    <s v="Stellar Creative Co."/>
    <x v="2"/>
    <x v="6"/>
    <x v="17"/>
    <s v="Male"/>
    <n v="24"/>
    <n v="526"/>
    <n v="808"/>
    <n v="12624"/>
    <n v="19392"/>
    <n v="6768"/>
    <s v="profit"/>
  </r>
  <r>
    <x v="181"/>
    <s v="december"/>
    <s v="Radiance Media Ventures"/>
    <x v="2"/>
    <x v="6"/>
    <x v="8"/>
    <s v="Female"/>
    <n v="29"/>
    <n v="932"/>
    <n v="1316"/>
    <n v="27028"/>
    <n v="38164"/>
    <n v="11136"/>
    <s v="profit"/>
  </r>
  <r>
    <x v="74"/>
    <s v="september"/>
    <s v="Crystal Health Solutions"/>
    <x v="0"/>
    <x v="2"/>
    <x v="7"/>
    <s v="Male"/>
    <n v="17"/>
    <n v="614"/>
    <n v="1273"/>
    <n v="10438"/>
    <n v="21641"/>
    <n v="11203"/>
    <s v="profit"/>
  </r>
  <r>
    <x v="182"/>
    <s v="december"/>
    <s v="Zenith Edge Services"/>
    <x v="2"/>
    <x v="6"/>
    <x v="19"/>
    <s v="Male"/>
    <n v="22"/>
    <n v="603"/>
    <n v="794"/>
    <n v="13266"/>
    <n v="17468"/>
    <n v="4202"/>
    <s v="profit"/>
  </r>
  <r>
    <x v="183"/>
    <s v="february"/>
    <s v="Stellar Consulting Services"/>
    <x v="2"/>
    <x v="6"/>
    <x v="8"/>
    <s v="Female"/>
    <n v="30"/>
    <n v="946"/>
    <n v="1109"/>
    <n v="28380"/>
    <n v="33270"/>
    <n v="4890"/>
    <s v="profit"/>
  </r>
  <r>
    <x v="184"/>
    <s v="february"/>
    <s v="Radiant Ventures"/>
    <x v="2"/>
    <x v="6"/>
    <x v="18"/>
    <s v="Female"/>
    <n v="24"/>
    <n v="580"/>
    <n v="809"/>
    <n v="13920"/>
    <n v="19416"/>
    <n v="5496"/>
    <s v="profit"/>
  </r>
  <r>
    <x v="185"/>
    <s v="february"/>
    <s v="Harmony Tech Co."/>
    <x v="2"/>
    <x v="6"/>
    <x v="19"/>
    <s v="Female"/>
    <n v="30"/>
    <n v="732"/>
    <n v="944"/>
    <n v="21960"/>
    <n v="28320"/>
    <n v="6360"/>
    <s v="profit"/>
  </r>
  <r>
    <x v="187"/>
    <s v="february"/>
    <s v="Zenith Creative Ventures"/>
    <x v="2"/>
    <x v="6"/>
    <x v="0"/>
    <s v="Male"/>
    <n v="20"/>
    <n v="552"/>
    <n v="1261"/>
    <n v="11040"/>
    <n v="25220"/>
    <n v="14180"/>
    <s v="profit"/>
  </r>
  <r>
    <x v="188"/>
    <s v="february"/>
    <s v="Apex Health Services"/>
    <x v="2"/>
    <x v="6"/>
    <x v="1"/>
    <s v="Male"/>
    <n v="21"/>
    <n v="876"/>
    <n v="1452"/>
    <n v="18396"/>
    <n v="30492"/>
    <n v="12096"/>
    <s v="profit"/>
  </r>
  <r>
    <x v="189"/>
    <s v="february"/>
    <s v="Pure Vision Media"/>
    <x v="2"/>
    <x v="6"/>
    <x v="2"/>
    <s v="Male"/>
    <n v="27"/>
    <n v="636"/>
    <n v="1284"/>
    <n v="17172"/>
    <n v="34668"/>
    <n v="17496"/>
    <s v="profit"/>
  </r>
  <r>
    <x v="191"/>
    <s v="february"/>
    <s v="Legacy Innovations Group"/>
    <x v="2"/>
    <x v="6"/>
    <x v="3"/>
    <s v="Male"/>
    <n v="21"/>
    <n v="974"/>
    <n v="1363"/>
    <n v="20454"/>
    <n v="28623"/>
    <n v="8169"/>
    <s v="profit"/>
  </r>
  <r>
    <x v="75"/>
    <s v="september"/>
    <s v="Stellar Travel Solutions"/>
    <x v="0"/>
    <x v="0"/>
    <x v="7"/>
    <s v="Female"/>
    <n v="10"/>
    <n v="572"/>
    <n v="801"/>
    <n v="5720"/>
    <n v="8010"/>
    <n v="2290"/>
    <s v="profit"/>
  </r>
  <r>
    <x v="192"/>
    <s v="february"/>
    <s v="Pinnacle Consulting Co."/>
    <x v="2"/>
    <x v="6"/>
    <x v="3"/>
    <s v="Male"/>
    <n v="30"/>
    <n v="518"/>
    <n v="858"/>
    <n v="15540"/>
    <n v="25740"/>
    <n v="10200"/>
    <s v="profit"/>
  </r>
  <r>
    <x v="76"/>
    <s v="september"/>
    <s v="Pure Harmony Solutions"/>
    <x v="0"/>
    <x v="0"/>
    <x v="13"/>
    <s v="Female"/>
    <n v="12"/>
    <n v="674"/>
    <n v="1265"/>
    <n v="8088"/>
    <n v="15180"/>
    <n v="7092"/>
    <s v="profit"/>
  </r>
  <r>
    <x v="193"/>
    <s v="february"/>
    <s v="Stellar Finance Group"/>
    <x v="2"/>
    <x v="6"/>
    <x v="4"/>
    <s v="Female"/>
    <n v="21"/>
    <n v="531"/>
    <n v="955"/>
    <n v="11151"/>
    <n v="20055"/>
    <n v="8904"/>
    <s v="profit"/>
  </r>
  <r>
    <x v="194"/>
    <s v="february"/>
    <s v="Harmony Ventures Group"/>
    <x v="2"/>
    <x v="6"/>
    <x v="6"/>
    <s v="Female"/>
    <n v="26"/>
    <n v="842"/>
    <n v="1074"/>
    <n v="21892"/>
    <n v="27924"/>
    <n v="6032"/>
    <s v="profit"/>
  </r>
  <r>
    <x v="198"/>
    <s v="april"/>
    <s v="Golden Horizon Ventures"/>
    <x v="1"/>
    <x v="1"/>
    <x v="15"/>
    <s v="Male"/>
    <n v="95"/>
    <n v="936"/>
    <n v="1350"/>
    <n v="88920"/>
    <n v="128250"/>
    <n v="39330"/>
    <s v="profit"/>
  </r>
  <r>
    <x v="199"/>
    <s v="april"/>
    <s v="Eternal Traditions"/>
    <x v="1"/>
    <x v="1"/>
    <x v="16"/>
    <s v="Male"/>
    <n v="84"/>
    <n v="784"/>
    <n v="965"/>
    <n v="65856"/>
    <n v="81060"/>
    <n v="15204"/>
    <s v="profit"/>
  </r>
  <r>
    <x v="200"/>
    <s v="april"/>
    <s v="Harmony Foods"/>
    <x v="1"/>
    <x v="1"/>
    <x v="8"/>
    <s v="Male"/>
    <n v="51"/>
    <n v="847"/>
    <n v="972"/>
    <n v="43197"/>
    <n v="49572"/>
    <n v="6375"/>
    <s v="profit"/>
  </r>
  <r>
    <x v="77"/>
    <s v="october"/>
    <s v="Modern Spectrum Solutions"/>
    <x v="1"/>
    <x v="5"/>
    <x v="8"/>
    <s v="Female"/>
    <n v="52"/>
    <n v="546"/>
    <n v="1482"/>
    <n v="28392"/>
    <n v="77064"/>
    <n v="48672"/>
    <s v="profit"/>
  </r>
  <r>
    <x v="201"/>
    <s v="april"/>
    <s v="Sacred Roots Apparel"/>
    <x v="1"/>
    <x v="9"/>
    <x v="8"/>
    <s v="Female"/>
    <n v="68"/>
    <n v="534"/>
    <n v="1085"/>
    <n v="36312"/>
    <n v="73780"/>
    <n v="37468"/>
    <s v="profit"/>
  </r>
  <r>
    <x v="202"/>
    <s v="april"/>
    <s v="Quantum Finance Services"/>
    <x v="1"/>
    <x v="9"/>
    <x v="9"/>
    <s v="Female"/>
    <n v="68"/>
    <n v="575"/>
    <n v="1242"/>
    <n v="39100"/>
    <n v="84456"/>
    <n v="45356"/>
    <s v="profit"/>
  </r>
  <r>
    <x v="203"/>
    <s v="april"/>
    <s v="Brilliant Minds Academy"/>
    <x v="1"/>
    <x v="9"/>
    <x v="4"/>
    <s v="Female"/>
    <n v="79"/>
    <n v="537"/>
    <n v="850"/>
    <n v="42423"/>
    <n v="67150"/>
    <n v="24727"/>
    <s v="profit"/>
  </r>
  <r>
    <x v="204"/>
    <s v="april"/>
    <s v="Visionary Holdings"/>
    <x v="1"/>
    <x v="9"/>
    <x v="10"/>
    <s v="Female"/>
    <n v="65"/>
    <n v="935"/>
    <n v="752"/>
    <n v="60775"/>
    <n v="48880"/>
    <n v="-11895"/>
    <s v="loss"/>
  </r>
  <r>
    <x v="205"/>
    <s v="april"/>
    <s v="Stellar Design Studio"/>
    <x v="1"/>
    <x v="9"/>
    <x v="11"/>
    <s v="Female"/>
    <n v="66"/>
    <n v="709"/>
    <n v="1021"/>
    <n v="46794"/>
    <n v="67386"/>
    <n v="20592"/>
    <s v="profit"/>
  </r>
  <r>
    <x v="206"/>
    <s v="april"/>
    <s v="Classic Cuisines"/>
    <x v="1"/>
    <x v="9"/>
    <x v="6"/>
    <s v="Male"/>
    <n v="70"/>
    <n v="751"/>
    <n v="1485"/>
    <n v="52570"/>
    <n v="103950"/>
    <n v="51380"/>
    <s v="profit"/>
  </r>
  <r>
    <x v="81"/>
    <s v="october"/>
    <s v="Apex Creative Solutions"/>
    <x v="1"/>
    <x v="7"/>
    <x v="3"/>
    <s v="Male"/>
    <n v="86"/>
    <n v="717"/>
    <n v="1445"/>
    <n v="61662"/>
    <n v="124270"/>
    <n v="62608"/>
    <s v="profit"/>
  </r>
  <r>
    <x v="207"/>
    <s v="april"/>
    <s v="Bold Ventures"/>
    <x v="1"/>
    <x v="9"/>
    <x v="7"/>
    <s v="Male"/>
    <n v="75"/>
    <n v="686"/>
    <n v="1254"/>
    <n v="51450"/>
    <n v="94050"/>
    <n v="42600"/>
    <s v="profit"/>
  </r>
  <r>
    <x v="208"/>
    <s v="may"/>
    <s v="Radiance Spa"/>
    <x v="1"/>
    <x v="5"/>
    <x v="12"/>
    <s v="Male"/>
    <n v="91"/>
    <n v="518"/>
    <n v="1465"/>
    <n v="47138"/>
    <n v="133315"/>
    <n v="86177"/>
    <s v="profit"/>
  </r>
  <r>
    <x v="209"/>
    <s v="may"/>
    <s v="Verve Fitness Studio"/>
    <x v="1"/>
    <x v="5"/>
    <x v="7"/>
    <s v="Female"/>
    <n v="96"/>
    <n v="791"/>
    <n v="931"/>
    <n v="75936"/>
    <n v="89376"/>
    <n v="13440"/>
    <s v="profit"/>
  </r>
  <r>
    <x v="210"/>
    <s v="may"/>
    <s v="Sparkle Cleaners"/>
    <x v="1"/>
    <x v="5"/>
    <x v="7"/>
    <s v="Female"/>
    <n v="69"/>
    <n v="864"/>
    <n v="935"/>
    <n v="59616"/>
    <n v="64515"/>
    <n v="4899"/>
    <s v="profit"/>
  </r>
  <r>
    <x v="86"/>
    <s v="october"/>
    <s v="Radiance Solutions Group"/>
    <x v="0"/>
    <x v="2"/>
    <x v="11"/>
    <s v="Female"/>
    <n v="20"/>
    <n v="784"/>
    <n v="1320"/>
    <n v="15680"/>
    <n v="26400"/>
    <n v="10720"/>
    <s v="profit"/>
  </r>
  <r>
    <x v="211"/>
    <s v="may"/>
    <s v="Global Reach Logistics"/>
    <x v="1"/>
    <x v="5"/>
    <x v="8"/>
    <s v="Female"/>
    <n v="55"/>
    <n v="782"/>
    <n v="1335"/>
    <n v="43010"/>
    <n v="73425"/>
    <n v="30415"/>
    <s v="profit"/>
  </r>
  <r>
    <x v="212"/>
    <s v="may"/>
    <s v="Noble Path Finance"/>
    <x v="1"/>
    <x v="5"/>
    <x v="4"/>
    <s v="Female"/>
    <n v="71"/>
    <n v="653"/>
    <n v="963"/>
    <n v="46363"/>
    <n v="68373"/>
    <n v="22010"/>
    <s v="profit"/>
  </r>
  <r>
    <x v="89"/>
    <s v="october"/>
    <s v="Modern Edge Solutions"/>
    <x v="0"/>
    <x v="2"/>
    <x v="7"/>
    <s v="Female"/>
    <n v="19"/>
    <n v="664"/>
    <n v="1091"/>
    <n v="12616"/>
    <n v="20729"/>
    <n v="8113"/>
    <s v="profit"/>
  </r>
  <r>
    <x v="213"/>
    <s v="may"/>
    <s v="Dynamic Events Management"/>
    <x v="1"/>
    <x v="5"/>
    <x v="8"/>
    <s v="Female"/>
    <n v="88"/>
    <n v="959"/>
    <n v="985"/>
    <n v="84392"/>
    <n v="86680"/>
    <n v="2288"/>
    <s v="profit"/>
  </r>
  <r>
    <x v="91"/>
    <s v="october"/>
    <s v="Horizon Health Solutions"/>
    <x v="2"/>
    <x v="3"/>
    <x v="13"/>
    <s v="Female"/>
    <n v="26"/>
    <n v="674"/>
    <n v="857"/>
    <n v="17524"/>
    <n v="22282"/>
    <n v="4758"/>
    <s v="profit"/>
  </r>
  <r>
    <x v="214"/>
    <s v="may"/>
    <s v="Crystal Waters Resort"/>
    <x v="1"/>
    <x v="5"/>
    <x v="9"/>
    <s v="Female"/>
    <n v="72"/>
    <n v="805"/>
    <n v="826"/>
    <n v="57960"/>
    <n v="59472"/>
    <n v="1512"/>
    <s v="profit"/>
  </r>
  <r>
    <x v="93"/>
    <s v="october"/>
    <s v="Apex Marketing Solutions"/>
    <x v="2"/>
    <x v="8"/>
    <x v="7"/>
    <s v="Male"/>
    <n v="29"/>
    <n v="774"/>
    <n v="793"/>
    <n v="22446"/>
    <n v="22997"/>
    <n v="551"/>
    <s v="profit"/>
  </r>
  <r>
    <x v="215"/>
    <s v="may"/>
    <s v="Excellence Tutors"/>
    <x v="1"/>
    <x v="5"/>
    <x v="4"/>
    <s v="Female"/>
    <n v="53"/>
    <n v="665"/>
    <n v="1206"/>
    <n v="35245"/>
    <n v="63918"/>
    <n v="28673"/>
    <s v="profit"/>
  </r>
  <r>
    <x v="216"/>
    <s v="may"/>
    <s v="Horizon Builders"/>
    <x v="1"/>
    <x v="5"/>
    <x v="10"/>
    <s v="Male"/>
    <n v="88"/>
    <n v="607"/>
    <n v="1268"/>
    <n v="53416"/>
    <n v="111584"/>
    <n v="58168"/>
    <s v="profit"/>
  </r>
  <r>
    <x v="217"/>
    <s v="may"/>
    <s v="Classic Heritage Crafts"/>
    <x v="1"/>
    <x v="5"/>
    <x v="6"/>
    <s v="Male"/>
    <n v="99"/>
    <n v="657"/>
    <n v="1033"/>
    <n v="65043"/>
    <n v="102267"/>
    <n v="37224"/>
    <s v="profit"/>
  </r>
  <r>
    <x v="218"/>
    <s v="may"/>
    <s v="Prime Focus Media"/>
    <x v="1"/>
    <x v="7"/>
    <x v="7"/>
    <s v="Male"/>
    <n v="88"/>
    <n v="977"/>
    <n v="1402"/>
    <n v="85976"/>
    <n v="123376"/>
    <n v="37400"/>
    <s v="profit"/>
  </r>
  <r>
    <x v="219"/>
    <s v="june"/>
    <s v="Noble Nutraceuticals"/>
    <x v="1"/>
    <x v="7"/>
    <x v="7"/>
    <s v="Female"/>
    <n v="81"/>
    <n v="528"/>
    <n v="872"/>
    <n v="42768"/>
    <n v="70632"/>
    <n v="27864"/>
    <s v="profit"/>
  </r>
  <r>
    <x v="220"/>
    <s v="june"/>
    <s v="Supreme Travel Agency"/>
    <x v="1"/>
    <x v="7"/>
    <x v="13"/>
    <s v="Male"/>
    <n v="74"/>
    <n v="870"/>
    <n v="1490"/>
    <n v="64380"/>
    <n v="110260"/>
    <n v="45880"/>
    <s v="profit"/>
  </r>
  <r>
    <x v="221"/>
    <s v="june"/>
    <s v="Future Vision Tech"/>
    <x v="1"/>
    <x v="7"/>
    <x v="13"/>
    <s v="Male"/>
    <n v="83"/>
    <n v="655"/>
    <n v="1422"/>
    <n v="54365"/>
    <n v="118026"/>
    <n v="63661"/>
    <s v="profit"/>
  </r>
  <r>
    <x v="222"/>
    <s v="june"/>
    <s v="Urban Groove Apparel"/>
    <x v="1"/>
    <x v="7"/>
    <x v="12"/>
    <s v="Male"/>
    <n v="99"/>
    <n v="649"/>
    <n v="1415"/>
    <n v="64251"/>
    <n v="140085"/>
    <n v="75834"/>
    <s v="profit"/>
  </r>
  <r>
    <x v="223"/>
    <s v="june"/>
    <s v="Echo Real Estate"/>
    <x v="1"/>
    <x v="7"/>
    <x v="7"/>
    <s v="Male"/>
    <n v="97"/>
    <n v="917"/>
    <n v="844"/>
    <n v="88949"/>
    <n v="81868"/>
    <n v="-7081"/>
    <s v="loss"/>
  </r>
  <r>
    <x v="224"/>
    <s v="june"/>
    <s v="Pinnacle Health Products"/>
    <x v="1"/>
    <x v="7"/>
    <x v="5"/>
    <s v="Female"/>
    <n v="57"/>
    <n v="793"/>
    <n v="761"/>
    <n v="45201"/>
    <n v="43377"/>
    <n v="-1824"/>
    <s v="loss"/>
  </r>
  <r>
    <x v="225"/>
    <s v="june"/>
    <s v="Apex Auto Care"/>
    <x v="1"/>
    <x v="7"/>
    <x v="17"/>
    <s v="Female"/>
    <n v="84"/>
    <n v="931"/>
    <n v="1475"/>
    <n v="78204"/>
    <n v="123900"/>
    <n v="45696"/>
    <s v="profit"/>
  </r>
  <r>
    <x v="105"/>
    <s v="november"/>
    <s v="Radiance Solutions Co."/>
    <x v="1"/>
    <x v="9"/>
    <x v="5"/>
    <s v="Female"/>
    <n v="74"/>
    <n v="714"/>
    <n v="1148"/>
    <n v="52836"/>
    <n v="84952"/>
    <n v="32116"/>
    <s v="profit"/>
  </r>
  <r>
    <x v="226"/>
    <s v="june"/>
    <s v="Royal Glow Cosmetics"/>
    <x v="1"/>
    <x v="7"/>
    <x v="8"/>
    <s v="Female"/>
    <n v="76"/>
    <n v="901"/>
    <n v="1471"/>
    <n v="68476"/>
    <n v="111796"/>
    <n v="43320"/>
    <s v="profit"/>
  </r>
  <r>
    <x v="227"/>
    <s v="june"/>
    <s v="Zenith Culinary Arts"/>
    <x v="1"/>
    <x v="7"/>
    <x v="18"/>
    <s v="Female"/>
    <n v="93"/>
    <n v="658"/>
    <n v="1303"/>
    <n v="61194"/>
    <n v="121179"/>
    <n v="59985"/>
    <s v="profit"/>
  </r>
  <r>
    <x v="108"/>
    <s v="november"/>
    <s v="Horizon Creative Solutions"/>
    <x v="1"/>
    <x v="9"/>
    <x v="14"/>
    <s v="Female"/>
    <n v="73"/>
    <n v="957"/>
    <n v="814"/>
    <n v="69861"/>
    <n v="59422"/>
    <n v="-10439"/>
    <s v="loss"/>
  </r>
  <r>
    <x v="228"/>
    <s v="june"/>
    <s v="Visionary Tours"/>
    <x v="1"/>
    <x v="7"/>
    <x v="19"/>
    <s v="Female"/>
    <n v="68"/>
    <n v="651"/>
    <n v="1061"/>
    <n v="44268"/>
    <n v="72148"/>
    <n v="27880"/>
    <s v="profit"/>
  </r>
  <r>
    <x v="229"/>
    <s v="june"/>
    <s v="Elite Essence Products"/>
    <x v="1"/>
    <x v="5"/>
    <x v="3"/>
    <s v="Male"/>
    <n v="98"/>
    <n v="596"/>
    <n v="1155"/>
    <n v="58408"/>
    <n v="113190"/>
    <n v="54782"/>
    <s v="profit"/>
  </r>
  <r>
    <x v="230"/>
    <s v="june"/>
    <s v="Dynamic Creations"/>
    <x v="1"/>
    <x v="5"/>
    <x v="15"/>
    <s v="Male"/>
    <n v="84"/>
    <n v="911"/>
    <n v="1370"/>
    <n v="76524"/>
    <n v="115080"/>
    <n v="38556"/>
    <s v="profit"/>
  </r>
  <r>
    <x v="231"/>
    <s v="june"/>
    <s v="Quantum Design Studio"/>
    <x v="1"/>
    <x v="5"/>
    <x v="14"/>
    <s v="Male"/>
    <n v="81"/>
    <n v="702"/>
    <n v="1494"/>
    <n v="56862"/>
    <n v="121014"/>
    <n v="64152"/>
    <s v="profit"/>
  </r>
  <r>
    <x v="113"/>
    <s v="november"/>
    <s v="Urban Spectrum Solutions"/>
    <x v="2"/>
    <x v="4"/>
    <x v="16"/>
    <s v="Male"/>
    <n v="24"/>
    <n v="553"/>
    <n v="964"/>
    <n v="13272"/>
    <n v="23136"/>
    <n v="9864"/>
    <s v="profit"/>
  </r>
  <r>
    <x v="232"/>
    <s v="june"/>
    <s v="Apex Construction"/>
    <x v="1"/>
    <x v="5"/>
    <x v="3"/>
    <s v="Female"/>
    <n v="58"/>
    <n v="510"/>
    <n v="1456"/>
    <n v="29580"/>
    <n v="84448"/>
    <n v="54868"/>
    <s v="profit"/>
  </r>
  <r>
    <x v="233"/>
    <s v="june"/>
    <s v="Legacy Innovations"/>
    <x v="1"/>
    <x v="7"/>
    <x v="13"/>
    <s v="Female"/>
    <n v="59"/>
    <n v="506"/>
    <n v="1498"/>
    <n v="29854"/>
    <n v="88382"/>
    <n v="58528"/>
    <s v="profit"/>
  </r>
  <r>
    <x v="234"/>
    <s v="june"/>
    <s v="Pure Harmony Foods"/>
    <x v="1"/>
    <x v="7"/>
    <x v="15"/>
    <s v="Male"/>
    <n v="51"/>
    <n v="868"/>
    <n v="938"/>
    <n v="44268"/>
    <n v="47838"/>
    <n v="3570"/>
    <s v="profit"/>
  </r>
  <r>
    <x v="117"/>
    <s v="november"/>
    <s v="Legacy Wellness Solutions"/>
    <x v="2"/>
    <x v="4"/>
    <x v="6"/>
    <s v="Female"/>
    <n v="22"/>
    <n v="688"/>
    <n v="985"/>
    <n v="15136"/>
    <n v="21670"/>
    <n v="6534"/>
    <s v="profit"/>
  </r>
  <r>
    <x v="235"/>
    <s v="june"/>
    <s v="Zenith Security Systems"/>
    <x v="1"/>
    <x v="7"/>
    <x v="16"/>
    <s v="Male"/>
    <n v="76"/>
    <n v="602"/>
    <n v="1356"/>
    <n v="45752"/>
    <n v="103056"/>
    <n v="57304"/>
    <s v="profit"/>
  </r>
  <r>
    <x v="119"/>
    <s v="november"/>
    <s v="Horizon Media Solutions"/>
    <x v="2"/>
    <x v="4"/>
    <x v="7"/>
    <s v="Female"/>
    <n v="27"/>
    <n v="933"/>
    <n v="983"/>
    <n v="25191"/>
    <n v="26541"/>
    <n v="1350"/>
    <s v="profit"/>
  </r>
  <r>
    <x v="236"/>
    <s v="june"/>
    <s v="Crystal Clear Beverages"/>
    <x v="1"/>
    <x v="7"/>
    <x v="6"/>
    <s v="Male"/>
    <n v="55"/>
    <n v="928"/>
    <n v="1264"/>
    <n v="51040"/>
    <n v="69520"/>
    <n v="18480"/>
    <s v="profit"/>
  </r>
  <r>
    <x v="237"/>
    <s v="june"/>
    <s v="Metro Line Tech"/>
    <x v="1"/>
    <x v="7"/>
    <x v="8"/>
    <s v="Male"/>
    <n v="74"/>
    <n v="758"/>
    <n v="765"/>
    <n v="56092"/>
    <n v="56610"/>
    <n v="518"/>
    <s v="profit"/>
  </r>
  <r>
    <x v="238"/>
    <s v="june"/>
    <s v="Urban Pulse Consulting"/>
    <x v="1"/>
    <x v="7"/>
    <x v="12"/>
    <s v="Male"/>
    <n v="88"/>
    <n v="566"/>
    <n v="1093"/>
    <n v="49808"/>
    <n v="96184"/>
    <n v="46376"/>
    <s v="profit"/>
  </r>
  <r>
    <x v="239"/>
    <s v="july"/>
    <s v="Legacy Design Group"/>
    <x v="1"/>
    <x v="5"/>
    <x v="1"/>
    <s v="Female"/>
    <n v="58"/>
    <n v="898"/>
    <n v="1068"/>
    <n v="52084"/>
    <n v="61944"/>
    <n v="9860"/>
    <s v="profit"/>
  </r>
  <r>
    <x v="240"/>
    <s v="july"/>
    <s v="Supreme Wellness"/>
    <x v="1"/>
    <x v="5"/>
    <x v="2"/>
    <s v="Female"/>
    <n v="83"/>
    <n v="943"/>
    <n v="867"/>
    <n v="78269"/>
    <n v="71961"/>
    <n v="-6308"/>
    <s v="loss"/>
  </r>
  <r>
    <x v="241"/>
    <s v="july"/>
    <s v="Harmony Tech Innovations"/>
    <x v="1"/>
    <x v="5"/>
    <x v="3"/>
    <s v="Female"/>
    <n v="85"/>
    <n v="641"/>
    <n v="892"/>
    <n v="54485"/>
    <n v="75820"/>
    <n v="21335"/>
    <s v="profit"/>
  </r>
  <r>
    <x v="242"/>
    <s v="july"/>
    <s v="Stellar Education Services"/>
    <x v="1"/>
    <x v="5"/>
    <x v="3"/>
    <s v="Female"/>
    <n v="57"/>
    <n v="784"/>
    <n v="859"/>
    <n v="44688"/>
    <n v="48963"/>
    <n v="4275"/>
    <s v="profit"/>
  </r>
  <r>
    <x v="243"/>
    <s v="july"/>
    <s v="Visionary Health Products"/>
    <x v="1"/>
    <x v="5"/>
    <x v="4"/>
    <s v="Female"/>
    <n v="98"/>
    <n v="579"/>
    <n v="1046"/>
    <n v="56742"/>
    <n v="102508"/>
    <n v="45766"/>
    <s v="profit"/>
  </r>
  <r>
    <x v="244"/>
    <s v="july"/>
    <s v="Crystal Innovations"/>
    <x v="1"/>
    <x v="5"/>
    <x v="5"/>
    <s v="Female"/>
    <n v="98"/>
    <n v="605"/>
    <n v="1155"/>
    <n v="59290"/>
    <n v="113190"/>
    <n v="53900"/>
    <s v="profit"/>
  </r>
  <r>
    <x v="129"/>
    <s v="november"/>
    <s v="Urban Vision Solutions"/>
    <x v="2"/>
    <x v="6"/>
    <x v="7"/>
    <s v="Female"/>
    <n v="20"/>
    <n v="989"/>
    <n v="1298"/>
    <n v="19780"/>
    <n v="25960"/>
    <n v="6180"/>
    <s v="profit"/>
  </r>
  <r>
    <x v="245"/>
    <s v="july"/>
    <s v="Future Trends Retail"/>
    <x v="1"/>
    <x v="5"/>
    <x v="3"/>
    <s v="Female"/>
    <n v="63"/>
    <n v="952"/>
    <n v="824"/>
    <n v="59976"/>
    <n v="51912"/>
    <n v="-8064"/>
    <s v="loss"/>
  </r>
  <r>
    <x v="246"/>
    <s v="july"/>
    <s v="Radiant Horizon Ventures"/>
    <x v="1"/>
    <x v="5"/>
    <x v="15"/>
    <s v="Female"/>
    <n v="91"/>
    <n v="938"/>
    <n v="1156"/>
    <n v="85358"/>
    <n v="105196"/>
    <n v="19838"/>
    <s v="profit"/>
  </r>
  <r>
    <x v="132"/>
    <s v="december"/>
    <s v="Pinnacle Travel Solutions"/>
    <x v="2"/>
    <x v="6"/>
    <x v="12"/>
    <s v="Male"/>
    <n v="26"/>
    <n v="870"/>
    <n v="1123"/>
    <n v="22620"/>
    <n v="29198"/>
    <n v="6578"/>
    <s v="profit"/>
  </r>
  <r>
    <x v="247"/>
    <s v="july"/>
    <s v="Urban Edge Realty"/>
    <x v="1"/>
    <x v="5"/>
    <x v="14"/>
    <s v="Male"/>
    <n v="66"/>
    <n v="512"/>
    <n v="1208"/>
    <n v="33792"/>
    <n v="79728"/>
    <n v="45936"/>
    <s v="profit"/>
  </r>
  <r>
    <x v="248"/>
    <s v="july"/>
    <s v="Prime Focus Innovations"/>
    <x v="1"/>
    <x v="5"/>
    <x v="8"/>
    <s v="Male"/>
    <n v="88"/>
    <n v="691"/>
    <n v="1394"/>
    <n v="60808"/>
    <n v="122672"/>
    <n v="61864"/>
    <s v="profit"/>
  </r>
  <r>
    <x v="249"/>
    <s v="august"/>
    <s v="Elite Spectrum Consulting"/>
    <x v="1"/>
    <x v="5"/>
    <x v="3"/>
    <s v="Male"/>
    <n v="54"/>
    <n v="518"/>
    <n v="1106"/>
    <n v="27972"/>
    <n v="59724"/>
    <n v="31752"/>
    <s v="profit"/>
  </r>
  <r>
    <x v="250"/>
    <s v="august"/>
    <s v="Dynamic Design Studio"/>
    <x v="1"/>
    <x v="5"/>
    <x v="13"/>
    <s v="Male"/>
    <n v="67"/>
    <n v="780"/>
    <n v="864"/>
    <n v="52260"/>
    <n v="57888"/>
    <n v="5628"/>
    <s v="profit"/>
  </r>
  <r>
    <x v="137"/>
    <s v="december"/>
    <s v="Harmony Health Solutions"/>
    <x v="2"/>
    <x v="6"/>
    <x v="18"/>
    <s v="Male"/>
    <n v="23"/>
    <n v="945"/>
    <n v="1268"/>
    <n v="21735"/>
    <n v="29164"/>
    <n v="7429"/>
    <s v="profit"/>
  </r>
  <r>
    <x v="251"/>
    <s v="august"/>
    <s v="Royal Crest Foods"/>
    <x v="1"/>
    <x v="7"/>
    <x v="16"/>
    <s v="Female"/>
    <n v="85"/>
    <n v="853"/>
    <n v="1453"/>
    <n v="72505"/>
    <n v="123505"/>
    <n v="51000"/>
    <s v="profit"/>
  </r>
  <r>
    <x v="252"/>
    <s v="august"/>
    <s v="Zenith Travels"/>
    <x v="1"/>
    <x v="7"/>
    <x v="6"/>
    <s v="Female"/>
    <n v="69"/>
    <n v="745"/>
    <n v="1075"/>
    <n v="51405"/>
    <n v="74175"/>
    <n v="22770"/>
    <s v="profit"/>
  </r>
  <r>
    <x v="140"/>
    <s v="december"/>
    <s v="Modern Vision Solutions"/>
    <x v="1"/>
    <x v="5"/>
    <x v="1"/>
    <s v="Male"/>
    <n v="78"/>
    <n v="522"/>
    <n v="1064"/>
    <n v="40716"/>
    <n v="82992"/>
    <n v="42276"/>
    <s v="profit"/>
  </r>
  <r>
    <x v="253"/>
    <s v="august"/>
    <s v="Quantum Media Group"/>
    <x v="1"/>
    <x v="5"/>
    <x v="7"/>
    <s v="Female"/>
    <n v="63"/>
    <n v="525"/>
    <n v="1182"/>
    <n v="33075"/>
    <n v="74466"/>
    <n v="41391"/>
    <s v="profit"/>
  </r>
  <r>
    <x v="254"/>
    <s v="august"/>
    <s v="Legacy Builders"/>
    <x v="1"/>
    <x v="5"/>
    <x v="5"/>
    <s v="Female"/>
    <n v="73"/>
    <n v="709"/>
    <n v="1344"/>
    <n v="51757"/>
    <n v="98112"/>
    <n v="46355"/>
    <s v="profit"/>
  </r>
  <r>
    <x v="255"/>
    <s v="august"/>
    <s v="Apex Spa &amp; Wellness"/>
    <x v="1"/>
    <x v="5"/>
    <x v="17"/>
    <s v="Female"/>
    <n v="74"/>
    <n v="914"/>
    <n v="1031"/>
    <n v="67636"/>
    <n v="76294"/>
    <n v="8658"/>
    <s v="profit"/>
  </r>
  <r>
    <x v="256"/>
    <s v="august"/>
    <s v="Radiant Travel Services"/>
    <x v="1"/>
    <x v="5"/>
    <x v="8"/>
    <s v="Female"/>
    <n v="84"/>
    <n v="558"/>
    <n v="1477"/>
    <n v="46872"/>
    <n v="124068"/>
    <n v="77196"/>
    <s v="profit"/>
  </r>
  <r>
    <x v="145"/>
    <s v="december"/>
    <s v="Radiant Educational Solutions"/>
    <x v="1"/>
    <x v="5"/>
    <x v="7"/>
    <s v="Female"/>
    <n v="60"/>
    <n v="642"/>
    <n v="1110"/>
    <n v="38520"/>
    <n v="66600"/>
    <n v="28080"/>
    <s v="profit"/>
  </r>
  <r>
    <x v="257"/>
    <s v="august"/>
    <s v="Modern Trends Consulting"/>
    <x v="1"/>
    <x v="5"/>
    <x v="18"/>
    <s v="Female"/>
    <n v="99"/>
    <n v="934"/>
    <n v="1318"/>
    <n v="92466"/>
    <n v="130482"/>
    <n v="38016"/>
    <s v="profit"/>
  </r>
  <r>
    <x v="258"/>
    <s v="august"/>
    <s v="Global Horizon Ventures"/>
    <x v="1"/>
    <x v="5"/>
    <x v="19"/>
    <s v="Female"/>
    <n v="52"/>
    <n v="576"/>
    <n v="1419"/>
    <n v="29952"/>
    <n v="73788"/>
    <n v="43836"/>
    <s v="profit"/>
  </r>
  <r>
    <x v="259"/>
    <s v="august"/>
    <s v="Elite Enterprises"/>
    <x v="1"/>
    <x v="5"/>
    <x v="0"/>
    <s v="Male"/>
    <n v="98"/>
    <n v="769"/>
    <n v="1277"/>
    <n v="75362"/>
    <n v="125146"/>
    <n v="49784"/>
    <s v="profit"/>
  </r>
  <r>
    <x v="149"/>
    <s v="december"/>
    <s v="Zenith Creative Solutions"/>
    <x v="1"/>
    <x v="5"/>
    <x v="7"/>
    <s v="Female"/>
    <n v="86"/>
    <n v="668"/>
    <n v="1278"/>
    <n v="57448"/>
    <n v="109908"/>
    <n v="52460"/>
    <s v="profit"/>
  </r>
  <r>
    <x v="260"/>
    <s v="september"/>
    <s v="Pinnacle Health Innovations"/>
    <x v="1"/>
    <x v="5"/>
    <x v="2"/>
    <s v="Male"/>
    <n v="73"/>
    <n v="627"/>
    <n v="769"/>
    <n v="45771"/>
    <n v="56137"/>
    <n v="10366"/>
    <s v="profit"/>
  </r>
  <r>
    <x v="151"/>
    <s v="december"/>
    <s v="Pure Vision Solutions"/>
    <x v="1"/>
    <x v="7"/>
    <x v="17"/>
    <s v="Female"/>
    <n v="57"/>
    <n v="995"/>
    <n v="912"/>
    <n v="56715"/>
    <n v="51984"/>
    <n v="-4731"/>
    <s v="loss"/>
  </r>
  <r>
    <x v="261"/>
    <s v="september"/>
    <s v="Horizon Fashion"/>
    <x v="1"/>
    <x v="7"/>
    <x v="3"/>
    <s v="Male"/>
    <n v="93"/>
    <n v="847"/>
    <n v="1258"/>
    <n v="78771"/>
    <n v="116994"/>
    <n v="38223"/>
    <s v="profit"/>
  </r>
  <r>
    <x v="262"/>
    <s v="september"/>
    <s v="Crystal Essence Beverages"/>
    <x v="1"/>
    <x v="7"/>
    <x v="3"/>
    <s v="Male"/>
    <n v="84"/>
    <n v="522"/>
    <n v="929"/>
    <n v="43848"/>
    <n v="78036"/>
    <n v="34188"/>
    <s v="profit"/>
  </r>
  <r>
    <x v="263"/>
    <s v="september"/>
    <s v="Dynamic Pathways"/>
    <x v="1"/>
    <x v="7"/>
    <x v="4"/>
    <s v="Female"/>
    <n v="85"/>
    <n v="564"/>
    <n v="1049"/>
    <n v="47940"/>
    <n v="89165"/>
    <n v="41225"/>
    <s v="profit"/>
  </r>
  <r>
    <x v="264"/>
    <s v="september"/>
    <s v="Radiance Apparel"/>
    <x v="1"/>
    <x v="7"/>
    <x v="3"/>
    <s v="Female"/>
    <n v="93"/>
    <n v="579"/>
    <n v="1402"/>
    <n v="53847"/>
    <n v="130386"/>
    <n v="76539"/>
    <s v="profit"/>
  </r>
  <r>
    <x v="156"/>
    <s v="december"/>
    <s v="Harmony Edge Solutions"/>
    <x v="1"/>
    <x v="7"/>
    <x v="1"/>
    <s v="Male"/>
    <n v="93"/>
    <n v="886"/>
    <n v="1199"/>
    <n v="82398"/>
    <n v="111507"/>
    <n v="29109"/>
    <s v="profit"/>
  </r>
  <r>
    <x v="265"/>
    <s v="september"/>
    <s v="Zenith Design Group"/>
    <x v="1"/>
    <x v="7"/>
    <x v="15"/>
    <s v="Male"/>
    <n v="56"/>
    <n v="724"/>
    <n v="1391"/>
    <n v="40544"/>
    <n v="77896"/>
    <n v="37352"/>
    <s v="profit"/>
  </r>
  <r>
    <x v="266"/>
    <s v="september"/>
    <s v="Modern Horizons Consulting"/>
    <x v="1"/>
    <x v="7"/>
    <x v="8"/>
    <s v="Male"/>
    <n v="60"/>
    <n v="783"/>
    <n v="881"/>
    <n v="46980"/>
    <n v="52860"/>
    <n v="5880"/>
    <s v="profit"/>
  </r>
  <r>
    <x v="267"/>
    <s v="september"/>
    <s v="Apex Realty Services"/>
    <x v="1"/>
    <x v="7"/>
    <x v="4"/>
    <s v="Male"/>
    <n v="81"/>
    <n v="948"/>
    <n v="904"/>
    <n v="76788"/>
    <n v="73224"/>
    <n v="-3564"/>
    <s v="loss"/>
  </r>
  <r>
    <x v="268"/>
    <s v="september"/>
    <s v="Zenith Educational Group"/>
    <x v="1"/>
    <x v="7"/>
    <x v="8"/>
    <s v="Male"/>
    <n v="80"/>
    <n v="771"/>
    <n v="1090"/>
    <n v="61680"/>
    <n v="87200"/>
    <n v="25520"/>
    <s v="profit"/>
  </r>
  <r>
    <x v="269"/>
    <s v="september"/>
    <s v="True Path Ventures"/>
    <x v="1"/>
    <x v="7"/>
    <x v="9"/>
    <s v="Female"/>
    <n v="88"/>
    <n v="943"/>
    <n v="1082"/>
    <n v="82984"/>
    <n v="95216"/>
    <n v="12232"/>
    <s v="profit"/>
  </r>
  <r>
    <x v="270"/>
    <s v="september"/>
    <s v="Radiance Media"/>
    <x v="1"/>
    <x v="7"/>
    <x v="4"/>
    <s v="Male"/>
    <n v="68"/>
    <n v="909"/>
    <n v="1329"/>
    <n v="61812"/>
    <n v="90372"/>
    <n v="28560"/>
    <s v="profit"/>
  </r>
  <r>
    <x v="163"/>
    <s v="january"/>
    <s v="Pinnacle Media Solutions"/>
    <x v="0"/>
    <x v="0"/>
    <x v="15"/>
    <s v="Female"/>
    <n v="11"/>
    <n v="676"/>
    <n v="1050"/>
    <n v="7436"/>
    <n v="11550"/>
    <n v="4114"/>
    <s v="profit"/>
  </r>
  <r>
    <x v="271"/>
    <s v="september"/>
    <s v="Legacy Health Systems"/>
    <x v="1"/>
    <x v="7"/>
    <x v="10"/>
    <s v="Male"/>
    <n v="65"/>
    <n v="568"/>
    <n v="1482"/>
    <n v="36920"/>
    <n v="96330"/>
    <n v="59410"/>
    <s v="profit"/>
  </r>
  <r>
    <x v="165"/>
    <s v="january"/>
    <s v="Radiant Tech Solutions"/>
    <x v="0"/>
    <x v="0"/>
    <x v="8"/>
    <s v="Female"/>
    <n v="13"/>
    <n v="521"/>
    <n v="1433"/>
    <n v="6773"/>
    <n v="18629"/>
    <n v="11856"/>
    <s v="profit"/>
  </r>
  <r>
    <x v="272"/>
    <s v="september"/>
    <s v="Urban Focus Products"/>
    <x v="1"/>
    <x v="7"/>
    <x v="11"/>
    <s v="Male"/>
    <n v="58"/>
    <n v="758"/>
    <n v="1241"/>
    <n v="43964"/>
    <n v="71978"/>
    <n v="28014"/>
    <s v="profit"/>
  </r>
  <r>
    <x v="167"/>
    <s v="january"/>
    <s v="Elite Creative Solutions"/>
    <x v="0"/>
    <x v="0"/>
    <x v="2"/>
    <s v="Female"/>
    <n v="16"/>
    <n v="887"/>
    <n v="1059"/>
    <n v="14192"/>
    <n v="16944"/>
    <n v="2752"/>
    <s v="profit"/>
  </r>
  <r>
    <x v="273"/>
    <s v="october"/>
    <s v="Visionary Innovations"/>
    <x v="1"/>
    <x v="5"/>
    <x v="5"/>
    <s v="Female"/>
    <n v="61"/>
    <n v="604"/>
    <n v="1251"/>
    <n v="36844"/>
    <n v="76311"/>
    <n v="39467"/>
    <s v="profit"/>
  </r>
  <r>
    <x v="274"/>
    <s v="october"/>
    <s v="Horizon Design Studio"/>
    <x v="1"/>
    <x v="5"/>
    <x v="17"/>
    <s v="Female"/>
    <n v="62"/>
    <n v="641"/>
    <n v="869"/>
    <n v="39742"/>
    <n v="53878"/>
    <n v="14136"/>
    <s v="profit"/>
  </r>
  <r>
    <x v="275"/>
    <s v="october"/>
    <s v="Legacy Tech Products"/>
    <x v="1"/>
    <x v="5"/>
    <x v="18"/>
    <s v="Female"/>
    <n v="53"/>
    <n v="913"/>
    <n v="1369"/>
    <n v="48389"/>
    <n v="72557"/>
    <n v="24168"/>
    <s v="profit"/>
  </r>
  <r>
    <x v="276"/>
    <s v="october"/>
    <s v="Pinnacle Wellness Services"/>
    <x v="1"/>
    <x v="5"/>
    <x v="19"/>
    <s v="Female"/>
    <n v="56"/>
    <n v="840"/>
    <n v="1353"/>
    <n v="47040"/>
    <n v="75768"/>
    <n v="28728"/>
    <s v="profit"/>
  </r>
  <r>
    <x v="277"/>
    <s v="october"/>
    <s v="Urban Insight Consulting"/>
    <x v="1"/>
    <x v="7"/>
    <x v="0"/>
    <s v="Female"/>
    <n v="85"/>
    <n v="541"/>
    <n v="1331"/>
    <n v="45985"/>
    <n v="113135"/>
    <n v="67150"/>
    <s v="profit"/>
  </r>
  <r>
    <x v="278"/>
    <s v="october"/>
    <s v="Crystal Horizons"/>
    <x v="1"/>
    <x v="7"/>
    <x v="1"/>
    <s v="Female"/>
    <n v="56"/>
    <n v="611"/>
    <n v="1240"/>
    <n v="34216"/>
    <n v="69440"/>
    <n v="35224"/>
    <s v="profit"/>
  </r>
  <r>
    <x v="174"/>
    <s v="january"/>
    <s v="Pinnacle Design Solutions"/>
    <x v="1"/>
    <x v="7"/>
    <x v="12"/>
    <s v="Male"/>
    <n v="90"/>
    <n v="554"/>
    <n v="940"/>
    <n v="49860"/>
    <n v="84600"/>
    <n v="34740"/>
    <s v="profit"/>
  </r>
  <r>
    <x v="279"/>
    <s v="october"/>
    <s v="Radiant Apparel"/>
    <x v="1"/>
    <x v="7"/>
    <x v="2"/>
    <s v="Female"/>
    <n v="91"/>
    <n v="867"/>
    <n v="957"/>
    <n v="78897"/>
    <n v="87087"/>
    <n v="8190"/>
    <s v="profit"/>
  </r>
  <r>
    <x v="280"/>
    <s v="october"/>
    <s v="True Value Products"/>
    <x v="1"/>
    <x v="7"/>
    <x v="3"/>
    <s v="Female"/>
    <n v="95"/>
    <n v="508"/>
    <n v="783"/>
    <n v="48260"/>
    <n v="74385"/>
    <n v="26125"/>
    <s v="profit"/>
  </r>
  <r>
    <x v="281"/>
    <s v="october"/>
    <s v="Zenith Health Products"/>
    <x v="1"/>
    <x v="7"/>
    <x v="4"/>
    <s v="Male"/>
    <n v="75"/>
    <n v="549"/>
    <n v="1108"/>
    <n v="41175"/>
    <n v="83100"/>
    <n v="41925"/>
    <s v="profit"/>
  </r>
  <r>
    <x v="282"/>
    <s v="october"/>
    <s v="Stellar Wellness Products"/>
    <x v="1"/>
    <x v="1"/>
    <x v="17"/>
    <s v="Male"/>
    <n v="95"/>
    <n v="845"/>
    <n v="1102"/>
    <n v="80275"/>
    <n v="104690"/>
    <n v="24415"/>
    <s v="profit"/>
  </r>
  <r>
    <x v="283"/>
    <s v="october"/>
    <s v="Radiant Consulting Group"/>
    <x v="1"/>
    <x v="1"/>
    <x v="8"/>
    <s v="Male"/>
    <n v="86"/>
    <n v="949"/>
    <n v="924"/>
    <n v="81614"/>
    <n v="79464"/>
    <n v="-2150"/>
    <s v="loss"/>
  </r>
  <r>
    <x v="180"/>
    <s v="january"/>
    <s v="Pure Harmony Solutions"/>
    <x v="0"/>
    <x v="2"/>
    <x v="19"/>
    <s v="Female"/>
    <n v="11"/>
    <n v="587"/>
    <n v="1386"/>
    <n v="6457"/>
    <n v="15246"/>
    <n v="8789"/>
    <s v="profit"/>
  </r>
  <r>
    <x v="284"/>
    <s v="october"/>
    <s v="Harmony Ventures Co."/>
    <x v="1"/>
    <x v="1"/>
    <x v="18"/>
    <s v="Female"/>
    <n v="73"/>
    <n v="801"/>
    <n v="1092"/>
    <n v="58473"/>
    <n v="79716"/>
    <n v="21243"/>
    <s v="profit"/>
  </r>
  <r>
    <x v="285"/>
    <s v="october"/>
    <s v="Urban Path Technologies"/>
    <x v="1"/>
    <x v="1"/>
    <x v="19"/>
    <s v="Male"/>
    <n v="70"/>
    <n v="699"/>
    <n v="1090"/>
    <n v="48930"/>
    <n v="76300"/>
    <n v="27370"/>
    <s v="profit"/>
  </r>
  <r>
    <x v="286"/>
    <s v="november"/>
    <s v="Modern Vision Ventures"/>
    <x v="1"/>
    <x v="9"/>
    <x v="3"/>
    <s v="Female"/>
    <n v="67"/>
    <n v="674"/>
    <n v="1413"/>
    <n v="45158"/>
    <n v="94671"/>
    <n v="49513"/>
    <s v="profit"/>
  </r>
  <r>
    <x v="287"/>
    <s v="november"/>
    <s v="Elite Travel Services"/>
    <x v="1"/>
    <x v="9"/>
    <x v="15"/>
    <s v="Female"/>
    <n v="55"/>
    <n v="599"/>
    <n v="1482"/>
    <n v="32945"/>
    <n v="81510"/>
    <n v="48565"/>
    <s v="profit"/>
  </r>
  <r>
    <x v="288"/>
    <s v="november"/>
    <s v="Crystal Innovations Group"/>
    <x v="1"/>
    <x v="9"/>
    <x v="8"/>
    <s v="Female"/>
    <n v="90"/>
    <n v="962"/>
    <n v="1495"/>
    <n v="86580"/>
    <n v="134550"/>
    <n v="47970"/>
    <s v="profit"/>
  </r>
  <r>
    <x v="186"/>
    <s v="january"/>
    <s v="Zenith Path Solutions"/>
    <x v="0"/>
    <x v="2"/>
    <x v="4"/>
    <s v="Female"/>
    <n v="18"/>
    <n v="910"/>
    <n v="1065"/>
    <n v="16380"/>
    <n v="19170"/>
    <n v="2790"/>
    <s v="profit"/>
  </r>
  <r>
    <x v="289"/>
    <s v="november"/>
    <s v="Pinnacle Fitness Studio"/>
    <x v="1"/>
    <x v="9"/>
    <x v="3"/>
    <s v="Female"/>
    <n v="71"/>
    <n v="739"/>
    <n v="1353"/>
    <n v="52469"/>
    <n v="96063"/>
    <n v="43594"/>
    <s v="profit"/>
  </r>
  <r>
    <x v="290"/>
    <s v="november"/>
    <s v="Stellar Travel Agency"/>
    <x v="1"/>
    <x v="9"/>
    <x v="13"/>
    <s v="Female"/>
    <n v="63"/>
    <n v="691"/>
    <n v="1058"/>
    <n v="43533"/>
    <n v="66654"/>
    <n v="23121"/>
    <s v="profit"/>
  </r>
  <r>
    <x v="291"/>
    <s v="december"/>
    <s v="Apex Travel Ventures"/>
    <x v="1"/>
    <x v="5"/>
    <x v="0"/>
    <s v="Male"/>
    <n v="99"/>
    <n v="705"/>
    <n v="1356"/>
    <n v="69795"/>
    <n v="134244"/>
    <n v="64449"/>
    <s v="profit"/>
  </r>
  <r>
    <x v="190"/>
    <s v="january"/>
    <s v="Legacy Media Solutions"/>
    <x v="0"/>
    <x v="2"/>
    <x v="5"/>
    <s v="Male"/>
    <n v="11"/>
    <n v="543"/>
    <n v="1153"/>
    <n v="5973"/>
    <n v="12683"/>
    <n v="6710"/>
    <s v="profit"/>
  </r>
  <r>
    <x v="292"/>
    <s v="december"/>
    <s v="True Path Consulting"/>
    <x v="1"/>
    <x v="5"/>
    <x v="2"/>
    <s v="Female"/>
    <n v="74"/>
    <n v="922"/>
    <n v="970"/>
    <n v="68228"/>
    <n v="71780"/>
    <n v="3552"/>
    <s v="profit"/>
  </r>
  <r>
    <x v="293"/>
    <s v="december"/>
    <s v="Legacy Finance Group"/>
    <x v="1"/>
    <x v="5"/>
    <x v="3"/>
    <s v="Female"/>
    <n v="72"/>
    <n v="560"/>
    <n v="918"/>
    <n v="40320"/>
    <n v="66096"/>
    <n v="25776"/>
    <s v="profit"/>
  </r>
  <r>
    <x v="294"/>
    <s v="december"/>
    <s v="Pinnacle Design Ventures"/>
    <x v="1"/>
    <x v="5"/>
    <x v="6"/>
    <s v="Female"/>
    <n v="59"/>
    <n v="834"/>
    <n v="951"/>
    <n v="49206"/>
    <n v="56109"/>
    <n v="6903"/>
    <s v="profit"/>
  </r>
  <r>
    <x v="295"/>
    <s v="december"/>
    <s v="Stellar Innovations Co."/>
    <x v="1"/>
    <x v="5"/>
    <x v="7"/>
    <s v="Female"/>
    <n v="83"/>
    <n v="840"/>
    <n v="828"/>
    <n v="69720"/>
    <n v="68724"/>
    <n v="-996"/>
    <s v="loss"/>
  </r>
  <r>
    <x v="296"/>
    <s v="december"/>
    <s v="Harmony Marketing Co."/>
    <x v="1"/>
    <x v="5"/>
    <x v="13"/>
    <s v="Female"/>
    <n v="64"/>
    <n v="965"/>
    <n v="1357"/>
    <n v="61760"/>
    <n v="86848"/>
    <n v="25088"/>
    <s v="profit"/>
  </r>
  <r>
    <x v="297"/>
    <s v="december"/>
    <s v="Urban Tech Innovations"/>
    <x v="1"/>
    <x v="5"/>
    <x v="13"/>
    <s v="Female"/>
    <n v="59"/>
    <n v="671"/>
    <n v="1410"/>
    <n v="39589"/>
    <n v="83190"/>
    <n v="43601"/>
    <s v="profit"/>
  </r>
  <r>
    <x v="298"/>
    <s v="december"/>
    <s v="Crystal Wellness Group"/>
    <x v="1"/>
    <x v="5"/>
    <x v="12"/>
    <s v="Female"/>
    <n v="85"/>
    <n v="761"/>
    <n v="926"/>
    <n v="64685"/>
    <n v="78710"/>
    <n v="14025"/>
    <s v="profit"/>
  </r>
  <r>
    <x v="299"/>
    <s v="december"/>
    <s v="Apex Media Co."/>
    <x v="1"/>
    <x v="5"/>
    <x v="5"/>
    <s v="Female"/>
    <n v="81"/>
    <n v="522"/>
    <n v="1238"/>
    <n v="42282"/>
    <n v="100278"/>
    <n v="57996"/>
    <s v="profit"/>
  </r>
  <r>
    <x v="300"/>
    <s v="december"/>
    <s v="Legacy Health Ventures"/>
    <x v="1"/>
    <x v="7"/>
    <x v="8"/>
    <s v="Female"/>
    <n v="72"/>
    <n v="943"/>
    <n v="1233"/>
    <n v="67896"/>
    <n v="88776"/>
    <n v="20880"/>
    <s v="profit"/>
  </r>
  <r>
    <x v="301"/>
    <s v="december"/>
    <s v="Pinnacle Spectrum Co."/>
    <x v="1"/>
    <x v="7"/>
    <x v="18"/>
    <s v="Female"/>
    <n v="67"/>
    <n v="801"/>
    <n v="1220"/>
    <n v="53667"/>
    <n v="81740"/>
    <n v="28073"/>
    <s v="profit"/>
  </r>
  <r>
    <x v="195"/>
    <s v="february"/>
    <s v="Radiant Solutions Co."/>
    <x v="2"/>
    <x v="6"/>
    <x v="5"/>
    <s v="Female"/>
    <n v="29"/>
    <n v="725"/>
    <n v="792"/>
    <n v="21025"/>
    <n v="22968"/>
    <n v="1943"/>
    <s v="profit"/>
  </r>
  <r>
    <x v="302"/>
    <s v="december"/>
    <s v="Stellar Travel Products"/>
    <x v="1"/>
    <x v="7"/>
    <x v="19"/>
    <s v="Female"/>
    <n v="57"/>
    <n v="647"/>
    <n v="905"/>
    <n v="36879"/>
    <n v="51585"/>
    <n v="14706"/>
    <s v="profit"/>
  </r>
  <r>
    <x v="303"/>
    <s v="december"/>
    <s v="Radiance Finance Services"/>
    <x v="1"/>
    <x v="7"/>
    <x v="0"/>
    <s v="Female"/>
    <n v="91"/>
    <n v="906"/>
    <n v="925"/>
    <n v="82446"/>
    <n v="84175"/>
    <n v="1729"/>
    <s v="profit"/>
  </r>
  <r>
    <x v="304"/>
    <s v="december"/>
    <s v="Modern Travel Agency"/>
    <x v="1"/>
    <x v="7"/>
    <x v="2"/>
    <s v="Male"/>
    <n v="82"/>
    <n v="955"/>
    <n v="1218"/>
    <n v="78310"/>
    <n v="99876"/>
    <n v="21566"/>
    <s v="profit"/>
  </r>
  <r>
    <x v="196"/>
    <s v="february"/>
    <s v="Modern Travel Solutions"/>
    <x v="1"/>
    <x v="5"/>
    <x v="13"/>
    <s v="Female"/>
    <n v="59"/>
    <n v="725"/>
    <n v="1113"/>
    <n v="42775"/>
    <n v="65667"/>
    <n v="22892"/>
    <s v="profit"/>
  </r>
  <r>
    <x v="305"/>
    <s v="december"/>
    <s v="Crystal Path Consulting"/>
    <x v="1"/>
    <x v="7"/>
    <x v="3"/>
    <s v="Male"/>
    <n v="72"/>
    <n v="829"/>
    <n v="1165"/>
    <n v="59688"/>
    <n v="83880"/>
    <n v="24192"/>
    <s v="profit"/>
  </r>
  <r>
    <x v="306"/>
    <s v="december"/>
    <s v="Zenith Educational Services"/>
    <x v="1"/>
    <x v="7"/>
    <x v="3"/>
    <s v="Male"/>
    <n v="62"/>
    <n v="680"/>
    <n v="912"/>
    <n v="42160"/>
    <n v="56544"/>
    <n v="14384"/>
    <s v="profit"/>
  </r>
  <r>
    <x v="307"/>
    <s v="december"/>
    <s v="Apex Innovations Co."/>
    <x v="1"/>
    <x v="7"/>
    <x v="4"/>
    <s v="Male"/>
    <n v="67"/>
    <n v="600"/>
    <n v="1328"/>
    <n v="40200"/>
    <n v="88976"/>
    <n v="48776"/>
    <s v="profit"/>
  </r>
  <r>
    <x v="308"/>
    <s v="january"/>
    <s v="Pure Harmony Health"/>
    <x v="1"/>
    <x v="7"/>
    <x v="5"/>
    <s v="Female"/>
    <n v="97"/>
    <n v="946"/>
    <n v="1297"/>
    <n v="91762"/>
    <n v="125809"/>
    <n v="34047"/>
    <s v="profit"/>
  </r>
  <r>
    <x v="309"/>
    <s v="january"/>
    <s v="Apex Travel Innovations"/>
    <x v="1"/>
    <x v="5"/>
    <x v="6"/>
    <s v="Male"/>
    <n v="62"/>
    <n v="800"/>
    <n v="882"/>
    <n v="49600"/>
    <n v="54684"/>
    <n v="5084"/>
    <s v="profit"/>
  </r>
  <r>
    <x v="310"/>
    <s v="january"/>
    <s v="Modern Health Products"/>
    <x v="1"/>
    <x v="5"/>
    <x v="7"/>
    <s v="Male"/>
    <n v="65"/>
    <n v="875"/>
    <n v="1361"/>
    <n v="56875"/>
    <n v="88465"/>
    <n v="31590"/>
    <s v="profit"/>
  </r>
  <r>
    <x v="197"/>
    <s v="february"/>
    <s v="Zenith Tech Solutions"/>
    <x v="1"/>
    <x v="5"/>
    <x v="18"/>
    <s v="Male"/>
    <n v="100"/>
    <n v="831"/>
    <n v="1466"/>
    <n v="83100"/>
    <n v="146600"/>
    <n v="63500"/>
    <s v="profit"/>
  </r>
  <r>
    <x v="311"/>
    <s v="january"/>
    <s v="Harmony Finance Group"/>
    <x v="1"/>
    <x v="5"/>
    <x v="7"/>
    <s v="Male"/>
    <n v="88"/>
    <n v="823"/>
    <n v="1026"/>
    <n v="72424"/>
    <n v="90288"/>
    <n v="17864"/>
    <s v="profit"/>
  </r>
  <r>
    <x v="312"/>
    <s v="january"/>
    <s v="Pure Vision Consulting"/>
    <x v="1"/>
    <x v="5"/>
    <x v="13"/>
    <s v="Female"/>
    <n v="54"/>
    <n v="664"/>
    <n v="761"/>
    <n v="35856"/>
    <n v="41094"/>
    <n v="5238"/>
    <s v="profit"/>
  </r>
  <r>
    <x v="313"/>
    <s v="january"/>
    <s v="Legacy Spectrum Co."/>
    <x v="1"/>
    <x v="5"/>
    <x v="13"/>
    <s v="Male"/>
    <n v="52"/>
    <n v="538"/>
    <n v="1257"/>
    <n v="27976"/>
    <n v="65364"/>
    <n v="37388"/>
    <s v="profit"/>
  </r>
  <r>
    <x v="314"/>
    <s v="january"/>
    <s v="Stellar Media Services"/>
    <x v="1"/>
    <x v="7"/>
    <x v="7"/>
    <s v="Male"/>
    <n v="81"/>
    <n v="556"/>
    <n v="1345"/>
    <n v="45036"/>
    <n v="108945"/>
    <n v="63909"/>
    <s v="profit"/>
  </r>
  <r>
    <x v="315"/>
    <s v="january"/>
    <s v="Radiant Innovations Group"/>
    <x v="1"/>
    <x v="7"/>
    <x v="5"/>
    <s v="Male"/>
    <n v="72"/>
    <n v="608"/>
    <n v="1209"/>
    <n v="43776"/>
    <n v="87048"/>
    <n v="43272"/>
    <s v="profit"/>
  </r>
  <r>
    <x v="316"/>
    <s v="january"/>
    <s v="Horizon Path Ventures"/>
    <x v="1"/>
    <x v="7"/>
    <x v="17"/>
    <s v="Female"/>
    <n v="61"/>
    <n v="994"/>
    <n v="886"/>
    <n v="60634"/>
    <n v="54046"/>
    <n v="-6588"/>
    <s v="loss"/>
  </r>
  <r>
    <x v="317"/>
    <s v="january"/>
    <s v="Zenith Tech Co."/>
    <x v="1"/>
    <x v="7"/>
    <x v="8"/>
    <s v="Female"/>
    <n v="57"/>
    <n v="566"/>
    <n v="830"/>
    <n v="32262"/>
    <n v="47310"/>
    <n v="15048"/>
    <s v="profit"/>
  </r>
  <r>
    <x v="318"/>
    <s v="january"/>
    <s v="Apex Finance Ventures"/>
    <x v="1"/>
    <x v="7"/>
    <x v="18"/>
    <s v="Female"/>
    <n v="50"/>
    <n v="714"/>
    <n v="1071"/>
    <n v="35700"/>
    <n v="53550"/>
    <n v="17850"/>
    <s v="profit"/>
  </r>
  <r>
    <x v="319"/>
    <s v="february"/>
    <s v="Zenith Wellness Co."/>
    <x v="1"/>
    <x v="5"/>
    <x v="7"/>
    <s v="Female"/>
    <n v="80"/>
    <n v="636"/>
    <n v="1259"/>
    <n v="50880"/>
    <n v="100720"/>
    <n v="49840"/>
    <s v="profit"/>
  </r>
  <r>
    <x v="320"/>
    <s v="february"/>
    <s v="Apex Design Services"/>
    <x v="1"/>
    <x v="5"/>
    <x v="7"/>
    <s v="Female"/>
    <n v="50"/>
    <n v="581"/>
    <n v="1380"/>
    <n v="29050"/>
    <n v="69000"/>
    <n v="39950"/>
    <s v="profit"/>
  </r>
  <r>
    <x v="6"/>
    <s v="april"/>
    <s v="Apex Solutions"/>
    <x v="1"/>
    <x v="1"/>
    <x v="6"/>
    <s v="Male"/>
    <n v="78"/>
    <n v="655"/>
    <n v="790"/>
    <n v="51090"/>
    <n v="61620"/>
    <n v="10530"/>
    <s v="profit"/>
  </r>
  <r>
    <x v="321"/>
    <s v="february"/>
    <s v="Pure Health Ventures"/>
    <x v="1"/>
    <x v="5"/>
    <x v="13"/>
    <s v="Female"/>
    <n v="78"/>
    <n v="964"/>
    <n v="1264"/>
    <n v="75192"/>
    <n v="98592"/>
    <n v="23400"/>
    <s v="profit"/>
  </r>
  <r>
    <x v="322"/>
    <s v="february"/>
    <s v="Legacy Spectrum Group"/>
    <x v="1"/>
    <x v="5"/>
    <x v="12"/>
    <s v="Male"/>
    <n v="97"/>
    <n v="982"/>
    <n v="1243"/>
    <n v="95254"/>
    <n v="120571"/>
    <n v="25317"/>
    <s v="profit"/>
  </r>
  <r>
    <x v="323"/>
    <s v="february"/>
    <s v="Pinnacle Media Ventures"/>
    <x v="1"/>
    <x v="5"/>
    <x v="7"/>
    <s v="Male"/>
    <n v="93"/>
    <n v="736"/>
    <n v="864"/>
    <n v="68448"/>
    <n v="80352"/>
    <n v="11904"/>
    <s v="profit"/>
  </r>
  <r>
    <x v="324"/>
    <s v="february"/>
    <s v="Stellar Innovations Group"/>
    <x v="1"/>
    <x v="5"/>
    <x v="5"/>
    <s v="Male"/>
    <n v="51"/>
    <n v="608"/>
    <n v="1179"/>
    <n v="31008"/>
    <n v="60129"/>
    <n v="29121"/>
    <s v="profit"/>
  </r>
  <r>
    <x v="325"/>
    <s v="february"/>
    <s v="Radiant Educational Co."/>
    <x v="1"/>
    <x v="5"/>
    <x v="17"/>
    <s v="Male"/>
    <n v="95"/>
    <n v="642"/>
    <n v="796"/>
    <n v="60990"/>
    <n v="75620"/>
    <n v="14630"/>
    <s v="profit"/>
  </r>
  <r>
    <x v="12"/>
    <s v="april"/>
    <s v="Metro Tech Solutions"/>
    <x v="2"/>
    <x v="3"/>
    <x v="8"/>
    <s v="Female"/>
    <n v="22"/>
    <n v="755"/>
    <n v="996"/>
    <n v="16610"/>
    <n v="21912"/>
    <n v="5302"/>
    <s v="profit"/>
  </r>
  <r>
    <x v="326"/>
    <s v="february"/>
    <s v="Harmony Edge Ventures"/>
    <x v="1"/>
    <x v="5"/>
    <x v="8"/>
    <s v="Female"/>
    <n v="90"/>
    <n v="713"/>
    <n v="1148"/>
    <n v="64170"/>
    <n v="103320"/>
    <n v="39150"/>
    <s v="profit"/>
  </r>
  <r>
    <x v="327"/>
    <s v="february"/>
    <s v="Apex Finance Group"/>
    <x v="1"/>
    <x v="5"/>
    <x v="19"/>
    <s v="Male"/>
    <n v="81"/>
    <n v="813"/>
    <n v="1428"/>
    <n v="65853"/>
    <n v="115668"/>
    <n v="49815"/>
    <s v="profit"/>
  </r>
  <r>
    <x v="328"/>
    <s v="february"/>
    <s v="Pure Harmony Media"/>
    <x v="1"/>
    <x v="5"/>
    <x v="0"/>
    <s v="Male"/>
    <n v="57"/>
    <n v="912"/>
    <n v="1246"/>
    <n v="51984"/>
    <n v="71022"/>
    <n v="19038"/>
    <s v="profit"/>
  </r>
  <r>
    <x v="329"/>
    <s v="february"/>
    <s v="Legacy Health Co."/>
    <x v="1"/>
    <x v="7"/>
    <x v="1"/>
    <s v="Male"/>
    <n v="61"/>
    <n v="565"/>
    <n v="1212"/>
    <n v="34465"/>
    <n v="73932"/>
    <n v="39467"/>
    <s v="profit"/>
  </r>
  <r>
    <x v="330"/>
    <s v="february"/>
    <s v="ACCOUNTS EXPERT"/>
    <x v="1"/>
    <x v="10"/>
    <x v="1"/>
    <s v="Male"/>
    <n v="62"/>
    <n v="805"/>
    <n v="1163"/>
    <n v="49910"/>
    <n v="72106"/>
    <n v="22196"/>
    <s v="profit"/>
  </r>
  <r>
    <x v="198"/>
    <s v="april"/>
    <s v="Golden Horizon Ventures"/>
    <x v="1"/>
    <x v="1"/>
    <x v="15"/>
    <s v="Male"/>
    <n v="74"/>
    <n v="743"/>
    <n v="1265"/>
    <n v="54982"/>
    <n v="93610"/>
    <n v="38628"/>
    <s v="profit"/>
  </r>
  <r>
    <x v="199"/>
    <s v="april"/>
    <s v="Eternal Traditions"/>
    <x v="1"/>
    <x v="1"/>
    <x v="16"/>
    <s v="Male"/>
    <n v="83"/>
    <n v="594"/>
    <n v="852"/>
    <n v="49302"/>
    <n v="70716"/>
    <n v="21414"/>
    <s v="profit"/>
  </r>
  <r>
    <x v="200"/>
    <s v="april"/>
    <s v="Harmony Foods"/>
    <x v="1"/>
    <x v="1"/>
    <x v="8"/>
    <s v="Male"/>
    <n v="70"/>
    <n v="878"/>
    <n v="844"/>
    <n v="61460"/>
    <n v="59080"/>
    <n v="-2380"/>
    <s v="loss"/>
  </r>
  <r>
    <x v="201"/>
    <s v="april"/>
    <s v="Sacred Roots Apparel"/>
    <x v="1"/>
    <x v="9"/>
    <x v="8"/>
    <s v="Female"/>
    <n v="57"/>
    <n v="724"/>
    <n v="839"/>
    <n v="41268"/>
    <n v="47823"/>
    <n v="6555"/>
    <s v="profit"/>
  </r>
  <r>
    <x v="22"/>
    <s v="april"/>
    <s v="Elite Marketing Solutions"/>
    <x v="2"/>
    <x v="4"/>
    <x v="13"/>
    <s v="Male"/>
    <n v="23"/>
    <n v="627"/>
    <n v="855"/>
    <n v="14421"/>
    <n v="19665"/>
    <n v="5244"/>
    <s v="profit"/>
  </r>
  <r>
    <x v="202"/>
    <s v="april"/>
    <s v="Quantum Finance Services"/>
    <x v="1"/>
    <x v="9"/>
    <x v="9"/>
    <s v="Female"/>
    <n v="50"/>
    <n v="537"/>
    <n v="1172"/>
    <n v="26850"/>
    <n v="58600"/>
    <n v="31750"/>
    <s v="profit"/>
  </r>
  <r>
    <x v="24"/>
    <s v="april"/>
    <s v="Crystal Clear Solutions"/>
    <x v="2"/>
    <x v="4"/>
    <x v="12"/>
    <s v="Female"/>
    <n v="23"/>
    <n v="938"/>
    <n v="1336"/>
    <n v="21574"/>
    <n v="30728"/>
    <n v="9154"/>
    <s v="profit"/>
  </r>
  <r>
    <x v="203"/>
    <s v="april"/>
    <s v="Brilliant Minds Academy"/>
    <x v="1"/>
    <x v="9"/>
    <x v="4"/>
    <s v="Female"/>
    <n v="67"/>
    <n v="989"/>
    <n v="956"/>
    <n v="66263"/>
    <n v="64052"/>
    <n v="-2211"/>
    <s v="loss"/>
  </r>
  <r>
    <x v="204"/>
    <s v="april"/>
    <s v="Visionary Holdings"/>
    <x v="1"/>
    <x v="9"/>
    <x v="10"/>
    <s v="Female"/>
    <n v="83"/>
    <n v="917"/>
    <n v="989"/>
    <n v="76111"/>
    <n v="82087"/>
    <n v="5976"/>
    <s v="profit"/>
  </r>
  <r>
    <x v="205"/>
    <s v="april"/>
    <s v="Stellar Design Studio"/>
    <x v="1"/>
    <x v="9"/>
    <x v="11"/>
    <s v="Female"/>
    <n v="74"/>
    <n v="645"/>
    <n v="879"/>
    <n v="47730"/>
    <n v="65046"/>
    <n v="17316"/>
    <s v="profit"/>
  </r>
  <r>
    <x v="206"/>
    <s v="april"/>
    <s v="Classic Cuisines"/>
    <x v="1"/>
    <x v="9"/>
    <x v="6"/>
    <s v="Male"/>
    <n v="76"/>
    <n v="943"/>
    <n v="1394"/>
    <n v="71668"/>
    <n v="105944"/>
    <n v="34276"/>
    <s v="profit"/>
  </r>
  <r>
    <x v="207"/>
    <s v="april"/>
    <s v="Bold Ventures"/>
    <x v="1"/>
    <x v="9"/>
    <x v="7"/>
    <s v="Male"/>
    <n v="85"/>
    <n v="505"/>
    <n v="1435"/>
    <n v="42925"/>
    <n v="121975"/>
    <n v="79050"/>
    <s v="profit"/>
  </r>
  <r>
    <x v="208"/>
    <s v="may"/>
    <s v="Radiance Spa"/>
    <x v="1"/>
    <x v="5"/>
    <x v="12"/>
    <s v="Male"/>
    <n v="82"/>
    <n v="928"/>
    <n v="1428"/>
    <n v="76096"/>
    <n v="117096"/>
    <n v="41000"/>
    <s v="profit"/>
  </r>
  <r>
    <x v="209"/>
    <s v="may"/>
    <s v="Verve Fitness Studio"/>
    <x v="1"/>
    <x v="5"/>
    <x v="7"/>
    <s v="Female"/>
    <n v="72"/>
    <n v="605"/>
    <n v="1081"/>
    <n v="43560"/>
    <n v="77832"/>
    <n v="34272"/>
    <s v="profit"/>
  </r>
  <r>
    <x v="210"/>
    <s v="may"/>
    <s v="Sparkle Cleaners"/>
    <x v="1"/>
    <x v="5"/>
    <x v="7"/>
    <s v="Female"/>
    <n v="82"/>
    <n v="993"/>
    <n v="823"/>
    <n v="81426"/>
    <n v="67486"/>
    <n v="-13940"/>
    <s v="loss"/>
  </r>
  <r>
    <x v="211"/>
    <s v="may"/>
    <s v="Global Reach Logistics"/>
    <x v="1"/>
    <x v="5"/>
    <x v="8"/>
    <s v="Female"/>
    <n v="53"/>
    <n v="803"/>
    <n v="1335"/>
    <n v="42559"/>
    <n v="70755"/>
    <n v="28196"/>
    <s v="profit"/>
  </r>
  <r>
    <x v="212"/>
    <s v="may"/>
    <s v="Noble Path Finance"/>
    <x v="1"/>
    <x v="5"/>
    <x v="4"/>
    <s v="Female"/>
    <n v="87"/>
    <n v="742"/>
    <n v="856"/>
    <n v="64554"/>
    <n v="74472"/>
    <n v="9918"/>
    <s v="profit"/>
  </r>
  <r>
    <x v="213"/>
    <s v="may"/>
    <s v="Dynamic Events Management"/>
    <x v="1"/>
    <x v="5"/>
    <x v="8"/>
    <s v="Female"/>
    <n v="70"/>
    <n v="605"/>
    <n v="1489"/>
    <n v="42350"/>
    <n v="104230"/>
    <n v="61880"/>
    <s v="profit"/>
  </r>
  <r>
    <x v="214"/>
    <s v="may"/>
    <s v="Crystal Waters Resort"/>
    <x v="1"/>
    <x v="5"/>
    <x v="9"/>
    <s v="Female"/>
    <n v="94"/>
    <n v="754"/>
    <n v="1354"/>
    <n v="70876"/>
    <n v="127276"/>
    <n v="56400"/>
    <s v="profit"/>
  </r>
  <r>
    <x v="215"/>
    <s v="may"/>
    <s v="Excellence Tutors"/>
    <x v="1"/>
    <x v="5"/>
    <x v="4"/>
    <s v="Female"/>
    <n v="80"/>
    <n v="622"/>
    <n v="1168"/>
    <n v="49760"/>
    <n v="93440"/>
    <n v="43680"/>
    <s v="profit"/>
  </r>
  <r>
    <x v="216"/>
    <s v="may"/>
    <s v="Horizon Builders"/>
    <x v="1"/>
    <x v="5"/>
    <x v="10"/>
    <s v="Male"/>
    <n v="88"/>
    <n v="625"/>
    <n v="1324"/>
    <n v="55000"/>
    <n v="116512"/>
    <n v="61512"/>
    <s v="profit"/>
  </r>
  <r>
    <x v="217"/>
    <s v="may"/>
    <s v="Classic Heritage Crafts"/>
    <x v="1"/>
    <x v="5"/>
    <x v="6"/>
    <s v="Male"/>
    <n v="67"/>
    <n v="760"/>
    <n v="1006"/>
    <n v="50920"/>
    <n v="67402"/>
    <n v="16482"/>
    <s v="profit"/>
  </r>
  <r>
    <x v="218"/>
    <s v="may"/>
    <s v="Prime Focus Media"/>
    <x v="1"/>
    <x v="7"/>
    <x v="7"/>
    <s v="Male"/>
    <n v="75"/>
    <n v="966"/>
    <n v="1355"/>
    <n v="72450"/>
    <n v="101625"/>
    <n v="29175"/>
    <s v="profit"/>
  </r>
  <r>
    <x v="219"/>
    <s v="june"/>
    <s v="Noble Nutraceuticals"/>
    <x v="1"/>
    <x v="7"/>
    <x v="7"/>
    <s v="Female"/>
    <n v="51"/>
    <n v="749"/>
    <n v="1060"/>
    <n v="38199"/>
    <n v="54060"/>
    <n v="15861"/>
    <s v="profit"/>
  </r>
  <r>
    <x v="220"/>
    <s v="june"/>
    <s v="Supreme Travel Agency"/>
    <x v="1"/>
    <x v="7"/>
    <x v="13"/>
    <s v="Male"/>
    <n v="94"/>
    <n v="721"/>
    <n v="996"/>
    <n v="67774"/>
    <n v="93624"/>
    <n v="25850"/>
    <s v="profit"/>
  </r>
  <r>
    <x v="221"/>
    <s v="june"/>
    <s v="Future Vision Tech"/>
    <x v="1"/>
    <x v="7"/>
    <x v="13"/>
    <s v="Male"/>
    <n v="71"/>
    <n v="869"/>
    <n v="753"/>
    <n v="61699"/>
    <n v="53463"/>
    <n v="-8236"/>
    <s v="loss"/>
  </r>
  <r>
    <x v="222"/>
    <s v="june"/>
    <s v="Urban Groove Apparel"/>
    <x v="1"/>
    <x v="7"/>
    <x v="12"/>
    <s v="Male"/>
    <n v="52"/>
    <n v="550"/>
    <n v="869"/>
    <n v="28600"/>
    <n v="45188"/>
    <n v="16588"/>
    <s v="profit"/>
  </r>
  <r>
    <x v="223"/>
    <s v="june"/>
    <s v="Echo Real Estate"/>
    <x v="1"/>
    <x v="7"/>
    <x v="7"/>
    <s v="Male"/>
    <n v="77"/>
    <n v="513"/>
    <n v="871"/>
    <n v="39501"/>
    <n v="67067"/>
    <n v="27566"/>
    <s v="profit"/>
  </r>
  <r>
    <x v="224"/>
    <s v="june"/>
    <s v="Pinnacle Health Products"/>
    <x v="1"/>
    <x v="7"/>
    <x v="5"/>
    <s v="Female"/>
    <n v="84"/>
    <n v="739"/>
    <n v="1161"/>
    <n v="62076"/>
    <n v="97524"/>
    <n v="35448"/>
    <s v="profit"/>
  </r>
  <r>
    <x v="225"/>
    <s v="june"/>
    <s v="Apex Auto Care"/>
    <x v="1"/>
    <x v="7"/>
    <x v="17"/>
    <s v="Female"/>
    <n v="71"/>
    <n v="923"/>
    <n v="996"/>
    <n v="65533"/>
    <n v="70716"/>
    <n v="5183"/>
    <s v="profit"/>
  </r>
  <r>
    <x v="226"/>
    <s v="june"/>
    <s v="Royal Glow Cosmetics"/>
    <x v="1"/>
    <x v="7"/>
    <x v="8"/>
    <s v="Female"/>
    <n v="59"/>
    <n v="862"/>
    <n v="1233"/>
    <n v="50858"/>
    <n v="72747"/>
    <n v="21889"/>
    <s v="profit"/>
  </r>
  <r>
    <x v="49"/>
    <s v="may"/>
    <s v="Absolute Solutions"/>
    <x v="1"/>
    <x v="5"/>
    <x v="6"/>
    <s v="Male"/>
    <n v="90"/>
    <n v="718"/>
    <n v="1353"/>
    <n v="64620"/>
    <n v="121770"/>
    <n v="57150"/>
    <s v="profit"/>
  </r>
  <r>
    <x v="227"/>
    <s v="june"/>
    <s v="Zenith Culinary Arts"/>
    <x v="1"/>
    <x v="7"/>
    <x v="18"/>
    <s v="Female"/>
    <n v="77"/>
    <n v="882"/>
    <n v="914"/>
    <n v="67914"/>
    <n v="70378"/>
    <n v="2464"/>
    <s v="profit"/>
  </r>
  <r>
    <x v="228"/>
    <s v="june"/>
    <s v="Visionary Tours"/>
    <x v="1"/>
    <x v="7"/>
    <x v="19"/>
    <s v="Female"/>
    <n v="90"/>
    <n v="862"/>
    <n v="902"/>
    <n v="77580"/>
    <n v="81180"/>
    <n v="3600"/>
    <s v="profit"/>
  </r>
  <r>
    <x v="229"/>
    <s v="june"/>
    <s v="Elite Essence Products"/>
    <x v="1"/>
    <x v="5"/>
    <x v="3"/>
    <s v="Male"/>
    <n v="73"/>
    <n v="541"/>
    <n v="1114"/>
    <n v="39493"/>
    <n v="81322"/>
    <n v="41829"/>
    <s v="profit"/>
  </r>
  <r>
    <x v="230"/>
    <s v="june"/>
    <s v="Dynamic Creations"/>
    <x v="1"/>
    <x v="5"/>
    <x v="15"/>
    <s v="Male"/>
    <n v="94"/>
    <n v="772"/>
    <n v="1390"/>
    <n v="72568"/>
    <n v="130660"/>
    <n v="58092"/>
    <s v="profit"/>
  </r>
  <r>
    <x v="231"/>
    <s v="june"/>
    <s v="Quantum Design Studio"/>
    <x v="1"/>
    <x v="5"/>
    <x v="14"/>
    <s v="Male"/>
    <n v="66"/>
    <n v="771"/>
    <n v="1419"/>
    <n v="50886"/>
    <n v="93654"/>
    <n v="42768"/>
    <s v="profit"/>
  </r>
  <r>
    <x v="232"/>
    <s v="june"/>
    <s v="Apex Construction"/>
    <x v="1"/>
    <x v="5"/>
    <x v="3"/>
    <s v="Female"/>
    <n v="65"/>
    <n v="762"/>
    <n v="1394"/>
    <n v="49530"/>
    <n v="90610"/>
    <n v="41080"/>
    <s v="profit"/>
  </r>
  <r>
    <x v="233"/>
    <s v="june"/>
    <s v="Legacy Innovations"/>
    <x v="1"/>
    <x v="7"/>
    <x v="13"/>
    <s v="Female"/>
    <n v="78"/>
    <n v="918"/>
    <n v="1469"/>
    <n v="71604"/>
    <n v="114582"/>
    <n v="42978"/>
    <s v="profit"/>
  </r>
  <r>
    <x v="234"/>
    <s v="june"/>
    <s v="Pure Harmony Foods"/>
    <x v="1"/>
    <x v="7"/>
    <x v="15"/>
    <s v="Male"/>
    <n v="76"/>
    <n v="624"/>
    <n v="899"/>
    <n v="47424"/>
    <n v="68324"/>
    <n v="20900"/>
    <s v="profit"/>
  </r>
  <r>
    <x v="58"/>
    <s v="may"/>
    <s v="Synergy Tech Solutions"/>
    <x v="1"/>
    <x v="5"/>
    <x v="11"/>
    <s v="Male"/>
    <n v="59"/>
    <n v="716"/>
    <n v="1257"/>
    <n v="42244"/>
    <n v="74163"/>
    <n v="31919"/>
    <s v="profit"/>
  </r>
  <r>
    <x v="235"/>
    <s v="june"/>
    <s v="Zenith Security Systems"/>
    <x v="1"/>
    <x v="7"/>
    <x v="16"/>
    <s v="Male"/>
    <n v="99"/>
    <n v="598"/>
    <n v="1404"/>
    <n v="59202"/>
    <n v="138996"/>
    <n v="79794"/>
    <s v="profit"/>
  </r>
  <r>
    <x v="236"/>
    <s v="june"/>
    <s v="Crystal Clear Beverages"/>
    <x v="1"/>
    <x v="7"/>
    <x v="6"/>
    <s v="Male"/>
    <n v="78"/>
    <n v="761"/>
    <n v="1174"/>
    <n v="59358"/>
    <n v="91572"/>
    <n v="32214"/>
    <s v="profit"/>
  </r>
  <r>
    <x v="237"/>
    <s v="june"/>
    <s v="Metro Line Tech"/>
    <x v="1"/>
    <x v="7"/>
    <x v="8"/>
    <s v="Male"/>
    <n v="96"/>
    <n v="512"/>
    <n v="970"/>
    <n v="49152"/>
    <n v="93120"/>
    <n v="43968"/>
    <s v="profit"/>
  </r>
  <r>
    <x v="238"/>
    <s v="june"/>
    <s v="Urban Pulse Consulting"/>
    <x v="1"/>
    <x v="7"/>
    <x v="12"/>
    <s v="Male"/>
    <n v="85"/>
    <n v="765"/>
    <n v="1024"/>
    <n v="65025"/>
    <n v="87040"/>
    <n v="22015"/>
    <s v="profit"/>
  </r>
  <r>
    <x v="239"/>
    <s v="july"/>
    <s v="Legacy Design Group"/>
    <x v="1"/>
    <x v="5"/>
    <x v="1"/>
    <s v="Female"/>
    <n v="59"/>
    <n v="663"/>
    <n v="872"/>
    <n v="39117"/>
    <n v="51448"/>
    <n v="12331"/>
    <s v="profit"/>
  </r>
  <r>
    <x v="240"/>
    <s v="july"/>
    <s v="Supreme Wellness"/>
    <x v="1"/>
    <x v="5"/>
    <x v="2"/>
    <s v="Female"/>
    <n v="75"/>
    <n v="871"/>
    <n v="1274"/>
    <n v="65325"/>
    <n v="95550"/>
    <n v="30225"/>
    <s v="profit"/>
  </r>
  <r>
    <x v="241"/>
    <s v="july"/>
    <s v="Harmony Tech Innovations"/>
    <x v="1"/>
    <x v="5"/>
    <x v="3"/>
    <s v="Female"/>
    <n v="87"/>
    <n v="869"/>
    <n v="1247"/>
    <n v="75603"/>
    <n v="108489"/>
    <n v="32886"/>
    <s v="profit"/>
  </r>
  <r>
    <x v="242"/>
    <s v="july"/>
    <s v="Stellar Education Services"/>
    <x v="1"/>
    <x v="5"/>
    <x v="3"/>
    <s v="Female"/>
    <n v="100"/>
    <n v="605"/>
    <n v="1249"/>
    <n v="60500"/>
    <n v="124900"/>
    <n v="64400"/>
    <s v="profit"/>
  </r>
  <r>
    <x v="243"/>
    <s v="july"/>
    <s v="Visionary Health Products"/>
    <x v="1"/>
    <x v="5"/>
    <x v="4"/>
    <s v="Female"/>
    <n v="51"/>
    <n v="798"/>
    <n v="910"/>
    <n v="40698"/>
    <n v="46410"/>
    <n v="5712"/>
    <s v="profit"/>
  </r>
  <r>
    <x v="244"/>
    <s v="july"/>
    <s v="Crystal Innovations"/>
    <x v="1"/>
    <x v="5"/>
    <x v="5"/>
    <s v="Female"/>
    <n v="52"/>
    <n v="984"/>
    <n v="992"/>
    <n v="51168"/>
    <n v="51584"/>
    <n v="416"/>
    <s v="profit"/>
  </r>
  <r>
    <x v="245"/>
    <s v="july"/>
    <s v="Future Trends Retail"/>
    <x v="1"/>
    <x v="5"/>
    <x v="3"/>
    <s v="Female"/>
    <n v="97"/>
    <n v="565"/>
    <n v="995"/>
    <n v="54805"/>
    <n v="96515"/>
    <n v="41710"/>
    <s v="profit"/>
  </r>
  <r>
    <x v="246"/>
    <s v="july"/>
    <s v="Radiant Horizon Ventures"/>
    <x v="1"/>
    <x v="5"/>
    <x v="15"/>
    <s v="Female"/>
    <n v="58"/>
    <n v="799"/>
    <n v="1273"/>
    <n v="46342"/>
    <n v="73834"/>
    <n v="27492"/>
    <s v="profit"/>
  </r>
  <r>
    <x v="247"/>
    <s v="july"/>
    <s v="Urban Edge Realty"/>
    <x v="1"/>
    <x v="5"/>
    <x v="14"/>
    <s v="Male"/>
    <n v="69"/>
    <n v="524"/>
    <n v="893"/>
    <n v="36156"/>
    <n v="61617"/>
    <n v="25461"/>
    <s v="profit"/>
  </r>
  <r>
    <x v="248"/>
    <s v="july"/>
    <s v="Prime Focus Innovations"/>
    <x v="1"/>
    <x v="5"/>
    <x v="8"/>
    <s v="Male"/>
    <n v="81"/>
    <n v="903"/>
    <n v="1306"/>
    <n v="73143"/>
    <n v="105786"/>
    <n v="32643"/>
    <s v="profit"/>
  </r>
  <r>
    <x v="249"/>
    <s v="august"/>
    <s v="Elite Spectrum Consulting"/>
    <x v="1"/>
    <x v="5"/>
    <x v="3"/>
    <s v="Male"/>
    <n v="89"/>
    <n v="584"/>
    <n v="777"/>
    <n v="51976"/>
    <n v="69153"/>
    <n v="17177"/>
    <s v="profit"/>
  </r>
  <r>
    <x v="250"/>
    <s v="august"/>
    <s v="Dynamic Design Studio"/>
    <x v="1"/>
    <x v="5"/>
    <x v="13"/>
    <s v="Male"/>
    <n v="75"/>
    <n v="906"/>
    <n v="954"/>
    <n v="67950"/>
    <n v="71550"/>
    <n v="3600"/>
    <s v="profit"/>
  </r>
  <r>
    <x v="63"/>
    <s v="june"/>
    <s v="Radiant Enterprise Solutions"/>
    <x v="0"/>
    <x v="0"/>
    <x v="3"/>
    <s v="Female"/>
    <n v="17"/>
    <n v="901"/>
    <n v="1283"/>
    <n v="15317"/>
    <n v="21811"/>
    <n v="6494"/>
    <s v="profit"/>
  </r>
  <r>
    <x v="251"/>
    <s v="august"/>
    <s v="Royal Crest Foods"/>
    <x v="1"/>
    <x v="7"/>
    <x v="16"/>
    <s v="Female"/>
    <n v="98"/>
    <n v="925"/>
    <n v="904"/>
    <n v="90650"/>
    <n v="88592"/>
    <n v="-2058"/>
    <s v="loss"/>
  </r>
  <r>
    <x v="252"/>
    <s v="august"/>
    <s v="Zenith Travels"/>
    <x v="1"/>
    <x v="7"/>
    <x v="6"/>
    <s v="Female"/>
    <n v="73"/>
    <n v="508"/>
    <n v="1324"/>
    <n v="37084"/>
    <n v="96652"/>
    <n v="59568"/>
    <s v="profit"/>
  </r>
  <r>
    <x v="253"/>
    <s v="august"/>
    <s v="Quantum Media Group"/>
    <x v="1"/>
    <x v="5"/>
    <x v="7"/>
    <s v="Female"/>
    <n v="87"/>
    <n v="876"/>
    <n v="880"/>
    <n v="76212"/>
    <n v="76560"/>
    <n v="348"/>
    <s v="profit"/>
  </r>
  <r>
    <x v="254"/>
    <s v="august"/>
    <s v="Legacy Builders"/>
    <x v="1"/>
    <x v="5"/>
    <x v="5"/>
    <s v="Female"/>
    <n v="69"/>
    <n v="993"/>
    <n v="862"/>
    <n v="68517"/>
    <n v="59478"/>
    <n v="-9039"/>
    <s v="loss"/>
  </r>
  <r>
    <x v="255"/>
    <s v="august"/>
    <s v="Apex Spa &amp; Wellness"/>
    <x v="1"/>
    <x v="5"/>
    <x v="17"/>
    <s v="Female"/>
    <n v="62"/>
    <n v="781"/>
    <n v="946"/>
    <n v="48422"/>
    <n v="58652"/>
    <n v="10230"/>
    <s v="profit"/>
  </r>
  <r>
    <x v="64"/>
    <s v="june"/>
    <s v="Infinite Solutions"/>
    <x v="1"/>
    <x v="5"/>
    <x v="8"/>
    <s v="Female"/>
    <n v="83"/>
    <n v="889"/>
    <n v="1075"/>
    <n v="73787"/>
    <n v="89225"/>
    <n v="15438"/>
    <s v="profit"/>
  </r>
  <r>
    <x v="256"/>
    <s v="august"/>
    <s v="Radiant Travel Services"/>
    <x v="1"/>
    <x v="5"/>
    <x v="8"/>
    <s v="Female"/>
    <n v="63"/>
    <n v="718"/>
    <n v="1047"/>
    <n v="45234"/>
    <n v="65961"/>
    <n v="20727"/>
    <s v="profit"/>
  </r>
  <r>
    <x v="257"/>
    <s v="august"/>
    <s v="Modern Trends Consulting"/>
    <x v="1"/>
    <x v="5"/>
    <x v="18"/>
    <s v="Female"/>
    <n v="72"/>
    <n v="673"/>
    <n v="1027"/>
    <n v="48456"/>
    <n v="73944"/>
    <n v="25488"/>
    <s v="profit"/>
  </r>
  <r>
    <x v="258"/>
    <s v="august"/>
    <s v="Global Horizon Ventures"/>
    <x v="1"/>
    <x v="5"/>
    <x v="19"/>
    <s v="Female"/>
    <n v="76"/>
    <n v="567"/>
    <n v="897"/>
    <n v="43092"/>
    <n v="68172"/>
    <n v="25080"/>
    <s v="profit"/>
  </r>
  <r>
    <x v="259"/>
    <s v="august"/>
    <s v="Elite Enterprises"/>
    <x v="1"/>
    <x v="5"/>
    <x v="0"/>
    <s v="Male"/>
    <n v="70"/>
    <n v="751"/>
    <n v="1026"/>
    <n v="52570"/>
    <n v="71820"/>
    <n v="19250"/>
    <s v="profit"/>
  </r>
  <r>
    <x v="260"/>
    <s v="september"/>
    <s v="Pinnacle Health Innovations"/>
    <x v="1"/>
    <x v="5"/>
    <x v="2"/>
    <s v="Male"/>
    <n v="56"/>
    <n v="559"/>
    <n v="1151"/>
    <n v="31304"/>
    <n v="64456"/>
    <n v="33152"/>
    <s v="profit"/>
  </r>
  <r>
    <x v="261"/>
    <s v="september"/>
    <s v="Horizon Fashion"/>
    <x v="1"/>
    <x v="7"/>
    <x v="3"/>
    <s v="Male"/>
    <n v="72"/>
    <n v="719"/>
    <n v="911"/>
    <n v="51768"/>
    <n v="65592"/>
    <n v="13824"/>
    <s v="profit"/>
  </r>
  <r>
    <x v="262"/>
    <s v="september"/>
    <s v="Crystal Essence Beverages"/>
    <x v="1"/>
    <x v="7"/>
    <x v="3"/>
    <s v="Male"/>
    <n v="89"/>
    <n v="703"/>
    <n v="795"/>
    <n v="62567"/>
    <n v="70755"/>
    <n v="8188"/>
    <s v="profit"/>
  </r>
  <r>
    <x v="263"/>
    <s v="september"/>
    <s v="Dynamic Pathways"/>
    <x v="1"/>
    <x v="7"/>
    <x v="4"/>
    <s v="Female"/>
    <n v="77"/>
    <n v="780"/>
    <n v="967"/>
    <n v="60060"/>
    <n v="74459"/>
    <n v="14399"/>
    <s v="profit"/>
  </r>
  <r>
    <x v="264"/>
    <s v="september"/>
    <s v="Radiance Apparel"/>
    <x v="1"/>
    <x v="7"/>
    <x v="3"/>
    <s v="Female"/>
    <n v="54"/>
    <n v="762"/>
    <n v="1186"/>
    <n v="41148"/>
    <n v="64044"/>
    <n v="22896"/>
    <s v="profit"/>
  </r>
  <r>
    <x v="265"/>
    <s v="september"/>
    <s v="Zenith Design Group"/>
    <x v="1"/>
    <x v="7"/>
    <x v="15"/>
    <s v="Male"/>
    <n v="91"/>
    <n v="647"/>
    <n v="1073"/>
    <n v="58877"/>
    <n v="97643"/>
    <n v="38766"/>
    <s v="profit"/>
  </r>
  <r>
    <x v="65"/>
    <s v="july"/>
    <s v="Synergy Solutions Group"/>
    <x v="0"/>
    <x v="2"/>
    <x v="8"/>
    <s v="Female"/>
    <n v="14"/>
    <n v="684"/>
    <n v="1483"/>
    <n v="9576"/>
    <n v="20762"/>
    <n v="11186"/>
    <s v="profit"/>
  </r>
  <r>
    <x v="266"/>
    <s v="september"/>
    <s v="Modern Horizons Consulting"/>
    <x v="1"/>
    <x v="7"/>
    <x v="8"/>
    <s v="Male"/>
    <n v="63"/>
    <n v="720"/>
    <n v="1458"/>
    <n v="45360"/>
    <n v="91854"/>
    <n v="46494"/>
    <s v="profit"/>
  </r>
  <r>
    <x v="267"/>
    <s v="september"/>
    <s v="Apex Realty Services"/>
    <x v="1"/>
    <x v="7"/>
    <x v="4"/>
    <s v="Male"/>
    <n v="66"/>
    <n v="958"/>
    <n v="1017"/>
    <n v="63228"/>
    <n v="67122"/>
    <n v="3894"/>
    <s v="profit"/>
  </r>
  <r>
    <x v="268"/>
    <s v="september"/>
    <s v="Zenith Educational Group"/>
    <x v="1"/>
    <x v="7"/>
    <x v="8"/>
    <s v="Male"/>
    <n v="54"/>
    <n v="663"/>
    <n v="943"/>
    <n v="35802"/>
    <n v="50922"/>
    <n v="15120"/>
    <s v="profit"/>
  </r>
  <r>
    <x v="269"/>
    <s v="september"/>
    <s v="True Path Ventures"/>
    <x v="1"/>
    <x v="7"/>
    <x v="9"/>
    <s v="Female"/>
    <n v="73"/>
    <n v="540"/>
    <n v="1397"/>
    <n v="39420"/>
    <n v="101981"/>
    <n v="62561"/>
    <s v="profit"/>
  </r>
  <r>
    <x v="270"/>
    <s v="september"/>
    <s v="Radiance Media"/>
    <x v="1"/>
    <x v="7"/>
    <x v="4"/>
    <s v="Male"/>
    <n v="76"/>
    <n v="744"/>
    <n v="1145"/>
    <n v="56544"/>
    <n v="87020"/>
    <n v="30476"/>
    <s v="profit"/>
  </r>
  <r>
    <x v="271"/>
    <s v="september"/>
    <s v="Legacy Health Systems"/>
    <x v="1"/>
    <x v="7"/>
    <x v="10"/>
    <s v="Male"/>
    <n v="94"/>
    <n v="874"/>
    <n v="895"/>
    <n v="82156"/>
    <n v="84130"/>
    <n v="1974"/>
    <s v="profit"/>
  </r>
  <r>
    <x v="272"/>
    <s v="september"/>
    <s v="Urban Focus Products"/>
    <x v="1"/>
    <x v="7"/>
    <x v="11"/>
    <s v="Male"/>
    <n v="97"/>
    <n v="752"/>
    <n v="1286"/>
    <n v="72944"/>
    <n v="124742"/>
    <n v="51798"/>
    <s v="profit"/>
  </r>
  <r>
    <x v="273"/>
    <s v="october"/>
    <s v="Visionary Innovations"/>
    <x v="1"/>
    <x v="5"/>
    <x v="5"/>
    <s v="Female"/>
    <n v="77"/>
    <n v="951"/>
    <n v="1432"/>
    <n v="73227"/>
    <n v="110264"/>
    <n v="37037"/>
    <s v="profit"/>
  </r>
  <r>
    <x v="274"/>
    <s v="october"/>
    <s v="Horizon Design Studio"/>
    <x v="1"/>
    <x v="5"/>
    <x v="17"/>
    <s v="Female"/>
    <n v="52"/>
    <n v="633"/>
    <n v="1226"/>
    <n v="32916"/>
    <n v="63752"/>
    <n v="30836"/>
    <s v="profit"/>
  </r>
  <r>
    <x v="275"/>
    <s v="october"/>
    <s v="Legacy Tech Products"/>
    <x v="1"/>
    <x v="5"/>
    <x v="18"/>
    <s v="Female"/>
    <n v="80"/>
    <n v="982"/>
    <n v="1224"/>
    <n v="78560"/>
    <n v="97920"/>
    <n v="19360"/>
    <s v="profit"/>
  </r>
  <r>
    <x v="276"/>
    <s v="october"/>
    <s v="Pinnacle Wellness Services"/>
    <x v="1"/>
    <x v="5"/>
    <x v="19"/>
    <s v="Female"/>
    <n v="81"/>
    <n v="917"/>
    <n v="1344"/>
    <n v="74277"/>
    <n v="108864"/>
    <n v="34587"/>
    <s v="profit"/>
  </r>
  <r>
    <x v="277"/>
    <s v="october"/>
    <s v="Urban Insight Consulting"/>
    <x v="1"/>
    <x v="7"/>
    <x v="0"/>
    <s v="Female"/>
    <n v="63"/>
    <n v="747"/>
    <n v="778"/>
    <n v="47061"/>
    <n v="49014"/>
    <n v="1953"/>
    <s v="profit"/>
  </r>
  <r>
    <x v="66"/>
    <s v="july"/>
    <s v="Horizon Tech Solutions"/>
    <x v="2"/>
    <x v="6"/>
    <x v="7"/>
    <s v="Female"/>
    <n v="23"/>
    <n v="559"/>
    <n v="1456"/>
    <n v="12857"/>
    <n v="33488"/>
    <n v="20631"/>
    <s v="profit"/>
  </r>
  <r>
    <x v="278"/>
    <s v="october"/>
    <s v="Crystal Horizons"/>
    <x v="1"/>
    <x v="7"/>
    <x v="1"/>
    <s v="Female"/>
    <n v="88"/>
    <n v="978"/>
    <n v="1231"/>
    <n v="86064"/>
    <n v="108328"/>
    <n v="22264"/>
    <s v="profit"/>
  </r>
  <r>
    <x v="279"/>
    <s v="october"/>
    <s v="Radiant Apparel"/>
    <x v="1"/>
    <x v="7"/>
    <x v="2"/>
    <s v="Female"/>
    <n v="82"/>
    <n v="652"/>
    <n v="994"/>
    <n v="53464"/>
    <n v="81508"/>
    <n v="28044"/>
    <s v="profit"/>
  </r>
  <r>
    <x v="280"/>
    <s v="october"/>
    <s v="True Value Products"/>
    <x v="1"/>
    <x v="7"/>
    <x v="3"/>
    <s v="Female"/>
    <n v="80"/>
    <n v="841"/>
    <n v="1490"/>
    <n v="67280"/>
    <n v="119200"/>
    <n v="51920"/>
    <s v="profit"/>
  </r>
  <r>
    <x v="281"/>
    <s v="october"/>
    <s v="Zenith Health Products"/>
    <x v="1"/>
    <x v="7"/>
    <x v="4"/>
    <s v="Male"/>
    <n v="70"/>
    <n v="798"/>
    <n v="1318"/>
    <n v="55860"/>
    <n v="92260"/>
    <n v="36400"/>
    <s v="profit"/>
  </r>
  <r>
    <x v="282"/>
    <s v="october"/>
    <s v="Stellar Wellness Products"/>
    <x v="1"/>
    <x v="1"/>
    <x v="17"/>
    <s v="Male"/>
    <n v="69"/>
    <n v="921"/>
    <n v="1177"/>
    <n v="63549"/>
    <n v="81213"/>
    <n v="17664"/>
    <s v="profit"/>
  </r>
  <r>
    <x v="283"/>
    <s v="october"/>
    <s v="Radiant Consulting Group"/>
    <x v="1"/>
    <x v="1"/>
    <x v="8"/>
    <s v="Male"/>
    <n v="60"/>
    <n v="729"/>
    <n v="759"/>
    <n v="43740"/>
    <n v="45540"/>
    <n v="1800"/>
    <s v="profit"/>
  </r>
  <r>
    <x v="284"/>
    <s v="october"/>
    <s v="Harmony Ventures Co."/>
    <x v="1"/>
    <x v="1"/>
    <x v="18"/>
    <s v="Female"/>
    <n v="99"/>
    <n v="880"/>
    <n v="1318"/>
    <n v="87120"/>
    <n v="130482"/>
    <n v="43362"/>
    <s v="profit"/>
  </r>
  <r>
    <x v="285"/>
    <s v="october"/>
    <s v="Urban Path Technologies"/>
    <x v="1"/>
    <x v="1"/>
    <x v="19"/>
    <s v="Male"/>
    <n v="88"/>
    <n v="552"/>
    <n v="1422"/>
    <n v="48576"/>
    <n v="125136"/>
    <n v="76560"/>
    <s v="profit"/>
  </r>
  <r>
    <x v="286"/>
    <s v="november"/>
    <s v="Modern Vision Ventures"/>
    <x v="1"/>
    <x v="9"/>
    <x v="3"/>
    <s v="Female"/>
    <n v="60"/>
    <n v="827"/>
    <n v="762"/>
    <n v="49620"/>
    <n v="45720"/>
    <n v="-3900"/>
    <s v="loss"/>
  </r>
  <r>
    <x v="287"/>
    <s v="november"/>
    <s v="Elite Travel Services"/>
    <x v="1"/>
    <x v="9"/>
    <x v="15"/>
    <s v="Female"/>
    <n v="64"/>
    <n v="529"/>
    <n v="1195"/>
    <n v="33856"/>
    <n v="76480"/>
    <n v="42624"/>
    <s v="profit"/>
  </r>
  <r>
    <x v="288"/>
    <s v="november"/>
    <s v="Crystal Innovations Group"/>
    <x v="1"/>
    <x v="9"/>
    <x v="8"/>
    <s v="Female"/>
    <n v="51"/>
    <n v="859"/>
    <n v="1243"/>
    <n v="43809"/>
    <n v="63393"/>
    <n v="19584"/>
    <s v="profit"/>
  </r>
  <r>
    <x v="289"/>
    <s v="november"/>
    <s v="Pinnacle Fitness Studio"/>
    <x v="1"/>
    <x v="9"/>
    <x v="3"/>
    <s v="Female"/>
    <n v="68"/>
    <n v="756"/>
    <n v="887"/>
    <n v="51408"/>
    <n v="60316"/>
    <n v="8908"/>
    <s v="profit"/>
  </r>
  <r>
    <x v="290"/>
    <s v="november"/>
    <s v="Stellar Travel Agency"/>
    <x v="1"/>
    <x v="9"/>
    <x v="13"/>
    <s v="Female"/>
    <n v="87"/>
    <n v="882"/>
    <n v="1211"/>
    <n v="76734"/>
    <n v="105357"/>
    <n v="28623"/>
    <s v="profit"/>
  </r>
  <r>
    <x v="291"/>
    <s v="december"/>
    <s v="Apex Travel Ventures"/>
    <x v="1"/>
    <x v="5"/>
    <x v="0"/>
    <s v="Male"/>
    <n v="51"/>
    <n v="685"/>
    <n v="1224"/>
    <n v="34935"/>
    <n v="62424"/>
    <n v="27489"/>
    <s v="profit"/>
  </r>
  <r>
    <x v="292"/>
    <s v="december"/>
    <s v="True Path Consulting"/>
    <x v="1"/>
    <x v="5"/>
    <x v="2"/>
    <s v="Female"/>
    <n v="72"/>
    <n v="765"/>
    <n v="1368"/>
    <n v="55080"/>
    <n v="98496"/>
    <n v="43416"/>
    <s v="profit"/>
  </r>
  <r>
    <x v="293"/>
    <s v="december"/>
    <s v="Legacy Finance Group"/>
    <x v="1"/>
    <x v="5"/>
    <x v="3"/>
    <s v="Female"/>
    <n v="54"/>
    <n v="702"/>
    <n v="930"/>
    <n v="37908"/>
    <n v="50220"/>
    <n v="12312"/>
    <s v="profit"/>
  </r>
  <r>
    <x v="294"/>
    <s v="december"/>
    <s v="Pinnacle Design Ventures"/>
    <x v="1"/>
    <x v="5"/>
    <x v="6"/>
    <s v="Female"/>
    <n v="97"/>
    <n v="917"/>
    <n v="1203"/>
    <n v="88949"/>
    <n v="116691"/>
    <n v="27742"/>
    <s v="profit"/>
  </r>
  <r>
    <x v="295"/>
    <s v="december"/>
    <s v="Stellar Innovations Co."/>
    <x v="1"/>
    <x v="5"/>
    <x v="7"/>
    <s v="Female"/>
    <n v="84"/>
    <n v="516"/>
    <n v="820"/>
    <n v="43344"/>
    <n v="68880"/>
    <n v="25536"/>
    <s v="profit"/>
  </r>
  <r>
    <x v="67"/>
    <s v="august"/>
    <s v="Apex Wellness Solutions"/>
    <x v="1"/>
    <x v="7"/>
    <x v="15"/>
    <s v="Male"/>
    <n v="66"/>
    <n v="715"/>
    <n v="1460"/>
    <n v="47190"/>
    <n v="96360"/>
    <n v="49170"/>
    <s v="profit"/>
  </r>
  <r>
    <x v="296"/>
    <s v="december"/>
    <s v="Harmony Marketing Co."/>
    <x v="1"/>
    <x v="5"/>
    <x v="13"/>
    <s v="Female"/>
    <n v="92"/>
    <n v="789"/>
    <n v="1229"/>
    <n v="72588"/>
    <n v="113068"/>
    <n v="40480"/>
    <s v="profit"/>
  </r>
  <r>
    <x v="297"/>
    <s v="december"/>
    <s v="Urban Tech Innovations"/>
    <x v="1"/>
    <x v="5"/>
    <x v="13"/>
    <s v="Female"/>
    <n v="53"/>
    <n v="962"/>
    <n v="1442"/>
    <n v="50986"/>
    <n v="76426"/>
    <n v="25440"/>
    <s v="profit"/>
  </r>
  <r>
    <x v="298"/>
    <s v="december"/>
    <s v="Crystal Wellness Group"/>
    <x v="1"/>
    <x v="5"/>
    <x v="12"/>
    <s v="Female"/>
    <n v="81"/>
    <n v="565"/>
    <n v="1224"/>
    <n v="45765"/>
    <n v="99144"/>
    <n v="53379"/>
    <s v="profit"/>
  </r>
  <r>
    <x v="299"/>
    <s v="december"/>
    <s v="Apex Media Co."/>
    <x v="1"/>
    <x v="5"/>
    <x v="5"/>
    <s v="Female"/>
    <n v="96"/>
    <n v="715"/>
    <n v="1171"/>
    <n v="68640"/>
    <n v="112416"/>
    <n v="43776"/>
    <s v="profit"/>
  </r>
  <r>
    <x v="68"/>
    <s v="august"/>
    <s v="Radiance Tech Solutions"/>
    <x v="0"/>
    <x v="2"/>
    <x v="6"/>
    <s v="Female"/>
    <n v="10"/>
    <n v="812"/>
    <n v="1112"/>
    <n v="8120"/>
    <n v="11120"/>
    <n v="3000"/>
    <s v="profit"/>
  </r>
  <r>
    <x v="300"/>
    <s v="december"/>
    <s v="Legacy Health Ventures"/>
    <x v="1"/>
    <x v="7"/>
    <x v="8"/>
    <s v="Female"/>
    <n v="69"/>
    <n v="699"/>
    <n v="835"/>
    <n v="48231"/>
    <n v="57615"/>
    <n v="9384"/>
    <s v="profit"/>
  </r>
  <r>
    <x v="301"/>
    <s v="december"/>
    <s v="Pinnacle Spectrum Co."/>
    <x v="1"/>
    <x v="7"/>
    <x v="18"/>
    <s v="Female"/>
    <n v="58"/>
    <n v="924"/>
    <n v="990"/>
    <n v="53592"/>
    <n v="57420"/>
    <n v="3828"/>
    <s v="profit"/>
  </r>
  <r>
    <x v="302"/>
    <s v="december"/>
    <s v="Stellar Travel Products"/>
    <x v="1"/>
    <x v="7"/>
    <x v="19"/>
    <s v="Female"/>
    <n v="83"/>
    <n v="790"/>
    <n v="1164"/>
    <n v="65570"/>
    <n v="96612"/>
    <n v="31042"/>
    <s v="profit"/>
  </r>
  <r>
    <x v="303"/>
    <s v="december"/>
    <s v="Radiance Finance Services"/>
    <x v="1"/>
    <x v="7"/>
    <x v="0"/>
    <s v="Female"/>
    <n v="60"/>
    <n v="867"/>
    <n v="854"/>
    <n v="52020"/>
    <n v="51240"/>
    <n v="-780"/>
    <s v="loss"/>
  </r>
  <r>
    <x v="304"/>
    <s v="december"/>
    <s v="Modern Travel Agency"/>
    <x v="1"/>
    <x v="7"/>
    <x v="2"/>
    <s v="Male"/>
    <n v="89"/>
    <n v="702"/>
    <n v="1314"/>
    <n v="62478"/>
    <n v="116946"/>
    <n v="54468"/>
    <s v="profit"/>
  </r>
  <r>
    <x v="305"/>
    <s v="december"/>
    <s v="Crystal Path Consulting"/>
    <x v="1"/>
    <x v="7"/>
    <x v="3"/>
    <s v="Male"/>
    <n v="91"/>
    <n v="805"/>
    <n v="1361"/>
    <n v="73255"/>
    <n v="123851"/>
    <n v="50596"/>
    <s v="profit"/>
  </r>
  <r>
    <x v="306"/>
    <s v="december"/>
    <s v="Zenith Educational Services"/>
    <x v="1"/>
    <x v="7"/>
    <x v="3"/>
    <s v="Male"/>
    <n v="78"/>
    <n v="682"/>
    <n v="962"/>
    <n v="53196"/>
    <n v="75036"/>
    <n v="21840"/>
    <s v="profit"/>
  </r>
  <r>
    <x v="69"/>
    <s v="august"/>
    <s v="Apex Enterprise Solutions"/>
    <x v="2"/>
    <x v="6"/>
    <x v="10"/>
    <s v="Male"/>
    <n v="22"/>
    <n v="888"/>
    <n v="1284"/>
    <n v="19536"/>
    <n v="28248"/>
    <n v="8712"/>
    <s v="profit"/>
  </r>
  <r>
    <x v="307"/>
    <s v="december"/>
    <s v="Apex Innovations Co."/>
    <x v="1"/>
    <x v="7"/>
    <x v="4"/>
    <s v="Male"/>
    <n v="54"/>
    <n v="990"/>
    <n v="970"/>
    <n v="53460"/>
    <n v="52380"/>
    <n v="-1080"/>
    <s v="loss"/>
  </r>
  <r>
    <x v="308"/>
    <s v="january"/>
    <s v="Pure Harmony Health"/>
    <x v="1"/>
    <x v="7"/>
    <x v="5"/>
    <s v="Female"/>
    <n v="72"/>
    <n v="749"/>
    <n v="1262"/>
    <n v="53928"/>
    <n v="90864"/>
    <n v="36936"/>
    <s v="profit"/>
  </r>
  <r>
    <x v="309"/>
    <s v="january"/>
    <s v="Apex Travel Innovations"/>
    <x v="1"/>
    <x v="5"/>
    <x v="6"/>
    <s v="Male"/>
    <n v="51"/>
    <n v="925"/>
    <n v="750"/>
    <n v="47175"/>
    <n v="38250"/>
    <n v="-8925"/>
    <s v="loss"/>
  </r>
  <r>
    <x v="310"/>
    <s v="january"/>
    <s v="Modern Health Products"/>
    <x v="1"/>
    <x v="5"/>
    <x v="7"/>
    <s v="Male"/>
    <n v="56"/>
    <n v="782"/>
    <n v="1353"/>
    <n v="43792"/>
    <n v="75768"/>
    <n v="31976"/>
    <s v="profit"/>
  </r>
  <r>
    <x v="311"/>
    <s v="january"/>
    <s v="Harmony Finance Group"/>
    <x v="1"/>
    <x v="5"/>
    <x v="7"/>
    <s v="Male"/>
    <n v="92"/>
    <n v="978"/>
    <n v="1062"/>
    <n v="89976"/>
    <n v="97704"/>
    <n v="7728"/>
    <s v="profit"/>
  </r>
  <r>
    <x v="70"/>
    <s v="august"/>
    <s v="Prestige Solutions"/>
    <x v="2"/>
    <x v="6"/>
    <x v="13"/>
    <s v="Female"/>
    <n v="29"/>
    <n v="818"/>
    <n v="999"/>
    <n v="23722"/>
    <n v="28971"/>
    <n v="5249"/>
    <s v="profit"/>
  </r>
  <r>
    <x v="312"/>
    <s v="january"/>
    <s v="Pure Vision Consulting"/>
    <x v="1"/>
    <x v="5"/>
    <x v="13"/>
    <s v="Female"/>
    <n v="75"/>
    <n v="539"/>
    <n v="1068"/>
    <n v="40425"/>
    <n v="80100"/>
    <n v="39675"/>
    <s v="profit"/>
  </r>
  <r>
    <x v="313"/>
    <s v="january"/>
    <s v="Legacy Spectrum Co."/>
    <x v="1"/>
    <x v="5"/>
    <x v="13"/>
    <s v="Male"/>
    <n v="78"/>
    <n v="608"/>
    <n v="1496"/>
    <n v="47424"/>
    <n v="116688"/>
    <n v="69264"/>
    <s v="profit"/>
  </r>
  <r>
    <x v="314"/>
    <s v="january"/>
    <s v="Stellar Media Services"/>
    <x v="1"/>
    <x v="7"/>
    <x v="7"/>
    <s v="Male"/>
    <n v="66"/>
    <n v="831"/>
    <n v="787"/>
    <n v="54846"/>
    <n v="51942"/>
    <n v="-2904"/>
    <s v="loss"/>
  </r>
  <r>
    <x v="315"/>
    <s v="january"/>
    <s v="Radiant Innovations Group"/>
    <x v="1"/>
    <x v="7"/>
    <x v="5"/>
    <s v="Male"/>
    <n v="86"/>
    <n v="855"/>
    <n v="930"/>
    <n v="73530"/>
    <n v="79980"/>
    <n v="6450"/>
    <s v="profit"/>
  </r>
  <r>
    <x v="316"/>
    <s v="january"/>
    <s v="Horizon Path Ventures"/>
    <x v="1"/>
    <x v="7"/>
    <x v="17"/>
    <s v="Female"/>
    <n v="84"/>
    <n v="948"/>
    <n v="1156"/>
    <n v="79632"/>
    <n v="97104"/>
    <n v="17472"/>
    <s v="profit"/>
  </r>
  <r>
    <x v="317"/>
    <s v="january"/>
    <s v="Zenith Tech Co."/>
    <x v="1"/>
    <x v="7"/>
    <x v="8"/>
    <s v="Female"/>
    <n v="90"/>
    <n v="962"/>
    <n v="970"/>
    <n v="86580"/>
    <n v="87300"/>
    <n v="720"/>
    <s v="profit"/>
  </r>
  <r>
    <x v="318"/>
    <s v="january"/>
    <s v="Apex Finance Ventures"/>
    <x v="1"/>
    <x v="7"/>
    <x v="18"/>
    <s v="Female"/>
    <n v="84"/>
    <n v="521"/>
    <n v="1320"/>
    <n v="43764"/>
    <n v="110880"/>
    <n v="67116"/>
    <s v="profit"/>
  </r>
  <r>
    <x v="319"/>
    <s v="february"/>
    <s v="Zenith Wellness Co."/>
    <x v="1"/>
    <x v="5"/>
    <x v="7"/>
    <s v="Female"/>
    <n v="85"/>
    <n v="938"/>
    <n v="802"/>
    <n v="79730"/>
    <n v="68170"/>
    <n v="-11560"/>
    <s v="loss"/>
  </r>
  <r>
    <x v="71"/>
    <s v="august"/>
    <s v="Urban Wave Solutions"/>
    <x v="1"/>
    <x v="5"/>
    <x v="1"/>
    <s v="Male"/>
    <n v="60"/>
    <n v="645"/>
    <n v="936"/>
    <n v="38700"/>
    <n v="56160"/>
    <n v="17460"/>
    <s v="profit"/>
  </r>
  <r>
    <x v="320"/>
    <s v="february"/>
    <s v="Apex Design Services"/>
    <x v="1"/>
    <x v="5"/>
    <x v="7"/>
    <s v="Female"/>
    <n v="62"/>
    <n v="562"/>
    <n v="884"/>
    <n v="34844"/>
    <n v="54808"/>
    <n v="19964"/>
    <s v="profit"/>
  </r>
  <r>
    <x v="321"/>
    <s v="february"/>
    <s v="Pure Health Ventures"/>
    <x v="1"/>
    <x v="5"/>
    <x v="13"/>
    <s v="Female"/>
    <n v="50"/>
    <n v="887"/>
    <n v="1068"/>
    <n v="44350"/>
    <n v="53400"/>
    <n v="9050"/>
    <s v="profit"/>
  </r>
  <r>
    <x v="322"/>
    <s v="february"/>
    <s v="Legacy Spectrum Group"/>
    <x v="1"/>
    <x v="5"/>
    <x v="12"/>
    <s v="Male"/>
    <n v="66"/>
    <n v="771"/>
    <n v="1492"/>
    <n v="50886"/>
    <n v="98472"/>
    <n v="47586"/>
    <s v="profit"/>
  </r>
  <r>
    <x v="323"/>
    <s v="february"/>
    <s v="Pinnacle Media Ventures"/>
    <x v="1"/>
    <x v="5"/>
    <x v="7"/>
    <s v="Male"/>
    <n v="61"/>
    <n v="529"/>
    <n v="1419"/>
    <n v="32269"/>
    <n v="86559"/>
    <n v="54290"/>
    <s v="profit"/>
  </r>
  <r>
    <x v="72"/>
    <s v="september"/>
    <s v="Visionary Realty Solutions"/>
    <x v="1"/>
    <x v="7"/>
    <x v="5"/>
    <s v="Female"/>
    <n v="68"/>
    <n v="777"/>
    <n v="1433"/>
    <n v="52836"/>
    <n v="97444"/>
    <n v="44608"/>
    <s v="profit"/>
  </r>
  <r>
    <x v="324"/>
    <s v="february"/>
    <s v="Stellar Innovations Group"/>
    <x v="1"/>
    <x v="5"/>
    <x v="5"/>
    <s v="Male"/>
    <n v="78"/>
    <n v="511"/>
    <n v="1368"/>
    <n v="39858"/>
    <n v="106704"/>
    <n v="66846"/>
    <s v="profit"/>
  </r>
  <r>
    <x v="325"/>
    <s v="february"/>
    <s v="Radiant Educational Co."/>
    <x v="1"/>
    <x v="5"/>
    <x v="17"/>
    <s v="Male"/>
    <n v="96"/>
    <n v="790"/>
    <n v="1335"/>
    <n v="75840"/>
    <n v="128160"/>
    <n v="52320"/>
    <s v="profit"/>
  </r>
  <r>
    <x v="326"/>
    <s v="february"/>
    <s v="Harmony Edge Ventures"/>
    <x v="1"/>
    <x v="5"/>
    <x v="8"/>
    <s v="Female"/>
    <n v="63"/>
    <n v="722"/>
    <n v="1374"/>
    <n v="45486"/>
    <n v="86562"/>
    <n v="41076"/>
    <s v="profit"/>
  </r>
  <r>
    <x v="327"/>
    <s v="february"/>
    <s v="Apex Finance Group"/>
    <x v="1"/>
    <x v="5"/>
    <x v="19"/>
    <s v="Male"/>
    <n v="92"/>
    <n v="521"/>
    <n v="1414"/>
    <n v="47932"/>
    <n v="130088"/>
    <n v="82156"/>
    <s v="profit"/>
  </r>
  <r>
    <x v="328"/>
    <s v="february"/>
    <s v="Pure Harmony Media"/>
    <x v="1"/>
    <x v="5"/>
    <x v="0"/>
    <s v="Male"/>
    <n v="65"/>
    <n v="661"/>
    <n v="1425"/>
    <n v="42965"/>
    <n v="92625"/>
    <n v="49660"/>
    <s v="profit"/>
  </r>
  <r>
    <x v="329"/>
    <s v="february"/>
    <s v="Legacy Health Co."/>
    <x v="1"/>
    <x v="7"/>
    <x v="1"/>
    <s v="Male"/>
    <n v="77"/>
    <n v="595"/>
    <n v="1470"/>
    <n v="45815"/>
    <n v="113190"/>
    <n v="67375"/>
    <s v="profit"/>
  </r>
  <r>
    <x v="330"/>
    <s v="february"/>
    <s v="ACCOUNTS EXPERT"/>
    <x v="1"/>
    <x v="10"/>
    <x v="1"/>
    <s v="Male"/>
    <n v="62"/>
    <n v="774"/>
    <n v="1050"/>
    <n v="47988"/>
    <n v="65100"/>
    <n v="17112"/>
    <s v="profit"/>
  </r>
  <r>
    <x v="198"/>
    <s v="april"/>
    <s v="Golden Horizon Ventures"/>
    <x v="1"/>
    <x v="1"/>
    <x v="15"/>
    <s v="Male"/>
    <n v="65"/>
    <n v="816"/>
    <n v="1347"/>
    <n v="53040"/>
    <n v="87555"/>
    <n v="34515"/>
    <s v="profit"/>
  </r>
  <r>
    <x v="73"/>
    <s v="september"/>
    <s v="Pure Essence Solutions"/>
    <x v="0"/>
    <x v="2"/>
    <x v="6"/>
    <s v="Female"/>
    <n v="19"/>
    <n v="576"/>
    <n v="1181"/>
    <n v="10944"/>
    <n v="22439"/>
    <n v="11495"/>
    <s v="profit"/>
  </r>
  <r>
    <x v="199"/>
    <s v="april"/>
    <s v="Eternal Traditions"/>
    <x v="1"/>
    <x v="1"/>
    <x v="16"/>
    <s v="Male"/>
    <n v="100"/>
    <n v="893"/>
    <n v="1460"/>
    <n v="89300"/>
    <n v="146000"/>
    <n v="56700"/>
    <s v="profit"/>
  </r>
  <r>
    <x v="200"/>
    <s v="april"/>
    <s v="Harmony Foods"/>
    <x v="1"/>
    <x v="1"/>
    <x v="8"/>
    <s v="Male"/>
    <n v="79"/>
    <n v="632"/>
    <n v="1271"/>
    <n v="49928"/>
    <n v="100409"/>
    <n v="50481"/>
    <s v="profit"/>
  </r>
  <r>
    <x v="201"/>
    <s v="april"/>
    <s v="Sacred Roots Apparel"/>
    <x v="1"/>
    <x v="9"/>
    <x v="8"/>
    <s v="Female"/>
    <n v="74"/>
    <n v="859"/>
    <n v="1315"/>
    <n v="63566"/>
    <n v="97310"/>
    <n v="33744"/>
    <s v="profit"/>
  </r>
  <r>
    <x v="202"/>
    <s v="april"/>
    <s v="Quantum Finance Services"/>
    <x v="1"/>
    <x v="9"/>
    <x v="9"/>
    <s v="Female"/>
    <n v="77"/>
    <n v="579"/>
    <n v="1178"/>
    <n v="44583"/>
    <n v="90706"/>
    <n v="46123"/>
    <s v="profit"/>
  </r>
  <r>
    <x v="74"/>
    <s v="september"/>
    <s v="Crystal Health Solutions"/>
    <x v="0"/>
    <x v="2"/>
    <x v="7"/>
    <s v="Male"/>
    <n v="16"/>
    <n v="689"/>
    <n v="1068"/>
    <n v="11024"/>
    <n v="17088"/>
    <n v="6064"/>
    <s v="profit"/>
  </r>
  <r>
    <x v="203"/>
    <s v="april"/>
    <s v="Brilliant Minds Academy"/>
    <x v="1"/>
    <x v="9"/>
    <x v="4"/>
    <s v="Female"/>
    <n v="61"/>
    <n v="865"/>
    <n v="894"/>
    <n v="52765"/>
    <n v="54534"/>
    <n v="1769"/>
    <s v="profit"/>
  </r>
  <r>
    <x v="204"/>
    <s v="april"/>
    <s v="Visionary Holdings"/>
    <x v="1"/>
    <x v="9"/>
    <x v="10"/>
    <s v="Female"/>
    <n v="57"/>
    <n v="881"/>
    <n v="1185"/>
    <n v="50217"/>
    <n v="67545"/>
    <n v="17328"/>
    <s v="profit"/>
  </r>
  <r>
    <x v="205"/>
    <s v="april"/>
    <s v="Stellar Design Studio"/>
    <x v="1"/>
    <x v="9"/>
    <x v="11"/>
    <s v="Female"/>
    <n v="57"/>
    <n v="548"/>
    <n v="1306"/>
    <n v="31236"/>
    <n v="74442"/>
    <n v="43206"/>
    <s v="profit"/>
  </r>
  <r>
    <x v="206"/>
    <s v="april"/>
    <s v="Classic Cuisines"/>
    <x v="1"/>
    <x v="9"/>
    <x v="6"/>
    <s v="Male"/>
    <n v="84"/>
    <n v="702"/>
    <n v="787"/>
    <n v="58968"/>
    <n v="66108"/>
    <n v="7140"/>
    <s v="profit"/>
  </r>
  <r>
    <x v="207"/>
    <s v="april"/>
    <s v="Bold Ventures"/>
    <x v="1"/>
    <x v="9"/>
    <x v="7"/>
    <s v="Male"/>
    <n v="76"/>
    <n v="875"/>
    <n v="1268"/>
    <n v="66500"/>
    <n v="96368"/>
    <n v="29868"/>
    <s v="profit"/>
  </r>
  <r>
    <x v="208"/>
    <s v="may"/>
    <s v="Radiance Spa"/>
    <x v="1"/>
    <x v="5"/>
    <x v="12"/>
    <s v="Male"/>
    <n v="50"/>
    <n v="885"/>
    <n v="927"/>
    <n v="44250"/>
    <n v="46350"/>
    <n v="2100"/>
    <s v="profit"/>
  </r>
  <r>
    <x v="209"/>
    <s v="may"/>
    <s v="Verve Fitness Studio"/>
    <x v="1"/>
    <x v="5"/>
    <x v="7"/>
    <s v="Female"/>
    <n v="53"/>
    <n v="950"/>
    <n v="875"/>
    <n v="50350"/>
    <n v="46375"/>
    <n v="-3975"/>
    <s v="loss"/>
  </r>
  <r>
    <x v="210"/>
    <s v="may"/>
    <s v="Sparkle Cleaners"/>
    <x v="1"/>
    <x v="5"/>
    <x v="7"/>
    <s v="Female"/>
    <n v="62"/>
    <n v="623"/>
    <n v="1253"/>
    <n v="38626"/>
    <n v="77686"/>
    <n v="39060"/>
    <s v="profit"/>
  </r>
  <r>
    <x v="75"/>
    <s v="september"/>
    <s v="Stellar Travel Solutions"/>
    <x v="0"/>
    <x v="0"/>
    <x v="7"/>
    <s v="Female"/>
    <n v="18"/>
    <n v="835"/>
    <n v="1234"/>
    <n v="15030"/>
    <n v="22212"/>
    <n v="7182"/>
    <s v="profit"/>
  </r>
  <r>
    <x v="211"/>
    <s v="may"/>
    <s v="Global Reach Logistics"/>
    <x v="1"/>
    <x v="5"/>
    <x v="8"/>
    <s v="Female"/>
    <n v="72"/>
    <n v="920"/>
    <n v="753"/>
    <n v="66240"/>
    <n v="54216"/>
    <n v="-12024"/>
    <s v="loss"/>
  </r>
  <r>
    <x v="76"/>
    <s v="september"/>
    <s v="Pure Harmony Solutions"/>
    <x v="0"/>
    <x v="0"/>
    <x v="13"/>
    <s v="Female"/>
    <n v="13"/>
    <n v="855"/>
    <n v="951"/>
    <n v="11115"/>
    <n v="12363"/>
    <n v="1248"/>
    <s v="profit"/>
  </r>
  <r>
    <x v="212"/>
    <s v="may"/>
    <s v="Noble Path Finance"/>
    <x v="1"/>
    <x v="5"/>
    <x v="4"/>
    <s v="Female"/>
    <n v="69"/>
    <n v="860"/>
    <n v="1081"/>
    <n v="59340"/>
    <n v="74589"/>
    <n v="15249"/>
    <s v="profit"/>
  </r>
  <r>
    <x v="213"/>
    <s v="may"/>
    <s v="Dynamic Events Management"/>
    <x v="1"/>
    <x v="5"/>
    <x v="8"/>
    <s v="Female"/>
    <n v="80"/>
    <n v="765"/>
    <n v="924"/>
    <n v="61200"/>
    <n v="73920"/>
    <n v="12720"/>
    <s v="profit"/>
  </r>
  <r>
    <x v="214"/>
    <s v="may"/>
    <s v="Crystal Waters Resort"/>
    <x v="1"/>
    <x v="5"/>
    <x v="9"/>
    <s v="Female"/>
    <n v="75"/>
    <n v="690"/>
    <n v="817"/>
    <n v="51750"/>
    <n v="61275"/>
    <n v="9525"/>
    <s v="profit"/>
  </r>
  <r>
    <x v="215"/>
    <s v="may"/>
    <s v="Excellence Tutors"/>
    <x v="1"/>
    <x v="5"/>
    <x v="4"/>
    <s v="Female"/>
    <n v="100"/>
    <n v="795"/>
    <n v="1136"/>
    <n v="79500"/>
    <n v="113600"/>
    <n v="34100"/>
    <s v="profit"/>
  </r>
  <r>
    <x v="216"/>
    <s v="may"/>
    <s v="Horizon Builders"/>
    <x v="1"/>
    <x v="5"/>
    <x v="10"/>
    <s v="Male"/>
    <n v="85"/>
    <n v="845"/>
    <n v="1155"/>
    <n v="71825"/>
    <n v="98175"/>
    <n v="26350"/>
    <s v="profit"/>
  </r>
  <r>
    <x v="77"/>
    <s v="october"/>
    <s v="Modern Spectrum Solutions"/>
    <x v="1"/>
    <x v="5"/>
    <x v="8"/>
    <s v="Female"/>
    <n v="79"/>
    <n v="683"/>
    <n v="1444"/>
    <n v="53957"/>
    <n v="114076"/>
    <n v="60119"/>
    <s v="profit"/>
  </r>
  <r>
    <x v="217"/>
    <s v="may"/>
    <s v="Classic Heritage Crafts"/>
    <x v="1"/>
    <x v="5"/>
    <x v="6"/>
    <s v="Male"/>
    <n v="51"/>
    <n v="876"/>
    <n v="1252"/>
    <n v="44676"/>
    <n v="63852"/>
    <n v="19176"/>
    <s v="profit"/>
  </r>
  <r>
    <x v="218"/>
    <s v="may"/>
    <s v="Prime Focus Media"/>
    <x v="1"/>
    <x v="7"/>
    <x v="7"/>
    <s v="Male"/>
    <n v="55"/>
    <n v="793"/>
    <n v="1045"/>
    <n v="43615"/>
    <n v="57475"/>
    <n v="13860"/>
    <s v="profit"/>
  </r>
  <r>
    <x v="219"/>
    <s v="june"/>
    <s v="Noble Nutraceuticals"/>
    <x v="1"/>
    <x v="7"/>
    <x v="7"/>
    <s v="Female"/>
    <n v="82"/>
    <n v="641"/>
    <n v="809"/>
    <n v="52562"/>
    <n v="66338"/>
    <n v="13776"/>
    <s v="profit"/>
  </r>
  <r>
    <x v="220"/>
    <s v="june"/>
    <s v="Supreme Travel Agency"/>
    <x v="1"/>
    <x v="7"/>
    <x v="13"/>
    <s v="Male"/>
    <n v="80"/>
    <n v="678"/>
    <n v="1016"/>
    <n v="54240"/>
    <n v="81280"/>
    <n v="27040"/>
    <s v="profit"/>
  </r>
  <r>
    <x v="221"/>
    <s v="june"/>
    <s v="Future Vision Tech"/>
    <x v="1"/>
    <x v="7"/>
    <x v="13"/>
    <s v="Male"/>
    <n v="76"/>
    <n v="585"/>
    <n v="1366"/>
    <n v="44460"/>
    <n v="103816"/>
    <n v="59356"/>
    <s v="profit"/>
  </r>
  <r>
    <x v="222"/>
    <s v="june"/>
    <s v="Urban Groove Apparel"/>
    <x v="1"/>
    <x v="7"/>
    <x v="12"/>
    <s v="Male"/>
    <n v="93"/>
    <n v="662"/>
    <n v="1319"/>
    <n v="61566"/>
    <n v="122667"/>
    <n v="61101"/>
    <s v="profit"/>
  </r>
  <r>
    <x v="81"/>
    <s v="october"/>
    <s v="Apex Creative Solutions"/>
    <x v="1"/>
    <x v="7"/>
    <x v="3"/>
    <s v="Male"/>
    <n v="67"/>
    <n v="711"/>
    <n v="1280"/>
    <n v="47637"/>
    <n v="85760"/>
    <n v="38123"/>
    <s v="profit"/>
  </r>
  <r>
    <x v="223"/>
    <s v="june"/>
    <s v="Echo Real Estate"/>
    <x v="1"/>
    <x v="7"/>
    <x v="7"/>
    <s v="Male"/>
    <n v="51"/>
    <n v="744"/>
    <n v="782"/>
    <n v="37944"/>
    <n v="39882"/>
    <n v="1938"/>
    <s v="profit"/>
  </r>
  <r>
    <x v="224"/>
    <s v="june"/>
    <s v="Pinnacle Health Products"/>
    <x v="1"/>
    <x v="7"/>
    <x v="5"/>
    <s v="Female"/>
    <n v="88"/>
    <n v="820"/>
    <n v="1241"/>
    <n v="72160"/>
    <n v="109208"/>
    <n v="37048"/>
    <s v="profit"/>
  </r>
  <r>
    <x v="225"/>
    <s v="june"/>
    <s v="Apex Auto Care"/>
    <x v="1"/>
    <x v="7"/>
    <x v="17"/>
    <s v="Female"/>
    <n v="72"/>
    <n v="937"/>
    <n v="1154"/>
    <n v="67464"/>
    <n v="83088"/>
    <n v="15624"/>
    <s v="profit"/>
  </r>
  <r>
    <x v="226"/>
    <s v="june"/>
    <s v="Royal Glow Cosmetics"/>
    <x v="1"/>
    <x v="7"/>
    <x v="8"/>
    <s v="Female"/>
    <n v="55"/>
    <n v="685"/>
    <n v="824"/>
    <n v="37675"/>
    <n v="45320"/>
    <n v="7645"/>
    <s v="profit"/>
  </r>
  <r>
    <x v="86"/>
    <s v="october"/>
    <s v="Radiance Solutions Group"/>
    <x v="0"/>
    <x v="2"/>
    <x v="11"/>
    <s v="Female"/>
    <n v="20"/>
    <n v="963"/>
    <n v="865"/>
    <n v="19260"/>
    <n v="17300"/>
    <n v="-1960"/>
    <s v="loss"/>
  </r>
  <r>
    <x v="227"/>
    <s v="june"/>
    <s v="Zenith Culinary Arts"/>
    <x v="1"/>
    <x v="7"/>
    <x v="18"/>
    <s v="Female"/>
    <n v="55"/>
    <n v="661"/>
    <n v="1133"/>
    <n v="36355"/>
    <n v="62315"/>
    <n v="25960"/>
    <s v="profit"/>
  </r>
  <r>
    <x v="228"/>
    <s v="june"/>
    <s v="Visionary Tours"/>
    <x v="1"/>
    <x v="7"/>
    <x v="19"/>
    <s v="Female"/>
    <n v="72"/>
    <n v="804"/>
    <n v="833"/>
    <n v="57888"/>
    <n v="59976"/>
    <n v="2088"/>
    <s v="profit"/>
  </r>
  <r>
    <x v="89"/>
    <s v="october"/>
    <s v="Modern Edge Solutions"/>
    <x v="0"/>
    <x v="2"/>
    <x v="7"/>
    <s v="Female"/>
    <n v="14"/>
    <n v="913"/>
    <n v="1155"/>
    <n v="12782"/>
    <n v="16170"/>
    <n v="3388"/>
    <s v="profit"/>
  </r>
  <r>
    <x v="229"/>
    <s v="june"/>
    <s v="Elite Essence Products"/>
    <x v="1"/>
    <x v="5"/>
    <x v="3"/>
    <s v="Male"/>
    <n v="87"/>
    <n v="616"/>
    <n v="1447"/>
    <n v="53592"/>
    <n v="125889"/>
    <n v="72297"/>
    <s v="profit"/>
  </r>
  <r>
    <x v="91"/>
    <s v="october"/>
    <s v="Horizon Health Solutions"/>
    <x v="2"/>
    <x v="3"/>
    <x v="13"/>
    <s v="Female"/>
    <n v="23"/>
    <n v="616"/>
    <n v="919"/>
    <n v="14168"/>
    <n v="21137"/>
    <n v="6969"/>
    <s v="profit"/>
  </r>
  <r>
    <x v="230"/>
    <s v="june"/>
    <s v="Dynamic Creations"/>
    <x v="1"/>
    <x v="5"/>
    <x v="15"/>
    <s v="Male"/>
    <n v="57"/>
    <n v="724"/>
    <n v="1432"/>
    <n v="41268"/>
    <n v="81624"/>
    <n v="40356"/>
    <s v="profit"/>
  </r>
  <r>
    <x v="93"/>
    <s v="october"/>
    <s v="Apex Marketing Solutions"/>
    <x v="2"/>
    <x v="8"/>
    <x v="7"/>
    <s v="Male"/>
    <n v="28"/>
    <n v="539"/>
    <n v="1106"/>
    <n v="15092"/>
    <n v="30968"/>
    <n v="15876"/>
    <s v="profit"/>
  </r>
  <r>
    <x v="231"/>
    <s v="june"/>
    <s v="Quantum Design Studio"/>
    <x v="1"/>
    <x v="5"/>
    <x v="14"/>
    <s v="Male"/>
    <n v="85"/>
    <n v="639"/>
    <n v="1447"/>
    <n v="54315"/>
    <n v="122995"/>
    <n v="68680"/>
    <s v="profit"/>
  </r>
  <r>
    <x v="232"/>
    <s v="june"/>
    <s v="Apex Construction"/>
    <x v="1"/>
    <x v="5"/>
    <x v="3"/>
    <s v="Female"/>
    <n v="81"/>
    <n v="776"/>
    <n v="895"/>
    <n v="62856"/>
    <n v="72495"/>
    <n v="9639"/>
    <s v="profit"/>
  </r>
  <r>
    <x v="233"/>
    <s v="june"/>
    <s v="Legacy Innovations"/>
    <x v="1"/>
    <x v="7"/>
    <x v="13"/>
    <s v="Female"/>
    <n v="86"/>
    <n v="705"/>
    <n v="1483"/>
    <n v="60630"/>
    <n v="127538"/>
    <n v="66908"/>
    <s v="profit"/>
  </r>
  <r>
    <x v="234"/>
    <s v="june"/>
    <s v="Pure Harmony Foods"/>
    <x v="1"/>
    <x v="7"/>
    <x v="15"/>
    <s v="Male"/>
    <n v="80"/>
    <n v="901"/>
    <n v="1109"/>
    <n v="72080"/>
    <n v="88720"/>
    <n v="16640"/>
    <s v="profit"/>
  </r>
  <r>
    <x v="235"/>
    <s v="june"/>
    <s v="Zenith Security Systems"/>
    <x v="1"/>
    <x v="7"/>
    <x v="16"/>
    <s v="Male"/>
    <n v="59"/>
    <n v="502"/>
    <n v="1212"/>
    <n v="29618"/>
    <n v="71508"/>
    <n v="41890"/>
    <s v="profit"/>
  </r>
  <r>
    <x v="236"/>
    <s v="june"/>
    <s v="Crystal Clear Beverages"/>
    <x v="1"/>
    <x v="7"/>
    <x v="6"/>
    <s v="Male"/>
    <n v="52"/>
    <n v="556"/>
    <n v="1402"/>
    <n v="28912"/>
    <n v="72904"/>
    <n v="43992"/>
    <s v="profit"/>
  </r>
  <r>
    <x v="237"/>
    <s v="june"/>
    <s v="Metro Line Tech"/>
    <x v="1"/>
    <x v="7"/>
    <x v="8"/>
    <s v="Male"/>
    <n v="92"/>
    <n v="953"/>
    <n v="790"/>
    <n v="87676"/>
    <n v="72680"/>
    <n v="-14996"/>
    <s v="loss"/>
  </r>
  <r>
    <x v="238"/>
    <s v="june"/>
    <s v="Urban Pulse Consulting"/>
    <x v="1"/>
    <x v="7"/>
    <x v="12"/>
    <s v="Male"/>
    <n v="96"/>
    <n v="961"/>
    <n v="1174"/>
    <n v="92256"/>
    <n v="112704"/>
    <n v="20448"/>
    <s v="profit"/>
  </r>
  <r>
    <x v="239"/>
    <s v="july"/>
    <s v="Legacy Design Group"/>
    <x v="1"/>
    <x v="5"/>
    <x v="1"/>
    <s v="Female"/>
    <n v="79"/>
    <n v="880"/>
    <n v="1403"/>
    <n v="69520"/>
    <n v="110837"/>
    <n v="41317"/>
    <s v="profit"/>
  </r>
  <r>
    <x v="240"/>
    <s v="july"/>
    <s v="Supreme Wellness"/>
    <x v="1"/>
    <x v="5"/>
    <x v="2"/>
    <s v="Female"/>
    <n v="62"/>
    <n v="936"/>
    <n v="1364"/>
    <n v="58032"/>
    <n v="84568"/>
    <n v="26536"/>
    <s v="profit"/>
  </r>
  <r>
    <x v="241"/>
    <s v="july"/>
    <s v="Harmony Tech Innovations"/>
    <x v="1"/>
    <x v="5"/>
    <x v="3"/>
    <s v="Female"/>
    <n v="53"/>
    <n v="791"/>
    <n v="1253"/>
    <n v="41923"/>
    <n v="66409"/>
    <n v="24486"/>
    <s v="profit"/>
  </r>
  <r>
    <x v="105"/>
    <s v="november"/>
    <s v="Radiance Solutions Co."/>
    <x v="1"/>
    <x v="9"/>
    <x v="5"/>
    <s v="Female"/>
    <n v="74"/>
    <n v="636"/>
    <n v="955"/>
    <n v="47064"/>
    <n v="70670"/>
    <n v="23606"/>
    <s v="profit"/>
  </r>
  <r>
    <x v="242"/>
    <s v="july"/>
    <s v="Stellar Education Services"/>
    <x v="1"/>
    <x v="5"/>
    <x v="3"/>
    <s v="Female"/>
    <n v="56"/>
    <n v="740"/>
    <n v="1464"/>
    <n v="41440"/>
    <n v="81984"/>
    <n v="40544"/>
    <s v="profit"/>
  </r>
  <r>
    <x v="243"/>
    <s v="july"/>
    <s v="Visionary Health Products"/>
    <x v="1"/>
    <x v="5"/>
    <x v="4"/>
    <s v="Female"/>
    <n v="63"/>
    <n v="519"/>
    <n v="826"/>
    <n v="32697"/>
    <n v="52038"/>
    <n v="19341"/>
    <s v="profit"/>
  </r>
  <r>
    <x v="108"/>
    <s v="november"/>
    <s v="Horizon Creative Solutions"/>
    <x v="1"/>
    <x v="9"/>
    <x v="14"/>
    <s v="Female"/>
    <n v="83"/>
    <n v="569"/>
    <n v="1232"/>
    <n v="47227"/>
    <n v="102256"/>
    <n v="55029"/>
    <s v="profit"/>
  </r>
  <r>
    <x v="244"/>
    <s v="july"/>
    <s v="Crystal Innovations"/>
    <x v="1"/>
    <x v="5"/>
    <x v="5"/>
    <s v="Female"/>
    <n v="73"/>
    <n v="857"/>
    <n v="1024"/>
    <n v="62561"/>
    <n v="74752"/>
    <n v="12191"/>
    <s v="profit"/>
  </r>
  <r>
    <x v="245"/>
    <s v="july"/>
    <s v="Future Trends Retail"/>
    <x v="1"/>
    <x v="5"/>
    <x v="3"/>
    <s v="Female"/>
    <n v="67"/>
    <n v="725"/>
    <n v="884"/>
    <n v="48575"/>
    <n v="59228"/>
    <n v="10653"/>
    <s v="profit"/>
  </r>
  <r>
    <x v="246"/>
    <s v="july"/>
    <s v="Radiant Horizon Ventures"/>
    <x v="1"/>
    <x v="5"/>
    <x v="15"/>
    <s v="Female"/>
    <n v="74"/>
    <n v="691"/>
    <n v="871"/>
    <n v="51134"/>
    <n v="64454"/>
    <n v="13320"/>
    <s v="profit"/>
  </r>
  <r>
    <x v="247"/>
    <s v="july"/>
    <s v="Urban Edge Realty"/>
    <x v="1"/>
    <x v="5"/>
    <x v="14"/>
    <s v="Male"/>
    <n v="92"/>
    <n v="981"/>
    <n v="1157"/>
    <n v="90252"/>
    <n v="106444"/>
    <n v="16192"/>
    <s v="profit"/>
  </r>
  <r>
    <x v="113"/>
    <s v="november"/>
    <s v="Urban Spectrum Solutions"/>
    <x v="2"/>
    <x v="4"/>
    <x v="16"/>
    <s v="Male"/>
    <n v="23"/>
    <n v="663"/>
    <n v="1215"/>
    <n v="15249"/>
    <n v="27945"/>
    <n v="12696"/>
    <s v="profit"/>
  </r>
  <r>
    <x v="248"/>
    <s v="july"/>
    <s v="Prime Focus Innovations"/>
    <x v="1"/>
    <x v="5"/>
    <x v="8"/>
    <s v="Male"/>
    <n v="63"/>
    <n v="547"/>
    <n v="1150"/>
    <n v="34461"/>
    <n v="72450"/>
    <n v="37989"/>
    <s v="profit"/>
  </r>
  <r>
    <x v="249"/>
    <s v="august"/>
    <s v="Elite Spectrum Consulting"/>
    <x v="1"/>
    <x v="5"/>
    <x v="3"/>
    <s v="Male"/>
    <n v="69"/>
    <n v="531"/>
    <n v="1210"/>
    <n v="36639"/>
    <n v="83490"/>
    <n v="46851"/>
    <s v="profit"/>
  </r>
  <r>
    <x v="250"/>
    <s v="august"/>
    <s v="Dynamic Design Studio"/>
    <x v="1"/>
    <x v="5"/>
    <x v="13"/>
    <s v="Male"/>
    <n v="84"/>
    <n v="806"/>
    <n v="1242"/>
    <n v="67704"/>
    <n v="104328"/>
    <n v="36624"/>
    <s v="profit"/>
  </r>
  <r>
    <x v="117"/>
    <s v="november"/>
    <s v="Legacy Wellness Solutions"/>
    <x v="2"/>
    <x v="4"/>
    <x v="6"/>
    <s v="Female"/>
    <n v="26"/>
    <n v="878"/>
    <n v="1492"/>
    <n v="22828"/>
    <n v="38792"/>
    <n v="15964"/>
    <s v="profit"/>
  </r>
  <r>
    <x v="251"/>
    <s v="august"/>
    <s v="Royal Crest Foods"/>
    <x v="1"/>
    <x v="7"/>
    <x v="16"/>
    <s v="Female"/>
    <n v="71"/>
    <n v="565"/>
    <n v="807"/>
    <n v="40115"/>
    <n v="57297"/>
    <n v="17182"/>
    <s v="profit"/>
  </r>
  <r>
    <x v="119"/>
    <s v="november"/>
    <s v="Horizon Media Solutions"/>
    <x v="2"/>
    <x v="4"/>
    <x v="7"/>
    <s v="Female"/>
    <n v="25"/>
    <n v="547"/>
    <n v="1342"/>
    <n v="13675"/>
    <n v="33550"/>
    <n v="19875"/>
    <s v="profit"/>
  </r>
  <r>
    <x v="252"/>
    <s v="august"/>
    <s v="Zenith Travels"/>
    <x v="1"/>
    <x v="7"/>
    <x v="6"/>
    <s v="Female"/>
    <n v="90"/>
    <n v="634"/>
    <n v="1465"/>
    <n v="57060"/>
    <n v="131850"/>
    <n v="74790"/>
    <s v="profit"/>
  </r>
  <r>
    <x v="253"/>
    <s v="august"/>
    <s v="Quantum Media Group"/>
    <x v="1"/>
    <x v="5"/>
    <x v="7"/>
    <s v="Female"/>
    <n v="61"/>
    <n v="675"/>
    <n v="770"/>
    <n v="41175"/>
    <n v="46970"/>
    <n v="5795"/>
    <s v="profit"/>
  </r>
  <r>
    <x v="254"/>
    <s v="august"/>
    <s v="Legacy Builders"/>
    <x v="1"/>
    <x v="5"/>
    <x v="5"/>
    <s v="Female"/>
    <n v="58"/>
    <n v="720"/>
    <n v="1356"/>
    <n v="41760"/>
    <n v="78648"/>
    <n v="36888"/>
    <s v="profit"/>
  </r>
  <r>
    <x v="255"/>
    <s v="august"/>
    <s v="Apex Spa &amp; Wellness"/>
    <x v="1"/>
    <x v="5"/>
    <x v="17"/>
    <s v="Female"/>
    <n v="60"/>
    <n v="676"/>
    <n v="768"/>
    <n v="40560"/>
    <n v="46080"/>
    <n v="5520"/>
    <s v="profit"/>
  </r>
  <r>
    <x v="256"/>
    <s v="august"/>
    <s v="Radiant Travel Services"/>
    <x v="1"/>
    <x v="5"/>
    <x v="8"/>
    <s v="Female"/>
    <n v="91"/>
    <n v="808"/>
    <n v="928"/>
    <n v="73528"/>
    <n v="84448"/>
    <n v="10920"/>
    <s v="profit"/>
  </r>
  <r>
    <x v="257"/>
    <s v="august"/>
    <s v="Modern Trends Consulting"/>
    <x v="1"/>
    <x v="5"/>
    <x v="18"/>
    <s v="Female"/>
    <n v="99"/>
    <n v="528"/>
    <n v="985"/>
    <n v="52272"/>
    <n v="97515"/>
    <n v="45243"/>
    <s v="profit"/>
  </r>
  <r>
    <x v="258"/>
    <s v="august"/>
    <s v="Global Horizon Ventures"/>
    <x v="1"/>
    <x v="5"/>
    <x v="19"/>
    <s v="Female"/>
    <n v="73"/>
    <n v="783"/>
    <n v="903"/>
    <n v="57159"/>
    <n v="65919"/>
    <n v="8760"/>
    <s v="profit"/>
  </r>
  <r>
    <x v="259"/>
    <s v="august"/>
    <s v="Elite Enterprises"/>
    <x v="1"/>
    <x v="5"/>
    <x v="0"/>
    <s v="Male"/>
    <n v="59"/>
    <n v="638"/>
    <n v="1080"/>
    <n v="37642"/>
    <n v="63720"/>
    <n v="26078"/>
    <s v="profit"/>
  </r>
  <r>
    <x v="260"/>
    <s v="september"/>
    <s v="Pinnacle Health Innovations"/>
    <x v="1"/>
    <x v="5"/>
    <x v="2"/>
    <s v="Male"/>
    <n v="68"/>
    <n v="881"/>
    <n v="1266"/>
    <n v="59908"/>
    <n v="86088"/>
    <n v="26180"/>
    <s v="profit"/>
  </r>
  <r>
    <x v="129"/>
    <s v="november"/>
    <s v="Urban Vision Solutions"/>
    <x v="2"/>
    <x v="6"/>
    <x v="7"/>
    <s v="Female"/>
    <n v="22"/>
    <n v="606"/>
    <n v="1459"/>
    <n v="13332"/>
    <n v="32098"/>
    <n v="18766"/>
    <s v="profit"/>
  </r>
  <r>
    <x v="261"/>
    <s v="september"/>
    <s v="Horizon Fashion"/>
    <x v="1"/>
    <x v="7"/>
    <x v="3"/>
    <s v="Male"/>
    <n v="55"/>
    <n v="639"/>
    <n v="1311"/>
    <n v="35145"/>
    <n v="72105"/>
    <n v="36960"/>
    <s v="profit"/>
  </r>
  <r>
    <x v="262"/>
    <s v="september"/>
    <s v="Crystal Essence Beverages"/>
    <x v="1"/>
    <x v="7"/>
    <x v="3"/>
    <s v="Male"/>
    <n v="52"/>
    <n v="718"/>
    <n v="919"/>
    <n v="37336"/>
    <n v="47788"/>
    <n v="10452"/>
    <s v="profit"/>
  </r>
  <r>
    <x v="132"/>
    <s v="december"/>
    <s v="Pinnacle Travel Solutions"/>
    <x v="2"/>
    <x v="6"/>
    <x v="12"/>
    <s v="Male"/>
    <n v="28"/>
    <n v="507"/>
    <n v="1379"/>
    <n v="14196"/>
    <n v="38612"/>
    <n v="24416"/>
    <s v="profit"/>
  </r>
  <r>
    <x v="263"/>
    <s v="september"/>
    <s v="Dynamic Pathways"/>
    <x v="1"/>
    <x v="7"/>
    <x v="4"/>
    <s v="Female"/>
    <n v="95"/>
    <n v="944"/>
    <n v="1263"/>
    <n v="89680"/>
    <n v="119985"/>
    <n v="30305"/>
    <s v="profit"/>
  </r>
  <r>
    <x v="264"/>
    <s v="september"/>
    <s v="Radiance Apparel"/>
    <x v="1"/>
    <x v="7"/>
    <x v="3"/>
    <s v="Female"/>
    <n v="99"/>
    <n v="523"/>
    <n v="1350"/>
    <n v="51777"/>
    <n v="133650"/>
    <n v="81873"/>
    <s v="profit"/>
  </r>
  <r>
    <x v="265"/>
    <s v="september"/>
    <s v="Zenith Design Group"/>
    <x v="1"/>
    <x v="7"/>
    <x v="15"/>
    <s v="Male"/>
    <n v="92"/>
    <n v="814"/>
    <n v="865"/>
    <n v="74888"/>
    <n v="79580"/>
    <n v="4692"/>
    <s v="profit"/>
  </r>
  <r>
    <x v="266"/>
    <s v="september"/>
    <s v="Modern Horizons Consulting"/>
    <x v="1"/>
    <x v="7"/>
    <x v="8"/>
    <s v="Male"/>
    <n v="62"/>
    <n v="891"/>
    <n v="1170"/>
    <n v="55242"/>
    <n v="72540"/>
    <n v="17298"/>
    <s v="profit"/>
  </r>
  <r>
    <x v="137"/>
    <s v="december"/>
    <s v="Harmony Health Solutions"/>
    <x v="2"/>
    <x v="6"/>
    <x v="18"/>
    <s v="Male"/>
    <n v="29"/>
    <n v="989"/>
    <n v="836"/>
    <n v="28681"/>
    <n v="24244"/>
    <n v="-4437"/>
    <s v="loss"/>
  </r>
  <r>
    <x v="267"/>
    <s v="september"/>
    <s v="Apex Realty Services"/>
    <x v="1"/>
    <x v="7"/>
    <x v="4"/>
    <s v="Male"/>
    <n v="89"/>
    <n v="990"/>
    <n v="1047"/>
    <n v="88110"/>
    <n v="93183"/>
    <n v="5073"/>
    <s v="profit"/>
  </r>
  <r>
    <x v="268"/>
    <s v="september"/>
    <s v="Zenith Educational Group"/>
    <x v="1"/>
    <x v="7"/>
    <x v="8"/>
    <s v="Male"/>
    <n v="61"/>
    <n v="907"/>
    <n v="1327"/>
    <n v="55327"/>
    <n v="80947"/>
    <n v="25620"/>
    <s v="profit"/>
  </r>
  <r>
    <x v="140"/>
    <s v="december"/>
    <s v="Modern Vision Solutions"/>
    <x v="1"/>
    <x v="5"/>
    <x v="1"/>
    <s v="Male"/>
    <n v="55"/>
    <n v="666"/>
    <n v="1358"/>
    <n v="36630"/>
    <n v="74690"/>
    <n v="38060"/>
    <s v="profit"/>
  </r>
  <r>
    <x v="269"/>
    <s v="september"/>
    <s v="True Path Ventures"/>
    <x v="1"/>
    <x v="7"/>
    <x v="9"/>
    <s v="Female"/>
    <n v="52"/>
    <n v="766"/>
    <n v="1318"/>
    <n v="39832"/>
    <n v="68536"/>
    <n v="28704"/>
    <s v="profit"/>
  </r>
  <r>
    <x v="270"/>
    <s v="september"/>
    <s v="Radiance Media"/>
    <x v="1"/>
    <x v="7"/>
    <x v="4"/>
    <s v="Male"/>
    <n v="96"/>
    <n v="520"/>
    <n v="1208"/>
    <n v="49920"/>
    <n v="115968"/>
    <n v="66048"/>
    <s v="profit"/>
  </r>
  <r>
    <x v="271"/>
    <s v="september"/>
    <s v="Legacy Health Systems"/>
    <x v="1"/>
    <x v="7"/>
    <x v="10"/>
    <s v="Male"/>
    <n v="90"/>
    <n v="792"/>
    <n v="818"/>
    <n v="71280"/>
    <n v="73620"/>
    <n v="2340"/>
    <s v="profit"/>
  </r>
  <r>
    <x v="272"/>
    <s v="september"/>
    <s v="Urban Focus Products"/>
    <x v="1"/>
    <x v="7"/>
    <x v="11"/>
    <s v="Male"/>
    <n v="98"/>
    <n v="711"/>
    <n v="1190"/>
    <n v="69678"/>
    <n v="116620"/>
    <n v="46942"/>
    <s v="profit"/>
  </r>
  <r>
    <x v="145"/>
    <s v="december"/>
    <s v="Radiant Educational Solutions"/>
    <x v="1"/>
    <x v="5"/>
    <x v="7"/>
    <s v="Female"/>
    <n v="94"/>
    <n v="616"/>
    <n v="1200"/>
    <n v="57904"/>
    <n v="112800"/>
    <n v="54896"/>
    <s v="profit"/>
  </r>
  <r>
    <x v="273"/>
    <s v="october"/>
    <s v="Visionary Innovations"/>
    <x v="1"/>
    <x v="5"/>
    <x v="5"/>
    <s v="Female"/>
    <n v="93"/>
    <n v="660"/>
    <n v="880"/>
    <n v="61380"/>
    <n v="81840"/>
    <n v="20460"/>
    <s v="profit"/>
  </r>
  <r>
    <x v="274"/>
    <s v="october"/>
    <s v="Horizon Design Studio"/>
    <x v="1"/>
    <x v="5"/>
    <x v="17"/>
    <s v="Female"/>
    <n v="59"/>
    <n v="623"/>
    <n v="1386"/>
    <n v="36757"/>
    <n v="81774"/>
    <n v="45017"/>
    <s v="profit"/>
  </r>
  <r>
    <x v="275"/>
    <s v="october"/>
    <s v="Legacy Tech Products"/>
    <x v="1"/>
    <x v="5"/>
    <x v="18"/>
    <s v="Female"/>
    <n v="98"/>
    <n v="865"/>
    <n v="1260"/>
    <n v="84770"/>
    <n v="123480"/>
    <n v="38710"/>
    <s v="profit"/>
  </r>
  <r>
    <x v="149"/>
    <s v="december"/>
    <s v="Zenith Creative Solutions"/>
    <x v="1"/>
    <x v="5"/>
    <x v="7"/>
    <s v="Female"/>
    <n v="67"/>
    <n v="898"/>
    <n v="1133"/>
    <n v="60166"/>
    <n v="75911"/>
    <n v="15745"/>
    <s v="profit"/>
  </r>
  <r>
    <x v="276"/>
    <s v="october"/>
    <s v="Pinnacle Wellness Services"/>
    <x v="1"/>
    <x v="5"/>
    <x v="19"/>
    <s v="Female"/>
    <n v="83"/>
    <n v="709"/>
    <n v="1206"/>
    <n v="58847"/>
    <n v="100098"/>
    <n v="41251"/>
    <s v="profit"/>
  </r>
  <r>
    <x v="151"/>
    <s v="december"/>
    <s v="Pure Vision Solutions"/>
    <x v="1"/>
    <x v="7"/>
    <x v="17"/>
    <s v="Female"/>
    <n v="72"/>
    <n v="603"/>
    <n v="941"/>
    <n v="43416"/>
    <n v="67752"/>
    <n v="24336"/>
    <s v="profit"/>
  </r>
  <r>
    <x v="277"/>
    <s v="october"/>
    <s v="Urban Insight Consulting"/>
    <x v="1"/>
    <x v="7"/>
    <x v="0"/>
    <s v="Female"/>
    <n v="69"/>
    <n v="657"/>
    <n v="1493"/>
    <n v="45333"/>
    <n v="103017"/>
    <n v="57684"/>
    <s v="profit"/>
  </r>
  <r>
    <x v="278"/>
    <s v="october"/>
    <s v="Crystal Horizons"/>
    <x v="1"/>
    <x v="7"/>
    <x v="1"/>
    <s v="Female"/>
    <n v="81"/>
    <n v="709"/>
    <n v="1180"/>
    <n v="57429"/>
    <n v="95580"/>
    <n v="38151"/>
    <s v="profit"/>
  </r>
  <r>
    <x v="279"/>
    <s v="october"/>
    <s v="Radiant Apparel"/>
    <x v="1"/>
    <x v="7"/>
    <x v="2"/>
    <s v="Female"/>
    <n v="61"/>
    <n v="547"/>
    <n v="1060"/>
    <n v="33367"/>
    <n v="64660"/>
    <n v="31293"/>
    <s v="profit"/>
  </r>
  <r>
    <x v="280"/>
    <s v="october"/>
    <s v="True Value Products"/>
    <x v="1"/>
    <x v="7"/>
    <x v="3"/>
    <s v="Female"/>
    <n v="57"/>
    <n v="734"/>
    <n v="979"/>
    <n v="41838"/>
    <n v="55803"/>
    <n v="13965"/>
    <s v="profit"/>
  </r>
  <r>
    <x v="156"/>
    <s v="december"/>
    <s v="Harmony Edge Solutions"/>
    <x v="1"/>
    <x v="7"/>
    <x v="1"/>
    <s v="Male"/>
    <n v="97"/>
    <n v="500"/>
    <n v="1417"/>
    <n v="48500"/>
    <n v="137449"/>
    <n v="88949"/>
    <s v="profit"/>
  </r>
  <r>
    <x v="281"/>
    <s v="october"/>
    <s v="Zenith Health Products"/>
    <x v="1"/>
    <x v="7"/>
    <x v="4"/>
    <s v="Male"/>
    <n v="60"/>
    <n v="937"/>
    <n v="948"/>
    <n v="56220"/>
    <n v="56880"/>
    <n v="660"/>
    <s v="profit"/>
  </r>
  <r>
    <x v="282"/>
    <s v="october"/>
    <s v="Stellar Wellness Products"/>
    <x v="1"/>
    <x v="1"/>
    <x v="17"/>
    <s v="Male"/>
    <n v="71"/>
    <n v="777"/>
    <n v="1034"/>
    <n v="55167"/>
    <n v="73414"/>
    <n v="18247"/>
    <s v="profit"/>
  </r>
  <r>
    <x v="283"/>
    <s v="october"/>
    <s v="Radiant Consulting Group"/>
    <x v="1"/>
    <x v="1"/>
    <x v="8"/>
    <s v="Male"/>
    <n v="52"/>
    <n v="509"/>
    <n v="764"/>
    <n v="26468"/>
    <n v="39728"/>
    <n v="13260"/>
    <s v="profit"/>
  </r>
  <r>
    <x v="284"/>
    <s v="october"/>
    <s v="Harmony Ventures Co."/>
    <x v="1"/>
    <x v="1"/>
    <x v="18"/>
    <s v="Female"/>
    <n v="66"/>
    <n v="701"/>
    <n v="1204"/>
    <n v="46266"/>
    <n v="79464"/>
    <n v="33198"/>
    <s v="profit"/>
  </r>
  <r>
    <x v="285"/>
    <s v="october"/>
    <s v="Urban Path Technologies"/>
    <x v="1"/>
    <x v="1"/>
    <x v="19"/>
    <s v="Male"/>
    <n v="97"/>
    <n v="654"/>
    <n v="839"/>
    <n v="63438"/>
    <n v="81383"/>
    <n v="17945"/>
    <s v="profit"/>
  </r>
  <r>
    <x v="286"/>
    <s v="november"/>
    <s v="Modern Vision Ventures"/>
    <x v="1"/>
    <x v="9"/>
    <x v="3"/>
    <s v="Female"/>
    <n v="63"/>
    <n v="833"/>
    <n v="1040"/>
    <n v="52479"/>
    <n v="65520"/>
    <n v="13041"/>
    <s v="profit"/>
  </r>
  <r>
    <x v="163"/>
    <s v="january"/>
    <s v="Pinnacle Media Solutions"/>
    <x v="0"/>
    <x v="0"/>
    <x v="15"/>
    <s v="Female"/>
    <n v="12"/>
    <n v="864"/>
    <n v="953"/>
    <n v="10368"/>
    <n v="11436"/>
    <n v="1068"/>
    <s v="profit"/>
  </r>
  <r>
    <x v="287"/>
    <s v="november"/>
    <s v="Elite Travel Services"/>
    <x v="1"/>
    <x v="9"/>
    <x v="15"/>
    <s v="Female"/>
    <n v="74"/>
    <n v="743"/>
    <n v="974"/>
    <n v="54982"/>
    <n v="72076"/>
    <n v="17094"/>
    <s v="profit"/>
  </r>
  <r>
    <x v="165"/>
    <s v="january"/>
    <s v="Radiant Tech Solutions"/>
    <x v="0"/>
    <x v="0"/>
    <x v="8"/>
    <s v="Female"/>
    <n v="13"/>
    <n v="839"/>
    <n v="1025"/>
    <n v="10907"/>
    <n v="13325"/>
    <n v="2418"/>
    <s v="profit"/>
  </r>
  <r>
    <x v="288"/>
    <s v="november"/>
    <s v="Crystal Innovations Group"/>
    <x v="1"/>
    <x v="9"/>
    <x v="8"/>
    <s v="Female"/>
    <n v="86"/>
    <n v="593"/>
    <n v="1425"/>
    <n v="50998"/>
    <n v="122550"/>
    <n v="71552"/>
    <s v="profit"/>
  </r>
  <r>
    <x v="167"/>
    <s v="january"/>
    <s v="Elite Creative Solutions"/>
    <x v="0"/>
    <x v="0"/>
    <x v="2"/>
    <s v="Female"/>
    <n v="11"/>
    <n v="944"/>
    <n v="949"/>
    <n v="10384"/>
    <n v="10439"/>
    <n v="55"/>
    <s v="profit"/>
  </r>
  <r>
    <x v="289"/>
    <s v="november"/>
    <s v="Pinnacle Fitness Studio"/>
    <x v="1"/>
    <x v="9"/>
    <x v="3"/>
    <s v="Female"/>
    <n v="92"/>
    <n v="609"/>
    <n v="792"/>
    <n v="56028"/>
    <n v="72864"/>
    <n v="16836"/>
    <s v="profit"/>
  </r>
  <r>
    <x v="290"/>
    <s v="november"/>
    <s v="Stellar Travel Agency"/>
    <x v="1"/>
    <x v="9"/>
    <x v="13"/>
    <s v="Female"/>
    <n v="96"/>
    <n v="674"/>
    <n v="1178"/>
    <n v="64704"/>
    <n v="113088"/>
    <n v="48384"/>
    <s v="profit"/>
  </r>
  <r>
    <x v="291"/>
    <s v="december"/>
    <s v="Apex Travel Ventures"/>
    <x v="1"/>
    <x v="5"/>
    <x v="0"/>
    <s v="Male"/>
    <n v="65"/>
    <n v="804"/>
    <n v="876"/>
    <n v="52260"/>
    <n v="56940"/>
    <n v="4680"/>
    <s v="profit"/>
  </r>
  <r>
    <x v="292"/>
    <s v="december"/>
    <s v="True Path Consulting"/>
    <x v="1"/>
    <x v="5"/>
    <x v="2"/>
    <s v="Female"/>
    <n v="83"/>
    <n v="541"/>
    <n v="1072"/>
    <n v="44903"/>
    <n v="88976"/>
    <n v="44073"/>
    <s v="profit"/>
  </r>
  <r>
    <x v="293"/>
    <s v="december"/>
    <s v="Legacy Finance Group"/>
    <x v="1"/>
    <x v="5"/>
    <x v="3"/>
    <s v="Female"/>
    <n v="89"/>
    <n v="545"/>
    <n v="978"/>
    <n v="48505"/>
    <n v="87042"/>
    <n v="38537"/>
    <s v="profit"/>
  </r>
  <r>
    <x v="294"/>
    <s v="december"/>
    <s v="Pinnacle Design Ventures"/>
    <x v="1"/>
    <x v="5"/>
    <x v="6"/>
    <s v="Female"/>
    <n v="80"/>
    <n v="671"/>
    <n v="1251"/>
    <n v="53680"/>
    <n v="100080"/>
    <n v="46400"/>
    <s v="profit"/>
  </r>
  <r>
    <x v="174"/>
    <s v="january"/>
    <s v="Pinnacle Design Solutions"/>
    <x v="1"/>
    <x v="7"/>
    <x v="12"/>
    <s v="Male"/>
    <n v="82"/>
    <n v="822"/>
    <n v="1445"/>
    <n v="67404"/>
    <n v="118490"/>
    <n v="51086"/>
    <s v="profit"/>
  </r>
  <r>
    <x v="295"/>
    <s v="december"/>
    <s v="Stellar Innovations Co."/>
    <x v="1"/>
    <x v="5"/>
    <x v="7"/>
    <s v="Female"/>
    <n v="68"/>
    <n v="815"/>
    <n v="808"/>
    <n v="55420"/>
    <n v="54944"/>
    <n v="-476"/>
    <s v="loss"/>
  </r>
  <r>
    <x v="296"/>
    <s v="december"/>
    <s v="Harmony Marketing Co."/>
    <x v="1"/>
    <x v="5"/>
    <x v="13"/>
    <s v="Female"/>
    <n v="88"/>
    <n v="674"/>
    <n v="891"/>
    <n v="59312"/>
    <n v="78408"/>
    <n v="19096"/>
    <s v="profit"/>
  </r>
  <r>
    <x v="297"/>
    <s v="december"/>
    <s v="Urban Tech Innovations"/>
    <x v="1"/>
    <x v="5"/>
    <x v="13"/>
    <s v="Female"/>
    <n v="64"/>
    <n v="665"/>
    <n v="783"/>
    <n v="42560"/>
    <n v="50112"/>
    <n v="7552"/>
    <s v="profit"/>
  </r>
  <r>
    <x v="298"/>
    <s v="december"/>
    <s v="Crystal Wellness Group"/>
    <x v="1"/>
    <x v="5"/>
    <x v="12"/>
    <s v="Female"/>
    <n v="81"/>
    <n v="801"/>
    <n v="846"/>
    <n v="64881"/>
    <n v="68526"/>
    <n v="3645"/>
    <s v="profit"/>
  </r>
  <r>
    <x v="299"/>
    <s v="december"/>
    <s v="Apex Media Co."/>
    <x v="1"/>
    <x v="5"/>
    <x v="5"/>
    <s v="Female"/>
    <n v="74"/>
    <n v="734"/>
    <n v="886"/>
    <n v="54316"/>
    <n v="65564"/>
    <n v="11248"/>
    <s v="profit"/>
  </r>
  <r>
    <x v="180"/>
    <s v="january"/>
    <s v="Pure Harmony Solutions"/>
    <x v="0"/>
    <x v="2"/>
    <x v="19"/>
    <s v="Female"/>
    <n v="10"/>
    <n v="519"/>
    <n v="1420"/>
    <n v="5190"/>
    <n v="14200"/>
    <n v="9010"/>
    <s v="profit"/>
  </r>
  <r>
    <x v="300"/>
    <s v="december"/>
    <s v="Legacy Health Ventures"/>
    <x v="1"/>
    <x v="7"/>
    <x v="8"/>
    <s v="Female"/>
    <n v="94"/>
    <n v="564"/>
    <n v="941"/>
    <n v="53016"/>
    <n v="88454"/>
    <n v="35438"/>
    <s v="profit"/>
  </r>
  <r>
    <x v="301"/>
    <s v="december"/>
    <s v="Pinnacle Spectrum Co."/>
    <x v="1"/>
    <x v="7"/>
    <x v="18"/>
    <s v="Female"/>
    <n v="50"/>
    <n v="545"/>
    <n v="1050"/>
    <n v="27250"/>
    <n v="52500"/>
    <n v="25250"/>
    <s v="profit"/>
  </r>
  <r>
    <x v="302"/>
    <s v="december"/>
    <s v="Stellar Travel Products"/>
    <x v="1"/>
    <x v="7"/>
    <x v="19"/>
    <s v="Female"/>
    <n v="60"/>
    <n v="783"/>
    <n v="1422"/>
    <n v="46980"/>
    <n v="85320"/>
    <n v="38340"/>
    <s v="profit"/>
  </r>
  <r>
    <x v="303"/>
    <s v="december"/>
    <s v="Radiance Finance Services"/>
    <x v="1"/>
    <x v="7"/>
    <x v="0"/>
    <s v="Female"/>
    <n v="63"/>
    <n v="746"/>
    <n v="1075"/>
    <n v="46998"/>
    <n v="67725"/>
    <n v="20727"/>
    <s v="profit"/>
  </r>
  <r>
    <x v="304"/>
    <s v="december"/>
    <s v="Modern Travel Agency"/>
    <x v="1"/>
    <x v="7"/>
    <x v="2"/>
    <s v="Male"/>
    <n v="86"/>
    <n v="834"/>
    <n v="1372"/>
    <n v="71724"/>
    <n v="117992"/>
    <n v="46268"/>
    <s v="profit"/>
  </r>
  <r>
    <x v="186"/>
    <s v="january"/>
    <s v="Zenith Path Solutions"/>
    <x v="0"/>
    <x v="2"/>
    <x v="4"/>
    <s v="Female"/>
    <n v="17"/>
    <n v="922"/>
    <n v="899"/>
    <n v="15674"/>
    <n v="15283"/>
    <n v="-391"/>
    <s v="loss"/>
  </r>
  <r>
    <x v="305"/>
    <s v="december"/>
    <s v="Crystal Path Consulting"/>
    <x v="1"/>
    <x v="7"/>
    <x v="3"/>
    <s v="Male"/>
    <n v="51"/>
    <n v="944"/>
    <n v="1062"/>
    <n v="48144"/>
    <n v="54162"/>
    <n v="6018"/>
    <s v="profit"/>
  </r>
  <r>
    <x v="306"/>
    <s v="december"/>
    <s v="Zenith Educational Services"/>
    <x v="1"/>
    <x v="7"/>
    <x v="3"/>
    <s v="Male"/>
    <n v="75"/>
    <n v="547"/>
    <n v="1203"/>
    <n v="41025"/>
    <n v="90225"/>
    <n v="49200"/>
    <s v="profit"/>
  </r>
  <r>
    <x v="307"/>
    <s v="december"/>
    <s v="Apex Innovations Co."/>
    <x v="1"/>
    <x v="7"/>
    <x v="4"/>
    <s v="Male"/>
    <n v="64"/>
    <n v="918"/>
    <n v="907"/>
    <n v="58752"/>
    <n v="58048"/>
    <n v="-704"/>
    <s v="loss"/>
  </r>
  <r>
    <x v="190"/>
    <s v="january"/>
    <s v="Legacy Media Solutions"/>
    <x v="0"/>
    <x v="2"/>
    <x v="5"/>
    <s v="Male"/>
    <n v="12"/>
    <n v="519"/>
    <n v="1212"/>
    <n v="6228"/>
    <n v="14544"/>
    <n v="8316"/>
    <s v="profit"/>
  </r>
  <r>
    <x v="308"/>
    <s v="january"/>
    <s v="Pure Harmony Health"/>
    <x v="1"/>
    <x v="7"/>
    <x v="5"/>
    <s v="Female"/>
    <n v="74"/>
    <n v="965"/>
    <n v="906"/>
    <n v="71410"/>
    <n v="67044"/>
    <n v="-4366"/>
    <s v="loss"/>
  </r>
  <r>
    <x v="309"/>
    <s v="january"/>
    <s v="Apex Travel Innovations"/>
    <x v="1"/>
    <x v="5"/>
    <x v="6"/>
    <s v="Male"/>
    <n v="100"/>
    <n v="667"/>
    <n v="1109"/>
    <n v="66700"/>
    <n v="110900"/>
    <n v="44200"/>
    <s v="profit"/>
  </r>
  <r>
    <x v="310"/>
    <s v="january"/>
    <s v="Modern Health Products"/>
    <x v="1"/>
    <x v="5"/>
    <x v="7"/>
    <s v="Male"/>
    <n v="60"/>
    <n v="509"/>
    <n v="954"/>
    <n v="30540"/>
    <n v="57240"/>
    <n v="26700"/>
    <s v="profit"/>
  </r>
  <r>
    <x v="311"/>
    <s v="january"/>
    <s v="Harmony Finance Group"/>
    <x v="1"/>
    <x v="5"/>
    <x v="7"/>
    <s v="Male"/>
    <n v="93"/>
    <n v="814"/>
    <n v="832"/>
    <n v="75702"/>
    <n v="77376"/>
    <n v="1674"/>
    <s v="profit"/>
  </r>
  <r>
    <x v="312"/>
    <s v="january"/>
    <s v="Pure Vision Consulting"/>
    <x v="1"/>
    <x v="5"/>
    <x v="13"/>
    <s v="Female"/>
    <n v="86"/>
    <n v="567"/>
    <n v="1491"/>
    <n v="48762"/>
    <n v="128226"/>
    <n v="79464"/>
    <s v="profit"/>
  </r>
  <r>
    <x v="313"/>
    <s v="january"/>
    <s v="Legacy Spectrum Co."/>
    <x v="1"/>
    <x v="5"/>
    <x v="13"/>
    <s v="Male"/>
    <n v="54"/>
    <n v="674"/>
    <n v="787"/>
    <n v="36396"/>
    <n v="42498"/>
    <n v="6102"/>
    <s v="profit"/>
  </r>
  <r>
    <x v="314"/>
    <s v="january"/>
    <s v="Stellar Media Services"/>
    <x v="1"/>
    <x v="7"/>
    <x v="7"/>
    <s v="Male"/>
    <n v="98"/>
    <n v="950"/>
    <n v="1426"/>
    <n v="93100"/>
    <n v="139748"/>
    <n v="46648"/>
    <s v="profit"/>
  </r>
  <r>
    <x v="315"/>
    <s v="january"/>
    <s v="Radiant Innovations Group"/>
    <x v="1"/>
    <x v="7"/>
    <x v="5"/>
    <s v="Male"/>
    <n v="82"/>
    <n v="916"/>
    <n v="1461"/>
    <n v="75112"/>
    <n v="119802"/>
    <n v="44690"/>
    <s v="profit"/>
  </r>
  <r>
    <x v="316"/>
    <s v="january"/>
    <s v="Horizon Path Ventures"/>
    <x v="1"/>
    <x v="7"/>
    <x v="17"/>
    <s v="Female"/>
    <n v="66"/>
    <n v="710"/>
    <n v="1034"/>
    <n v="46860"/>
    <n v="68244"/>
    <n v="21384"/>
    <s v="profit"/>
  </r>
  <r>
    <x v="317"/>
    <s v="january"/>
    <s v="Zenith Tech Co."/>
    <x v="1"/>
    <x v="7"/>
    <x v="8"/>
    <s v="Female"/>
    <n v="77"/>
    <n v="922"/>
    <n v="1400"/>
    <n v="70994"/>
    <n v="107800"/>
    <n v="36806"/>
    <s v="profit"/>
  </r>
  <r>
    <x v="195"/>
    <s v="february"/>
    <s v="Radiant Solutions Co."/>
    <x v="2"/>
    <x v="6"/>
    <x v="5"/>
    <s v="Female"/>
    <n v="22"/>
    <n v="745"/>
    <n v="1153"/>
    <n v="16390"/>
    <n v="25366"/>
    <n v="8976"/>
    <s v="profit"/>
  </r>
  <r>
    <x v="318"/>
    <s v="january"/>
    <s v="Apex Finance Ventures"/>
    <x v="1"/>
    <x v="7"/>
    <x v="18"/>
    <s v="Female"/>
    <n v="93"/>
    <n v="887"/>
    <n v="993"/>
    <n v="82491"/>
    <n v="92349"/>
    <n v="9858"/>
    <s v="profit"/>
  </r>
  <r>
    <x v="319"/>
    <s v="february"/>
    <s v="Zenith Wellness Co."/>
    <x v="1"/>
    <x v="5"/>
    <x v="7"/>
    <s v="Female"/>
    <n v="78"/>
    <n v="709"/>
    <n v="1494"/>
    <n v="55302"/>
    <n v="116532"/>
    <n v="61230"/>
    <s v="profit"/>
  </r>
  <r>
    <x v="320"/>
    <s v="february"/>
    <s v="Apex Design Services"/>
    <x v="1"/>
    <x v="5"/>
    <x v="7"/>
    <s v="Female"/>
    <n v="87"/>
    <n v="714"/>
    <n v="926"/>
    <n v="62118"/>
    <n v="80562"/>
    <n v="18444"/>
    <s v="profit"/>
  </r>
  <r>
    <x v="196"/>
    <s v="february"/>
    <s v="Modern Travel Solutions"/>
    <x v="1"/>
    <x v="5"/>
    <x v="13"/>
    <s v="Female"/>
    <n v="90"/>
    <n v="983"/>
    <n v="924"/>
    <n v="88470"/>
    <n v="83160"/>
    <n v="-5310"/>
    <s v="loss"/>
  </r>
  <r>
    <x v="321"/>
    <s v="february"/>
    <s v="Pure Health Ventures"/>
    <x v="1"/>
    <x v="5"/>
    <x v="13"/>
    <s v="Female"/>
    <n v="78"/>
    <n v="789"/>
    <n v="1064"/>
    <n v="61542"/>
    <n v="82992"/>
    <n v="21450"/>
    <s v="profit"/>
  </r>
  <r>
    <x v="322"/>
    <s v="february"/>
    <s v="Legacy Spectrum Group"/>
    <x v="1"/>
    <x v="5"/>
    <x v="12"/>
    <s v="Male"/>
    <n v="74"/>
    <n v="835"/>
    <n v="1096"/>
    <n v="61790"/>
    <n v="81104"/>
    <n v="19314"/>
    <s v="profit"/>
  </r>
  <r>
    <x v="323"/>
    <s v="february"/>
    <s v="Pinnacle Media Ventures"/>
    <x v="1"/>
    <x v="5"/>
    <x v="7"/>
    <s v="Male"/>
    <n v="94"/>
    <n v="952"/>
    <n v="1425"/>
    <n v="89488"/>
    <n v="133950"/>
    <n v="44462"/>
    <s v="profit"/>
  </r>
  <r>
    <x v="324"/>
    <s v="february"/>
    <s v="Stellar Innovations Group"/>
    <x v="1"/>
    <x v="5"/>
    <x v="5"/>
    <s v="Male"/>
    <n v="55"/>
    <n v="558"/>
    <n v="1203"/>
    <n v="30690"/>
    <n v="66165"/>
    <n v="35475"/>
    <s v="profit"/>
  </r>
  <r>
    <x v="325"/>
    <s v="february"/>
    <s v="Radiant Educational Co."/>
    <x v="1"/>
    <x v="5"/>
    <x v="17"/>
    <s v="Male"/>
    <n v="56"/>
    <n v="562"/>
    <n v="1341"/>
    <n v="31472"/>
    <n v="75096"/>
    <n v="43624"/>
    <s v="profit"/>
  </r>
  <r>
    <x v="326"/>
    <s v="february"/>
    <s v="Harmony Edge Ventures"/>
    <x v="1"/>
    <x v="5"/>
    <x v="8"/>
    <s v="Female"/>
    <n v="94"/>
    <n v="513"/>
    <n v="1318"/>
    <n v="48222"/>
    <n v="123892"/>
    <n v="75670"/>
    <s v="profit"/>
  </r>
  <r>
    <x v="197"/>
    <s v="february"/>
    <s v="Zenith Tech Solutions"/>
    <x v="1"/>
    <x v="5"/>
    <x v="18"/>
    <s v="Male"/>
    <n v="76"/>
    <n v="526"/>
    <n v="1260"/>
    <n v="39976"/>
    <n v="95760"/>
    <n v="55784"/>
    <s v="profit"/>
  </r>
  <r>
    <x v="327"/>
    <s v="february"/>
    <s v="Apex Finance Group"/>
    <x v="1"/>
    <x v="5"/>
    <x v="19"/>
    <s v="Male"/>
    <n v="61"/>
    <n v="545"/>
    <n v="915"/>
    <n v="33245"/>
    <n v="55815"/>
    <n v="22570"/>
    <s v="profit"/>
  </r>
  <r>
    <x v="328"/>
    <s v="february"/>
    <s v="Pure Harmony Media"/>
    <x v="1"/>
    <x v="5"/>
    <x v="0"/>
    <s v="Male"/>
    <n v="99"/>
    <n v="943"/>
    <n v="823"/>
    <n v="93357"/>
    <n v="81477"/>
    <n v="-11880"/>
    <s v="loss"/>
  </r>
  <r>
    <x v="329"/>
    <s v="february"/>
    <s v="Legacy Health Co."/>
    <x v="1"/>
    <x v="7"/>
    <x v="1"/>
    <s v="Male"/>
    <n v="84"/>
    <n v="738"/>
    <n v="1080"/>
    <n v="61992"/>
    <n v="90720"/>
    <n v="28728"/>
    <s v="prof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897A7B-58CF-43D6-BBD7-539590954322}" name="Category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3:Q25" firstHeaderRow="0" firstDataRow="1" firstDataCol="1"/>
  <pivotFields count="17">
    <pivotField numFmtId="164" showAll="0">
      <items count="332">
        <item x="78"/>
        <item x="79"/>
        <item x="80"/>
        <item x="82"/>
        <item x="198"/>
        <item x="199"/>
        <item x="6"/>
        <item x="200"/>
        <item x="83"/>
        <item x="84"/>
        <item x="85"/>
        <item x="87"/>
        <item x="12"/>
        <item x="88"/>
        <item x="201"/>
        <item x="202"/>
        <item x="203"/>
        <item x="204"/>
        <item x="205"/>
        <item x="206"/>
        <item x="207"/>
        <item x="90"/>
        <item x="22"/>
        <item x="92"/>
        <item x="24"/>
        <item x="94"/>
        <item x="95"/>
        <item x="96"/>
        <item x="97"/>
        <item x="98"/>
        <item x="99"/>
        <item x="100"/>
        <item x="101"/>
        <item x="102"/>
        <item x="103"/>
        <item x="104"/>
        <item x="106"/>
        <item x="107"/>
        <item x="109"/>
        <item x="110"/>
        <item x="111"/>
        <item x="112"/>
        <item x="114"/>
        <item x="115"/>
        <item x="116"/>
        <item x="118"/>
        <item x="120"/>
        <item x="121"/>
        <item x="208"/>
        <item x="49"/>
        <item x="209"/>
        <item x="210"/>
        <item x="211"/>
        <item x="212"/>
        <item x="213"/>
        <item x="214"/>
        <item x="215"/>
        <item x="216"/>
        <item x="58"/>
        <item x="217"/>
        <item x="218"/>
        <item x="219"/>
        <item x="220"/>
        <item x="221"/>
        <item x="222"/>
        <item x="223"/>
        <item x="224"/>
        <item x="225"/>
        <item x="226"/>
        <item x="227"/>
        <item x="228"/>
        <item x="0"/>
        <item x="1"/>
        <item x="2"/>
        <item x="3"/>
        <item x="63"/>
        <item x="4"/>
        <item x="5"/>
        <item x="229"/>
        <item x="230"/>
        <item x="231"/>
        <item x="64"/>
        <item x="232"/>
        <item x="233"/>
        <item x="234"/>
        <item x="235"/>
        <item x="236"/>
        <item x="237"/>
        <item x="238"/>
        <item x="7"/>
        <item x="8"/>
        <item x="9"/>
        <item x="65"/>
        <item x="10"/>
        <item x="11"/>
        <item x="13"/>
        <item x="14"/>
        <item x="15"/>
        <item x="16"/>
        <item x="17"/>
        <item x="18"/>
        <item x="122"/>
        <item x="123"/>
        <item x="124"/>
        <item x="125"/>
        <item x="66"/>
        <item x="126"/>
        <item x="127"/>
        <item x="128"/>
        <item x="130"/>
        <item x="131"/>
        <item x="133"/>
        <item x="239"/>
        <item x="240"/>
        <item x="241"/>
        <item x="242"/>
        <item x="243"/>
        <item x="244"/>
        <item x="245"/>
        <item x="246"/>
        <item x="247"/>
        <item x="248"/>
        <item x="249"/>
        <item x="250"/>
        <item x="67"/>
        <item x="251"/>
        <item x="252"/>
        <item x="19"/>
        <item x="20"/>
        <item x="68"/>
        <item x="21"/>
        <item x="23"/>
        <item x="25"/>
        <item x="26"/>
        <item x="134"/>
        <item x="135"/>
        <item x="136"/>
        <item x="69"/>
        <item x="138"/>
        <item x="139"/>
        <item x="141"/>
        <item x="142"/>
        <item x="143"/>
        <item x="70"/>
        <item x="144"/>
        <item x="253"/>
        <item x="254"/>
        <item x="255"/>
        <item x="256"/>
        <item x="257"/>
        <item x="258"/>
        <item x="259"/>
        <item x="71"/>
        <item x="260"/>
        <item x="261"/>
        <item x="262"/>
        <item x="263"/>
        <item x="72"/>
        <item x="264"/>
        <item x="265"/>
        <item x="27"/>
        <item x="28"/>
        <item x="29"/>
        <item x="30"/>
        <item x="31"/>
        <item x="32"/>
        <item x="73"/>
        <item x="33"/>
        <item x="34"/>
        <item x="35"/>
        <item x="36"/>
        <item x="74"/>
        <item x="266"/>
        <item x="267"/>
        <item x="268"/>
        <item x="269"/>
        <item x="270"/>
        <item x="271"/>
        <item x="272"/>
        <item x="37"/>
        <item x="75"/>
        <item x="38"/>
        <item x="76"/>
        <item x="39"/>
        <item x="40"/>
        <item x="41"/>
        <item x="273"/>
        <item x="274"/>
        <item x="77"/>
        <item x="275"/>
        <item x="276"/>
        <item x="277"/>
        <item x="278"/>
        <item x="279"/>
        <item x="280"/>
        <item x="81"/>
        <item x="281"/>
        <item x="42"/>
        <item x="43"/>
        <item x="44"/>
        <item x="86"/>
        <item x="45"/>
        <item x="46"/>
        <item x="89"/>
        <item x="47"/>
        <item x="91"/>
        <item x="146"/>
        <item x="93"/>
        <item x="147"/>
        <item x="282"/>
        <item x="283"/>
        <item x="284"/>
        <item x="285"/>
        <item x="148"/>
        <item x="150"/>
        <item x="152"/>
        <item x="153"/>
        <item x="154"/>
        <item x="155"/>
        <item x="105"/>
        <item x="286"/>
        <item x="287"/>
        <item x="108"/>
        <item x="288"/>
        <item x="289"/>
        <item x="290"/>
        <item x="157"/>
        <item x="113"/>
        <item x="158"/>
        <item x="159"/>
        <item x="160"/>
        <item x="117"/>
        <item x="161"/>
        <item x="119"/>
        <item x="162"/>
        <item x="164"/>
        <item x="166"/>
        <item x="168"/>
        <item x="169"/>
        <item x="170"/>
        <item x="171"/>
        <item x="172"/>
        <item x="173"/>
        <item x="129"/>
        <item x="175"/>
        <item x="176"/>
        <item x="132"/>
        <item x="177"/>
        <item x="178"/>
        <item x="179"/>
        <item x="181"/>
        <item x="137"/>
        <item x="182"/>
        <item x="291"/>
        <item x="140"/>
        <item x="292"/>
        <item x="293"/>
        <item x="294"/>
        <item x="295"/>
        <item x="145"/>
        <item x="296"/>
        <item x="297"/>
        <item x="298"/>
        <item x="149"/>
        <item x="299"/>
        <item x="151"/>
        <item x="300"/>
        <item x="301"/>
        <item x="302"/>
        <item x="303"/>
        <item x="156"/>
        <item x="304"/>
        <item x="305"/>
        <item x="306"/>
        <item x="307"/>
        <item x="308"/>
        <item x="48"/>
        <item x="163"/>
        <item x="50"/>
        <item x="165"/>
        <item x="51"/>
        <item x="167"/>
        <item x="52"/>
        <item x="309"/>
        <item x="310"/>
        <item x="311"/>
        <item x="312"/>
        <item x="313"/>
        <item x="174"/>
        <item x="314"/>
        <item x="315"/>
        <item x="316"/>
        <item x="317"/>
        <item x="318"/>
        <item x="180"/>
        <item x="53"/>
        <item x="54"/>
        <item x="55"/>
        <item x="56"/>
        <item x="57"/>
        <item x="186"/>
        <item x="59"/>
        <item x="60"/>
        <item x="61"/>
        <item x="190"/>
        <item x="62"/>
        <item x="183"/>
        <item x="184"/>
        <item x="185"/>
        <item x="187"/>
        <item x="188"/>
        <item x="189"/>
        <item x="191"/>
        <item x="192"/>
        <item x="193"/>
        <item x="195"/>
        <item x="194"/>
        <item x="319"/>
        <item x="320"/>
        <item x="196"/>
        <item x="321"/>
        <item x="322"/>
        <item x="323"/>
        <item x="324"/>
        <item x="325"/>
        <item x="326"/>
        <item x="197"/>
        <item x="327"/>
        <item x="328"/>
        <item x="329"/>
        <item x="330"/>
        <item t="default"/>
      </items>
    </pivotField>
    <pivotField showAll="0"/>
    <pivotField showAll="0"/>
    <pivotField showAll="0">
      <items count="4">
        <item x="0"/>
        <item x="2"/>
        <item x="1"/>
        <item t="default"/>
      </items>
    </pivotField>
    <pivotField axis="axisRow" showAll="0">
      <items count="12">
        <item x="0"/>
        <item x="10"/>
        <item x="8"/>
        <item x="2"/>
        <item x="6"/>
        <item x="9"/>
        <item x="5"/>
        <item x="3"/>
        <item x="7"/>
        <item x="4"/>
        <item x="1"/>
        <item t="default"/>
      </items>
    </pivotField>
    <pivotField showAll="0"/>
    <pivotField showAll="0"/>
    <pivotField showAll="0"/>
    <pivotField showAll="0"/>
    <pivotField showAll="0"/>
    <pivotField showAll="0"/>
    <pivotField dataField="1"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12">
    <i>
      <x/>
    </i>
    <i>
      <x v="1"/>
    </i>
    <i>
      <x v="2"/>
    </i>
    <i>
      <x v="3"/>
    </i>
    <i>
      <x v="4"/>
    </i>
    <i>
      <x v="5"/>
    </i>
    <i>
      <x v="6"/>
    </i>
    <i>
      <x v="7"/>
    </i>
    <i>
      <x v="8"/>
    </i>
    <i>
      <x v="9"/>
    </i>
    <i>
      <x v="10"/>
    </i>
    <i t="grand">
      <x/>
    </i>
  </rowItems>
  <colFields count="1">
    <field x="-2"/>
  </colFields>
  <colItems count="2">
    <i>
      <x/>
    </i>
    <i i="1">
      <x v="1"/>
    </i>
  </colItems>
  <dataFields count="2">
    <dataField name="Sum of Profit" fld="12" baseField="0" baseItem="0"/>
    <dataField name="Sum of Sale Price" fld="11"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B44A3E-FC4A-4B24-8538-1C7C47CE60E1}" name="Month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K13:M25" firstHeaderRow="0" firstDataRow="1" firstDataCol="1"/>
  <pivotFields count="17">
    <pivotField numFmtId="164" showAll="0">
      <items count="332">
        <item x="78"/>
        <item x="79"/>
        <item x="80"/>
        <item x="82"/>
        <item x="198"/>
        <item x="199"/>
        <item x="6"/>
        <item x="200"/>
        <item x="83"/>
        <item x="84"/>
        <item x="85"/>
        <item x="87"/>
        <item x="12"/>
        <item x="88"/>
        <item x="201"/>
        <item x="202"/>
        <item x="203"/>
        <item x="204"/>
        <item x="205"/>
        <item x="206"/>
        <item x="207"/>
        <item x="90"/>
        <item x="22"/>
        <item x="92"/>
        <item x="24"/>
        <item x="94"/>
        <item x="95"/>
        <item x="96"/>
        <item x="97"/>
        <item x="98"/>
        <item x="99"/>
        <item x="100"/>
        <item x="101"/>
        <item x="102"/>
        <item x="103"/>
        <item x="104"/>
        <item x="106"/>
        <item x="107"/>
        <item x="109"/>
        <item x="110"/>
        <item x="111"/>
        <item x="112"/>
        <item x="114"/>
        <item x="115"/>
        <item x="116"/>
        <item x="118"/>
        <item x="120"/>
        <item x="121"/>
        <item x="208"/>
        <item x="49"/>
        <item x="209"/>
        <item x="210"/>
        <item x="211"/>
        <item x="212"/>
        <item x="213"/>
        <item x="214"/>
        <item x="215"/>
        <item x="216"/>
        <item x="58"/>
        <item x="217"/>
        <item x="218"/>
        <item x="219"/>
        <item x="220"/>
        <item x="221"/>
        <item x="222"/>
        <item x="223"/>
        <item x="224"/>
        <item x="225"/>
        <item x="226"/>
        <item x="227"/>
        <item x="228"/>
        <item x="0"/>
        <item x="1"/>
        <item x="2"/>
        <item x="3"/>
        <item x="63"/>
        <item x="4"/>
        <item x="5"/>
        <item x="229"/>
        <item x="230"/>
        <item x="231"/>
        <item x="64"/>
        <item x="232"/>
        <item x="233"/>
        <item x="234"/>
        <item x="235"/>
        <item x="236"/>
        <item x="237"/>
        <item x="238"/>
        <item x="7"/>
        <item x="8"/>
        <item x="9"/>
        <item x="65"/>
        <item x="10"/>
        <item x="11"/>
        <item x="13"/>
        <item x="14"/>
        <item x="15"/>
        <item x="16"/>
        <item x="17"/>
        <item x="18"/>
        <item x="122"/>
        <item x="123"/>
        <item x="124"/>
        <item x="125"/>
        <item x="66"/>
        <item x="126"/>
        <item x="127"/>
        <item x="128"/>
        <item x="130"/>
        <item x="131"/>
        <item x="133"/>
        <item x="239"/>
        <item x="240"/>
        <item x="241"/>
        <item x="242"/>
        <item x="243"/>
        <item x="244"/>
        <item x="245"/>
        <item x="246"/>
        <item x="247"/>
        <item x="248"/>
        <item x="249"/>
        <item x="250"/>
        <item x="67"/>
        <item x="251"/>
        <item x="252"/>
        <item x="19"/>
        <item x="20"/>
        <item x="68"/>
        <item x="21"/>
        <item x="23"/>
        <item x="25"/>
        <item x="26"/>
        <item x="134"/>
        <item x="135"/>
        <item x="136"/>
        <item x="69"/>
        <item x="138"/>
        <item x="139"/>
        <item x="141"/>
        <item x="142"/>
        <item x="143"/>
        <item x="70"/>
        <item x="144"/>
        <item x="253"/>
        <item x="254"/>
        <item x="255"/>
        <item x="256"/>
        <item x="257"/>
        <item x="258"/>
        <item x="259"/>
        <item x="71"/>
        <item x="260"/>
        <item x="261"/>
        <item x="262"/>
        <item x="263"/>
        <item x="72"/>
        <item x="264"/>
        <item x="265"/>
        <item x="27"/>
        <item x="28"/>
        <item x="29"/>
        <item x="30"/>
        <item x="31"/>
        <item x="32"/>
        <item x="73"/>
        <item x="33"/>
        <item x="34"/>
        <item x="35"/>
        <item x="36"/>
        <item x="74"/>
        <item x="266"/>
        <item x="267"/>
        <item x="268"/>
        <item x="269"/>
        <item x="270"/>
        <item x="271"/>
        <item x="272"/>
        <item x="37"/>
        <item x="75"/>
        <item x="38"/>
        <item x="76"/>
        <item x="39"/>
        <item x="40"/>
        <item x="41"/>
        <item x="273"/>
        <item x="274"/>
        <item x="77"/>
        <item x="275"/>
        <item x="276"/>
        <item x="277"/>
        <item x="278"/>
        <item x="279"/>
        <item x="280"/>
        <item x="81"/>
        <item x="281"/>
        <item x="42"/>
        <item x="43"/>
        <item x="44"/>
        <item x="86"/>
        <item x="45"/>
        <item x="46"/>
        <item x="89"/>
        <item x="47"/>
        <item x="91"/>
        <item x="146"/>
        <item x="93"/>
        <item x="147"/>
        <item x="282"/>
        <item x="283"/>
        <item x="284"/>
        <item x="285"/>
        <item x="148"/>
        <item x="150"/>
        <item x="152"/>
        <item x="153"/>
        <item x="154"/>
        <item x="155"/>
        <item x="105"/>
        <item x="286"/>
        <item x="287"/>
        <item x="108"/>
        <item x="288"/>
        <item x="289"/>
        <item x="290"/>
        <item x="157"/>
        <item x="113"/>
        <item x="158"/>
        <item x="159"/>
        <item x="160"/>
        <item x="117"/>
        <item x="161"/>
        <item x="119"/>
        <item x="162"/>
        <item x="164"/>
        <item x="166"/>
        <item x="168"/>
        <item x="169"/>
        <item x="170"/>
        <item x="171"/>
        <item x="172"/>
        <item x="173"/>
        <item x="129"/>
        <item x="175"/>
        <item x="176"/>
        <item x="132"/>
        <item x="177"/>
        <item x="178"/>
        <item x="179"/>
        <item x="181"/>
        <item x="137"/>
        <item x="182"/>
        <item x="291"/>
        <item x="140"/>
        <item x="292"/>
        <item x="293"/>
        <item x="294"/>
        <item x="295"/>
        <item x="145"/>
        <item x="296"/>
        <item x="297"/>
        <item x="298"/>
        <item x="149"/>
        <item x="299"/>
        <item x="151"/>
        <item x="300"/>
        <item x="301"/>
        <item x="302"/>
        <item x="303"/>
        <item x="156"/>
        <item x="304"/>
        <item x="305"/>
        <item x="306"/>
        <item x="307"/>
        <item x="308"/>
        <item x="48"/>
        <item x="163"/>
        <item x="50"/>
        <item x="165"/>
        <item x="51"/>
        <item x="167"/>
        <item x="52"/>
        <item x="309"/>
        <item x="310"/>
        <item x="311"/>
        <item x="312"/>
        <item x="313"/>
        <item x="174"/>
        <item x="314"/>
        <item x="315"/>
        <item x="316"/>
        <item x="317"/>
        <item x="318"/>
        <item x="180"/>
        <item x="53"/>
        <item x="54"/>
        <item x="55"/>
        <item x="56"/>
        <item x="57"/>
        <item x="186"/>
        <item x="59"/>
        <item x="60"/>
        <item x="61"/>
        <item x="190"/>
        <item x="62"/>
        <item x="183"/>
        <item x="184"/>
        <item x="185"/>
        <item x="187"/>
        <item x="188"/>
        <item x="189"/>
        <item x="191"/>
        <item x="192"/>
        <item x="193"/>
        <item x="195"/>
        <item x="194"/>
        <item x="319"/>
        <item x="320"/>
        <item x="196"/>
        <item x="321"/>
        <item x="322"/>
        <item x="323"/>
        <item x="324"/>
        <item x="325"/>
        <item x="326"/>
        <item x="197"/>
        <item x="327"/>
        <item x="328"/>
        <item x="329"/>
        <item x="330"/>
        <item t="default"/>
      </items>
    </pivotField>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dataField="1"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2">
    <i>
      <x v="1"/>
    </i>
    <i>
      <x v="2"/>
    </i>
    <i>
      <x v="4"/>
    </i>
    <i>
      <x v="5"/>
    </i>
    <i>
      <x v="6"/>
    </i>
    <i>
      <x v="7"/>
    </i>
    <i>
      <x v="8"/>
    </i>
    <i>
      <x v="9"/>
    </i>
    <i>
      <x v="10"/>
    </i>
    <i>
      <x v="11"/>
    </i>
    <i>
      <x v="12"/>
    </i>
    <i t="grand">
      <x/>
    </i>
  </rowItems>
  <colFields count="1">
    <field x="-2"/>
  </colFields>
  <colItems count="2">
    <i>
      <x/>
    </i>
    <i i="1">
      <x v="1"/>
    </i>
  </colItems>
  <dataFields count="2">
    <dataField name="Sum of Profit" fld="12" baseField="0" baseItem="0"/>
    <dataField name="Sum of Sale Price" fld="11" showDataAs="percentOfTotal" baseField="0" baseItem="0" numFmtId="10"/>
  </dataFields>
  <chartFormats count="5">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pivotArea type="data" outline="0" fieldPosition="0">
        <references count="2">
          <reference field="4294967294" count="1" selected="0">
            <x v="1"/>
          </reference>
          <reference field="14" count="1" selected="0">
            <x v="1"/>
          </reference>
        </references>
      </pivotArea>
    </chartFormat>
    <chartFormat chart="25" format="5"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21A029-92F3-4DD9-9D37-972083C72A23}" name="Total Profit" cacheId="0" applyNumberFormats="0" applyBorderFormats="0" applyFontFormats="0" applyPatternFormats="0" applyAlignmentFormats="0" applyWidthHeightFormats="1" dataCaption="Values" updatedVersion="8" minRefreshableVersion="3" useAutoFormatting="1" pageOverThenDown="1" itemPrintTitles="1" createdVersion="8" indent="0" outline="1" outlineData="1" multipleFieldFilters="0" chartFormat="4">
  <location ref="H13:I17" firstHeaderRow="1" firstDataRow="1" firstDataCol="1"/>
  <pivotFields count="17">
    <pivotField numFmtId="164" showAll="0">
      <items count="332">
        <item x="78"/>
        <item x="79"/>
        <item x="80"/>
        <item x="82"/>
        <item x="198"/>
        <item x="199"/>
        <item x="6"/>
        <item x="200"/>
        <item x="83"/>
        <item x="84"/>
        <item x="85"/>
        <item x="87"/>
        <item x="12"/>
        <item x="88"/>
        <item x="201"/>
        <item x="202"/>
        <item x="203"/>
        <item x="204"/>
        <item x="205"/>
        <item x="206"/>
        <item x="207"/>
        <item x="90"/>
        <item x="22"/>
        <item x="92"/>
        <item x="24"/>
        <item x="94"/>
        <item x="95"/>
        <item x="96"/>
        <item x="97"/>
        <item x="98"/>
        <item x="99"/>
        <item x="100"/>
        <item x="101"/>
        <item x="102"/>
        <item x="103"/>
        <item x="104"/>
        <item x="106"/>
        <item x="107"/>
        <item x="109"/>
        <item x="110"/>
        <item x="111"/>
        <item x="112"/>
        <item x="114"/>
        <item x="115"/>
        <item x="116"/>
        <item x="118"/>
        <item x="120"/>
        <item x="121"/>
        <item x="208"/>
        <item x="49"/>
        <item x="209"/>
        <item x="210"/>
        <item x="211"/>
        <item x="212"/>
        <item x="213"/>
        <item x="214"/>
        <item x="215"/>
        <item x="216"/>
        <item x="58"/>
        <item x="217"/>
        <item x="218"/>
        <item x="219"/>
        <item x="220"/>
        <item x="221"/>
        <item x="222"/>
        <item x="223"/>
        <item x="224"/>
        <item x="225"/>
        <item x="226"/>
        <item x="227"/>
        <item x="228"/>
        <item x="0"/>
        <item x="1"/>
        <item x="2"/>
        <item x="3"/>
        <item x="63"/>
        <item x="4"/>
        <item x="5"/>
        <item x="229"/>
        <item x="230"/>
        <item x="231"/>
        <item x="64"/>
        <item x="232"/>
        <item x="233"/>
        <item x="234"/>
        <item x="235"/>
        <item x="236"/>
        <item x="237"/>
        <item x="238"/>
        <item x="7"/>
        <item x="8"/>
        <item x="9"/>
        <item x="65"/>
        <item x="10"/>
        <item x="11"/>
        <item x="13"/>
        <item x="14"/>
        <item x="15"/>
        <item x="16"/>
        <item x="17"/>
        <item x="18"/>
        <item x="122"/>
        <item x="123"/>
        <item x="124"/>
        <item x="125"/>
        <item x="66"/>
        <item x="126"/>
        <item x="127"/>
        <item x="128"/>
        <item x="130"/>
        <item x="131"/>
        <item x="133"/>
        <item x="239"/>
        <item x="240"/>
        <item x="241"/>
        <item x="242"/>
        <item x="243"/>
        <item x="244"/>
        <item x="245"/>
        <item x="246"/>
        <item x="247"/>
        <item x="248"/>
        <item x="249"/>
        <item x="250"/>
        <item x="67"/>
        <item x="251"/>
        <item x="252"/>
        <item x="19"/>
        <item x="20"/>
        <item x="68"/>
        <item x="21"/>
        <item x="23"/>
        <item x="25"/>
        <item x="26"/>
        <item x="134"/>
        <item x="135"/>
        <item x="136"/>
        <item x="69"/>
        <item x="138"/>
        <item x="139"/>
        <item x="141"/>
        <item x="142"/>
        <item x="143"/>
        <item x="70"/>
        <item x="144"/>
        <item x="253"/>
        <item x="254"/>
        <item x="255"/>
        <item x="256"/>
        <item x="257"/>
        <item x="258"/>
        <item x="259"/>
        <item x="71"/>
        <item x="260"/>
        <item x="261"/>
        <item x="262"/>
        <item x="263"/>
        <item x="72"/>
        <item x="264"/>
        <item x="265"/>
        <item x="27"/>
        <item x="28"/>
        <item x="29"/>
        <item x="30"/>
        <item x="31"/>
        <item x="32"/>
        <item x="73"/>
        <item x="33"/>
        <item x="34"/>
        <item x="35"/>
        <item x="36"/>
        <item x="74"/>
        <item x="266"/>
        <item x="267"/>
        <item x="268"/>
        <item x="269"/>
        <item x="270"/>
        <item x="271"/>
        <item x="272"/>
        <item x="37"/>
        <item x="75"/>
        <item x="38"/>
        <item x="76"/>
        <item x="39"/>
        <item x="40"/>
        <item x="41"/>
        <item x="273"/>
        <item x="274"/>
        <item x="77"/>
        <item x="275"/>
        <item x="276"/>
        <item x="277"/>
        <item x="278"/>
        <item x="279"/>
        <item x="280"/>
        <item x="81"/>
        <item x="281"/>
        <item x="42"/>
        <item x="43"/>
        <item x="44"/>
        <item x="86"/>
        <item x="45"/>
        <item x="46"/>
        <item x="89"/>
        <item x="47"/>
        <item x="91"/>
        <item x="146"/>
        <item x="93"/>
        <item x="147"/>
        <item x="282"/>
        <item x="283"/>
        <item x="284"/>
        <item x="285"/>
        <item x="148"/>
        <item x="150"/>
        <item x="152"/>
        <item x="153"/>
        <item x="154"/>
        <item x="155"/>
        <item x="105"/>
        <item x="286"/>
        <item x="287"/>
        <item x="108"/>
        <item x="288"/>
        <item x="289"/>
        <item x="290"/>
        <item x="157"/>
        <item x="113"/>
        <item x="158"/>
        <item x="159"/>
        <item x="160"/>
        <item x="117"/>
        <item x="161"/>
        <item x="119"/>
        <item x="162"/>
        <item x="164"/>
        <item x="166"/>
        <item x="168"/>
        <item x="169"/>
        <item x="170"/>
        <item x="171"/>
        <item x="172"/>
        <item x="173"/>
        <item x="129"/>
        <item x="175"/>
        <item x="176"/>
        <item x="132"/>
        <item x="177"/>
        <item x="178"/>
        <item x="179"/>
        <item x="181"/>
        <item x="137"/>
        <item x="182"/>
        <item x="291"/>
        <item x="140"/>
        <item x="292"/>
        <item x="293"/>
        <item x="294"/>
        <item x="295"/>
        <item x="145"/>
        <item x="296"/>
        <item x="297"/>
        <item x="298"/>
        <item x="149"/>
        <item x="299"/>
        <item x="151"/>
        <item x="300"/>
        <item x="301"/>
        <item x="302"/>
        <item x="303"/>
        <item x="156"/>
        <item x="304"/>
        <item x="305"/>
        <item x="306"/>
        <item x="307"/>
        <item x="308"/>
        <item x="48"/>
        <item x="163"/>
        <item x="50"/>
        <item x="165"/>
        <item x="51"/>
        <item x="167"/>
        <item x="52"/>
        <item x="309"/>
        <item x="310"/>
        <item x="311"/>
        <item x="312"/>
        <item x="313"/>
        <item x="174"/>
        <item x="314"/>
        <item x="315"/>
        <item x="316"/>
        <item x="317"/>
        <item x="318"/>
        <item x="180"/>
        <item x="53"/>
        <item x="54"/>
        <item x="55"/>
        <item x="56"/>
        <item x="57"/>
        <item x="186"/>
        <item x="59"/>
        <item x="60"/>
        <item x="61"/>
        <item x="190"/>
        <item x="62"/>
        <item x="183"/>
        <item x="184"/>
        <item x="185"/>
        <item x="187"/>
        <item x="188"/>
        <item x="189"/>
        <item x="191"/>
        <item x="192"/>
        <item x="193"/>
        <item x="195"/>
        <item x="194"/>
        <item x="319"/>
        <item x="320"/>
        <item x="196"/>
        <item x="321"/>
        <item x="322"/>
        <item x="323"/>
        <item x="324"/>
        <item x="325"/>
        <item x="326"/>
        <item x="197"/>
        <item x="327"/>
        <item x="328"/>
        <item x="329"/>
        <item x="330"/>
        <item t="default"/>
      </items>
    </pivotField>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4">
    <i>
      <x/>
    </i>
    <i>
      <x v="1"/>
    </i>
    <i>
      <x v="2"/>
    </i>
    <i t="grand">
      <x/>
    </i>
  </rowItems>
  <colItems count="1">
    <i/>
  </colItems>
  <dataFields count="1">
    <dataField name="Sum of Profit" fld="12"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3" count="1" selected="0">
            <x v="0"/>
          </reference>
        </references>
      </pivotArea>
    </chartFormat>
    <chartFormat chart="3" format="10">
      <pivotArea type="data" outline="0" fieldPosition="0">
        <references count="2">
          <reference field="4294967294" count="1" selected="0">
            <x v="0"/>
          </reference>
          <reference field="3" count="1" selected="0">
            <x v="1"/>
          </reference>
        </references>
      </pivotArea>
    </chartFormat>
    <chartFormat chart="3"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7B6DF1-D646-4647-AE49-5705C16809FB}" name="Total Purcha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3:F17" firstHeaderRow="1" firstDataRow="1" firstDataCol="1"/>
  <pivotFields count="17">
    <pivotField numFmtId="164" showAll="0">
      <items count="332">
        <item x="78"/>
        <item x="79"/>
        <item x="80"/>
        <item x="82"/>
        <item x="198"/>
        <item x="199"/>
        <item x="6"/>
        <item x="200"/>
        <item x="83"/>
        <item x="84"/>
        <item x="85"/>
        <item x="87"/>
        <item x="12"/>
        <item x="88"/>
        <item x="201"/>
        <item x="202"/>
        <item x="203"/>
        <item x="204"/>
        <item x="205"/>
        <item x="206"/>
        <item x="207"/>
        <item x="90"/>
        <item x="22"/>
        <item x="92"/>
        <item x="24"/>
        <item x="94"/>
        <item x="95"/>
        <item x="96"/>
        <item x="97"/>
        <item x="98"/>
        <item x="99"/>
        <item x="100"/>
        <item x="101"/>
        <item x="102"/>
        <item x="103"/>
        <item x="104"/>
        <item x="106"/>
        <item x="107"/>
        <item x="109"/>
        <item x="110"/>
        <item x="111"/>
        <item x="112"/>
        <item x="114"/>
        <item x="115"/>
        <item x="116"/>
        <item x="118"/>
        <item x="120"/>
        <item x="121"/>
        <item x="208"/>
        <item x="49"/>
        <item x="209"/>
        <item x="210"/>
        <item x="211"/>
        <item x="212"/>
        <item x="213"/>
        <item x="214"/>
        <item x="215"/>
        <item x="216"/>
        <item x="58"/>
        <item x="217"/>
        <item x="218"/>
        <item x="219"/>
        <item x="220"/>
        <item x="221"/>
        <item x="222"/>
        <item x="223"/>
        <item x="224"/>
        <item x="225"/>
        <item x="226"/>
        <item x="227"/>
        <item x="228"/>
        <item x="0"/>
        <item x="1"/>
        <item x="2"/>
        <item x="3"/>
        <item x="63"/>
        <item x="4"/>
        <item x="5"/>
        <item x="229"/>
        <item x="230"/>
        <item x="231"/>
        <item x="64"/>
        <item x="232"/>
        <item x="233"/>
        <item x="234"/>
        <item x="235"/>
        <item x="236"/>
        <item x="237"/>
        <item x="238"/>
        <item x="7"/>
        <item x="8"/>
        <item x="9"/>
        <item x="65"/>
        <item x="10"/>
        <item x="11"/>
        <item x="13"/>
        <item x="14"/>
        <item x="15"/>
        <item x="16"/>
        <item x="17"/>
        <item x="18"/>
        <item x="122"/>
        <item x="123"/>
        <item x="124"/>
        <item x="125"/>
        <item x="66"/>
        <item x="126"/>
        <item x="127"/>
        <item x="128"/>
        <item x="130"/>
        <item x="131"/>
        <item x="133"/>
        <item x="239"/>
        <item x="240"/>
        <item x="241"/>
        <item x="242"/>
        <item x="243"/>
        <item x="244"/>
        <item x="245"/>
        <item x="246"/>
        <item x="247"/>
        <item x="248"/>
        <item x="249"/>
        <item x="250"/>
        <item x="67"/>
        <item x="251"/>
        <item x="252"/>
        <item x="19"/>
        <item x="20"/>
        <item x="68"/>
        <item x="21"/>
        <item x="23"/>
        <item x="25"/>
        <item x="26"/>
        <item x="134"/>
        <item x="135"/>
        <item x="136"/>
        <item x="69"/>
        <item x="138"/>
        <item x="139"/>
        <item x="141"/>
        <item x="142"/>
        <item x="143"/>
        <item x="70"/>
        <item x="144"/>
        <item x="253"/>
        <item x="254"/>
        <item x="255"/>
        <item x="256"/>
        <item x="257"/>
        <item x="258"/>
        <item x="259"/>
        <item x="71"/>
        <item x="260"/>
        <item x="261"/>
        <item x="262"/>
        <item x="263"/>
        <item x="72"/>
        <item x="264"/>
        <item x="265"/>
        <item x="27"/>
        <item x="28"/>
        <item x="29"/>
        <item x="30"/>
        <item x="31"/>
        <item x="32"/>
        <item x="73"/>
        <item x="33"/>
        <item x="34"/>
        <item x="35"/>
        <item x="36"/>
        <item x="74"/>
        <item x="266"/>
        <item x="267"/>
        <item x="268"/>
        <item x="269"/>
        <item x="270"/>
        <item x="271"/>
        <item x="272"/>
        <item x="37"/>
        <item x="75"/>
        <item x="38"/>
        <item x="76"/>
        <item x="39"/>
        <item x="40"/>
        <item x="41"/>
        <item x="273"/>
        <item x="274"/>
        <item x="77"/>
        <item x="275"/>
        <item x="276"/>
        <item x="277"/>
        <item x="278"/>
        <item x="279"/>
        <item x="280"/>
        <item x="81"/>
        <item x="281"/>
        <item x="42"/>
        <item x="43"/>
        <item x="44"/>
        <item x="86"/>
        <item x="45"/>
        <item x="46"/>
        <item x="89"/>
        <item x="47"/>
        <item x="91"/>
        <item x="146"/>
        <item x="93"/>
        <item x="147"/>
        <item x="282"/>
        <item x="283"/>
        <item x="284"/>
        <item x="285"/>
        <item x="148"/>
        <item x="150"/>
        <item x="152"/>
        <item x="153"/>
        <item x="154"/>
        <item x="155"/>
        <item x="105"/>
        <item x="286"/>
        <item x="287"/>
        <item x="108"/>
        <item x="288"/>
        <item x="289"/>
        <item x="290"/>
        <item x="157"/>
        <item x="113"/>
        <item x="158"/>
        <item x="159"/>
        <item x="160"/>
        <item x="117"/>
        <item x="161"/>
        <item x="119"/>
        <item x="162"/>
        <item x="164"/>
        <item x="166"/>
        <item x="168"/>
        <item x="169"/>
        <item x="170"/>
        <item x="171"/>
        <item x="172"/>
        <item x="173"/>
        <item x="129"/>
        <item x="175"/>
        <item x="176"/>
        <item x="132"/>
        <item x="177"/>
        <item x="178"/>
        <item x="179"/>
        <item x="181"/>
        <item x="137"/>
        <item x="182"/>
        <item x="291"/>
        <item x="140"/>
        <item x="292"/>
        <item x="293"/>
        <item x="294"/>
        <item x="295"/>
        <item x="145"/>
        <item x="296"/>
        <item x="297"/>
        <item x="298"/>
        <item x="149"/>
        <item x="299"/>
        <item x="151"/>
        <item x="300"/>
        <item x="301"/>
        <item x="302"/>
        <item x="303"/>
        <item x="156"/>
        <item x="304"/>
        <item x="305"/>
        <item x="306"/>
        <item x="307"/>
        <item x="308"/>
        <item x="48"/>
        <item x="163"/>
        <item x="50"/>
        <item x="165"/>
        <item x="51"/>
        <item x="167"/>
        <item x="52"/>
        <item x="309"/>
        <item x="310"/>
        <item x="311"/>
        <item x="312"/>
        <item x="313"/>
        <item x="174"/>
        <item x="314"/>
        <item x="315"/>
        <item x="316"/>
        <item x="317"/>
        <item x="318"/>
        <item x="180"/>
        <item x="53"/>
        <item x="54"/>
        <item x="55"/>
        <item x="56"/>
        <item x="57"/>
        <item x="186"/>
        <item x="59"/>
        <item x="60"/>
        <item x="61"/>
        <item x="190"/>
        <item x="62"/>
        <item x="183"/>
        <item x="184"/>
        <item x="185"/>
        <item x="187"/>
        <item x="188"/>
        <item x="189"/>
        <item x="191"/>
        <item x="192"/>
        <item x="193"/>
        <item x="195"/>
        <item x="194"/>
        <item x="319"/>
        <item x="320"/>
        <item x="196"/>
        <item x="321"/>
        <item x="322"/>
        <item x="323"/>
        <item x="324"/>
        <item x="325"/>
        <item x="326"/>
        <item x="197"/>
        <item x="327"/>
        <item x="328"/>
        <item x="329"/>
        <item x="330"/>
        <item t="default"/>
      </items>
    </pivotField>
    <pivotField showAll="0"/>
    <pivotField showAll="0"/>
    <pivotField axis="axisRow" showAll="0">
      <items count="4">
        <item x="0"/>
        <item x="2"/>
        <item x="1"/>
        <item t="default"/>
      </items>
    </pivotField>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4">
    <i>
      <x/>
    </i>
    <i>
      <x v="1"/>
    </i>
    <i>
      <x v="2"/>
    </i>
    <i t="grand">
      <x/>
    </i>
  </rowItems>
  <colItems count="1">
    <i/>
  </colItems>
  <dataFields count="1">
    <dataField name="Sum of Purchase Cost" fld="10"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3" count="1" selected="0">
            <x v="0"/>
          </reference>
        </references>
      </pivotArea>
    </chartFormat>
    <chartFormat chart="4" format="10">
      <pivotArea type="data" outline="0" fieldPosition="0">
        <references count="2">
          <reference field="4294967294" count="1" selected="0">
            <x v="0"/>
          </reference>
          <reference field="3" count="1" selected="0">
            <x v="1"/>
          </reference>
        </references>
      </pivotArea>
    </chartFormat>
    <chartFormat chart="4"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338BC7-42F5-4F5F-B5DF-BC896BBEBF8C}" name="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13:C17" firstHeaderRow="1" firstDataRow="1" firstDataCol="1"/>
  <pivotFields count="17">
    <pivotField numFmtId="164" showAll="0">
      <items count="332">
        <item x="78"/>
        <item x="79"/>
        <item x="80"/>
        <item x="82"/>
        <item x="198"/>
        <item x="199"/>
        <item x="6"/>
        <item x="200"/>
        <item x="83"/>
        <item x="84"/>
        <item x="85"/>
        <item x="87"/>
        <item x="12"/>
        <item x="88"/>
        <item x="201"/>
        <item x="202"/>
        <item x="203"/>
        <item x="204"/>
        <item x="205"/>
        <item x="206"/>
        <item x="207"/>
        <item x="90"/>
        <item x="22"/>
        <item x="92"/>
        <item x="24"/>
        <item x="94"/>
        <item x="95"/>
        <item x="96"/>
        <item x="97"/>
        <item x="98"/>
        <item x="99"/>
        <item x="100"/>
        <item x="101"/>
        <item x="102"/>
        <item x="103"/>
        <item x="104"/>
        <item x="106"/>
        <item x="107"/>
        <item x="109"/>
        <item x="110"/>
        <item x="111"/>
        <item x="112"/>
        <item x="114"/>
        <item x="115"/>
        <item x="116"/>
        <item x="118"/>
        <item x="120"/>
        <item x="121"/>
        <item x="208"/>
        <item x="49"/>
        <item x="209"/>
        <item x="210"/>
        <item x="211"/>
        <item x="212"/>
        <item x="213"/>
        <item x="214"/>
        <item x="215"/>
        <item x="216"/>
        <item x="58"/>
        <item x="217"/>
        <item x="218"/>
        <item x="219"/>
        <item x="220"/>
        <item x="221"/>
        <item x="222"/>
        <item x="223"/>
        <item x="224"/>
        <item x="225"/>
        <item x="226"/>
        <item x="227"/>
        <item x="228"/>
        <item x="0"/>
        <item x="1"/>
        <item x="2"/>
        <item x="3"/>
        <item x="63"/>
        <item x="4"/>
        <item x="5"/>
        <item x="229"/>
        <item x="230"/>
        <item x="231"/>
        <item x="64"/>
        <item x="232"/>
        <item x="233"/>
        <item x="234"/>
        <item x="235"/>
        <item x="236"/>
        <item x="237"/>
        <item x="238"/>
        <item x="7"/>
        <item x="8"/>
        <item x="9"/>
        <item x="65"/>
        <item x="10"/>
        <item x="11"/>
        <item x="13"/>
        <item x="14"/>
        <item x="15"/>
        <item x="16"/>
        <item x="17"/>
        <item x="18"/>
        <item x="122"/>
        <item x="123"/>
        <item x="124"/>
        <item x="125"/>
        <item x="66"/>
        <item x="126"/>
        <item x="127"/>
        <item x="128"/>
        <item x="130"/>
        <item x="131"/>
        <item x="133"/>
        <item x="239"/>
        <item x="240"/>
        <item x="241"/>
        <item x="242"/>
        <item x="243"/>
        <item x="244"/>
        <item x="245"/>
        <item x="246"/>
        <item x="247"/>
        <item x="248"/>
        <item x="249"/>
        <item x="250"/>
        <item x="67"/>
        <item x="251"/>
        <item x="252"/>
        <item x="19"/>
        <item x="20"/>
        <item x="68"/>
        <item x="21"/>
        <item x="23"/>
        <item x="25"/>
        <item x="26"/>
        <item x="134"/>
        <item x="135"/>
        <item x="136"/>
        <item x="69"/>
        <item x="138"/>
        <item x="139"/>
        <item x="141"/>
        <item x="142"/>
        <item x="143"/>
        <item x="70"/>
        <item x="144"/>
        <item x="253"/>
        <item x="254"/>
        <item x="255"/>
        <item x="256"/>
        <item x="257"/>
        <item x="258"/>
        <item x="259"/>
        <item x="71"/>
        <item x="260"/>
        <item x="261"/>
        <item x="262"/>
        <item x="263"/>
        <item x="72"/>
        <item x="264"/>
        <item x="265"/>
        <item x="27"/>
        <item x="28"/>
        <item x="29"/>
        <item x="30"/>
        <item x="31"/>
        <item x="32"/>
        <item x="73"/>
        <item x="33"/>
        <item x="34"/>
        <item x="35"/>
        <item x="36"/>
        <item x="74"/>
        <item x="266"/>
        <item x="267"/>
        <item x="268"/>
        <item x="269"/>
        <item x="270"/>
        <item x="271"/>
        <item x="272"/>
        <item x="37"/>
        <item x="75"/>
        <item x="38"/>
        <item x="76"/>
        <item x="39"/>
        <item x="40"/>
        <item x="41"/>
        <item x="273"/>
        <item x="274"/>
        <item x="77"/>
        <item x="275"/>
        <item x="276"/>
        <item x="277"/>
        <item x="278"/>
        <item x="279"/>
        <item x="280"/>
        <item x="81"/>
        <item x="281"/>
        <item x="42"/>
        <item x="43"/>
        <item x="44"/>
        <item x="86"/>
        <item x="45"/>
        <item x="46"/>
        <item x="89"/>
        <item x="47"/>
        <item x="91"/>
        <item x="146"/>
        <item x="93"/>
        <item x="147"/>
        <item x="282"/>
        <item x="283"/>
        <item x="284"/>
        <item x="285"/>
        <item x="148"/>
        <item x="150"/>
        <item x="152"/>
        <item x="153"/>
        <item x="154"/>
        <item x="155"/>
        <item x="105"/>
        <item x="286"/>
        <item x="287"/>
        <item x="108"/>
        <item x="288"/>
        <item x="289"/>
        <item x="290"/>
        <item x="157"/>
        <item x="113"/>
        <item x="158"/>
        <item x="159"/>
        <item x="160"/>
        <item x="117"/>
        <item x="161"/>
        <item x="119"/>
        <item x="162"/>
        <item x="164"/>
        <item x="166"/>
        <item x="168"/>
        <item x="169"/>
        <item x="170"/>
        <item x="171"/>
        <item x="172"/>
        <item x="173"/>
        <item x="129"/>
        <item x="175"/>
        <item x="176"/>
        <item x="132"/>
        <item x="177"/>
        <item x="178"/>
        <item x="179"/>
        <item x="181"/>
        <item x="137"/>
        <item x="182"/>
        <item x="291"/>
        <item x="140"/>
        <item x="292"/>
        <item x="293"/>
        <item x="294"/>
        <item x="295"/>
        <item x="145"/>
        <item x="296"/>
        <item x="297"/>
        <item x="298"/>
        <item x="149"/>
        <item x="299"/>
        <item x="151"/>
        <item x="300"/>
        <item x="301"/>
        <item x="302"/>
        <item x="303"/>
        <item x="156"/>
        <item x="304"/>
        <item x="305"/>
        <item x="306"/>
        <item x="307"/>
        <item x="308"/>
        <item x="48"/>
        <item x="163"/>
        <item x="50"/>
        <item x="165"/>
        <item x="51"/>
        <item x="167"/>
        <item x="52"/>
        <item x="309"/>
        <item x="310"/>
        <item x="311"/>
        <item x="312"/>
        <item x="313"/>
        <item x="174"/>
        <item x="314"/>
        <item x="315"/>
        <item x="316"/>
        <item x="317"/>
        <item x="318"/>
        <item x="180"/>
        <item x="53"/>
        <item x="54"/>
        <item x="55"/>
        <item x="56"/>
        <item x="57"/>
        <item x="186"/>
        <item x="59"/>
        <item x="60"/>
        <item x="61"/>
        <item x="190"/>
        <item x="62"/>
        <item x="183"/>
        <item x="184"/>
        <item x="185"/>
        <item x="187"/>
        <item x="188"/>
        <item x="189"/>
        <item x="191"/>
        <item x="192"/>
        <item x="193"/>
        <item x="195"/>
        <item x="194"/>
        <item x="319"/>
        <item x="320"/>
        <item x="196"/>
        <item x="321"/>
        <item x="322"/>
        <item x="323"/>
        <item x="324"/>
        <item x="325"/>
        <item x="326"/>
        <item x="197"/>
        <item x="327"/>
        <item x="328"/>
        <item x="329"/>
        <item x="330"/>
        <item t="default"/>
      </items>
    </pivotField>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4">
    <i>
      <x/>
    </i>
    <i>
      <x v="1"/>
    </i>
    <i>
      <x v="2"/>
    </i>
    <i t="grand">
      <x/>
    </i>
  </rowItems>
  <colItems count="1">
    <i/>
  </colItems>
  <dataFields count="1">
    <dataField name="Sum of Sale Price" fld="11"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1"/>
          </reference>
        </references>
      </pivotArea>
    </chartFormat>
    <chartFormat chart="2" format="2">
      <pivotArea type="data" outline="0" fieldPosition="0">
        <references count="2">
          <reference field="4294967294" count="1" selected="0">
            <x v="0"/>
          </reference>
          <reference field="3" count="1" selected="0">
            <x v="0"/>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3" count="1" selected="0">
            <x v="0"/>
          </reference>
        </references>
      </pivotArea>
    </chartFormat>
    <chartFormat chart="4" format="10">
      <pivotArea type="data" outline="0" fieldPosition="0">
        <references count="2">
          <reference field="4294967294" count="1" selected="0">
            <x v="0"/>
          </reference>
          <reference field="3" count="1" selected="0">
            <x v="1"/>
          </reference>
        </references>
      </pivotArea>
    </chartFormat>
    <chartFormat chart="4"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54E5BB-BEF5-4F5F-8F39-54F2C88B5CB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13:T34" firstHeaderRow="1" firstDataRow="1" firstDataCol="1"/>
  <pivotFields count="17">
    <pivotField numFmtId="164" showAll="0">
      <items count="332">
        <item x="78"/>
        <item x="79"/>
        <item x="80"/>
        <item x="82"/>
        <item x="198"/>
        <item x="199"/>
        <item x="6"/>
        <item x="200"/>
        <item x="83"/>
        <item x="84"/>
        <item x="85"/>
        <item x="87"/>
        <item x="12"/>
        <item x="88"/>
        <item x="201"/>
        <item x="202"/>
        <item x="203"/>
        <item x="204"/>
        <item x="205"/>
        <item x="206"/>
        <item x="207"/>
        <item x="90"/>
        <item x="22"/>
        <item x="92"/>
        <item x="24"/>
        <item x="94"/>
        <item x="95"/>
        <item x="96"/>
        <item x="97"/>
        <item x="98"/>
        <item x="99"/>
        <item x="100"/>
        <item x="101"/>
        <item x="102"/>
        <item x="103"/>
        <item x="104"/>
        <item x="106"/>
        <item x="107"/>
        <item x="109"/>
        <item x="110"/>
        <item x="111"/>
        <item x="112"/>
        <item x="114"/>
        <item x="115"/>
        <item x="116"/>
        <item x="118"/>
        <item x="120"/>
        <item x="121"/>
        <item x="208"/>
        <item x="49"/>
        <item x="209"/>
        <item x="210"/>
        <item x="211"/>
        <item x="212"/>
        <item x="213"/>
        <item x="214"/>
        <item x="215"/>
        <item x="216"/>
        <item x="58"/>
        <item x="217"/>
        <item x="218"/>
        <item x="219"/>
        <item x="220"/>
        <item x="221"/>
        <item x="222"/>
        <item x="223"/>
        <item x="224"/>
        <item x="225"/>
        <item x="226"/>
        <item x="227"/>
        <item x="228"/>
        <item x="0"/>
        <item x="1"/>
        <item x="2"/>
        <item x="3"/>
        <item x="63"/>
        <item x="4"/>
        <item x="5"/>
        <item x="229"/>
        <item x="230"/>
        <item x="231"/>
        <item x="64"/>
        <item x="232"/>
        <item x="233"/>
        <item x="234"/>
        <item x="235"/>
        <item x="236"/>
        <item x="237"/>
        <item x="238"/>
        <item x="7"/>
        <item x="8"/>
        <item x="9"/>
        <item x="65"/>
        <item x="10"/>
        <item x="11"/>
        <item x="13"/>
        <item x="14"/>
        <item x="15"/>
        <item x="16"/>
        <item x="17"/>
        <item x="18"/>
        <item x="122"/>
        <item x="123"/>
        <item x="124"/>
        <item x="125"/>
        <item x="66"/>
        <item x="126"/>
        <item x="127"/>
        <item x="128"/>
        <item x="130"/>
        <item x="131"/>
        <item x="133"/>
        <item x="239"/>
        <item x="240"/>
        <item x="241"/>
        <item x="242"/>
        <item x="243"/>
        <item x="244"/>
        <item x="245"/>
        <item x="246"/>
        <item x="247"/>
        <item x="248"/>
        <item x="249"/>
        <item x="250"/>
        <item x="67"/>
        <item x="251"/>
        <item x="252"/>
        <item x="19"/>
        <item x="20"/>
        <item x="68"/>
        <item x="21"/>
        <item x="23"/>
        <item x="25"/>
        <item x="26"/>
        <item x="134"/>
        <item x="135"/>
        <item x="136"/>
        <item x="69"/>
        <item x="138"/>
        <item x="139"/>
        <item x="141"/>
        <item x="142"/>
        <item x="143"/>
        <item x="70"/>
        <item x="144"/>
        <item x="253"/>
        <item x="254"/>
        <item x="255"/>
        <item x="256"/>
        <item x="257"/>
        <item x="258"/>
        <item x="259"/>
        <item x="71"/>
        <item x="260"/>
        <item x="261"/>
        <item x="262"/>
        <item x="263"/>
        <item x="72"/>
        <item x="264"/>
        <item x="265"/>
        <item x="27"/>
        <item x="28"/>
        <item x="29"/>
        <item x="30"/>
        <item x="31"/>
        <item x="32"/>
        <item x="73"/>
        <item x="33"/>
        <item x="34"/>
        <item x="35"/>
        <item x="36"/>
        <item x="74"/>
        <item x="266"/>
        <item x="267"/>
        <item x="268"/>
        <item x="269"/>
        <item x="270"/>
        <item x="271"/>
        <item x="272"/>
        <item x="37"/>
        <item x="75"/>
        <item x="38"/>
        <item x="76"/>
        <item x="39"/>
        <item x="40"/>
        <item x="41"/>
        <item x="273"/>
        <item x="274"/>
        <item x="77"/>
        <item x="275"/>
        <item x="276"/>
        <item x="277"/>
        <item x="278"/>
        <item x="279"/>
        <item x="280"/>
        <item x="81"/>
        <item x="281"/>
        <item x="42"/>
        <item x="43"/>
        <item x="44"/>
        <item x="86"/>
        <item x="45"/>
        <item x="46"/>
        <item x="89"/>
        <item x="47"/>
        <item x="91"/>
        <item x="146"/>
        <item x="93"/>
        <item x="147"/>
        <item x="282"/>
        <item x="283"/>
        <item x="284"/>
        <item x="285"/>
        <item x="148"/>
        <item x="150"/>
        <item x="152"/>
        <item x="153"/>
        <item x="154"/>
        <item x="155"/>
        <item x="105"/>
        <item x="286"/>
        <item x="287"/>
        <item x="108"/>
        <item x="288"/>
        <item x="289"/>
        <item x="290"/>
        <item x="157"/>
        <item x="113"/>
        <item x="158"/>
        <item x="159"/>
        <item x="160"/>
        <item x="117"/>
        <item x="161"/>
        <item x="119"/>
        <item x="162"/>
        <item x="164"/>
        <item x="166"/>
        <item x="168"/>
        <item x="169"/>
        <item x="170"/>
        <item x="171"/>
        <item x="172"/>
        <item x="173"/>
        <item x="129"/>
        <item x="175"/>
        <item x="176"/>
        <item x="132"/>
        <item x="177"/>
        <item x="178"/>
        <item x="179"/>
        <item x="181"/>
        <item x="137"/>
        <item x="182"/>
        <item x="291"/>
        <item x="140"/>
        <item x="292"/>
        <item x="293"/>
        <item x="294"/>
        <item x="295"/>
        <item x="145"/>
        <item x="296"/>
        <item x="297"/>
        <item x="298"/>
        <item x="149"/>
        <item x="299"/>
        <item x="151"/>
        <item x="300"/>
        <item x="301"/>
        <item x="302"/>
        <item x="303"/>
        <item x="156"/>
        <item x="304"/>
        <item x="305"/>
        <item x="306"/>
        <item x="307"/>
        <item x="308"/>
        <item x="48"/>
        <item x="163"/>
        <item x="50"/>
        <item x="165"/>
        <item x="51"/>
        <item x="167"/>
        <item x="52"/>
        <item x="309"/>
        <item x="310"/>
        <item x="311"/>
        <item x="312"/>
        <item x="313"/>
        <item x="174"/>
        <item x="314"/>
        <item x="315"/>
        <item x="316"/>
        <item x="317"/>
        <item x="318"/>
        <item x="180"/>
        <item x="53"/>
        <item x="54"/>
        <item x="55"/>
        <item x="56"/>
        <item x="57"/>
        <item x="186"/>
        <item x="59"/>
        <item x="60"/>
        <item x="61"/>
        <item x="190"/>
        <item x="62"/>
        <item x="183"/>
        <item x="184"/>
        <item x="185"/>
        <item x="187"/>
        <item x="188"/>
        <item x="189"/>
        <item x="191"/>
        <item x="192"/>
        <item x="193"/>
        <item x="195"/>
        <item x="194"/>
        <item x="319"/>
        <item x="320"/>
        <item x="196"/>
        <item x="321"/>
        <item x="322"/>
        <item x="323"/>
        <item x="324"/>
        <item x="325"/>
        <item x="326"/>
        <item x="197"/>
        <item x="327"/>
        <item x="328"/>
        <item x="329"/>
        <item x="330"/>
        <item t="default"/>
      </items>
    </pivotField>
    <pivotField showAll="0"/>
    <pivotField showAll="0"/>
    <pivotField showAll="0">
      <items count="4">
        <item x="0"/>
        <item x="2"/>
        <item x="1"/>
        <item t="default"/>
      </items>
    </pivotField>
    <pivotField showAll="0"/>
    <pivotField axis="axisRow" showAll="0">
      <items count="21">
        <item x="10"/>
        <item x="0"/>
        <item x="11"/>
        <item x="9"/>
        <item x="2"/>
        <item x="14"/>
        <item x="6"/>
        <item x="18"/>
        <item x="5"/>
        <item x="15"/>
        <item x="17"/>
        <item x="4"/>
        <item x="8"/>
        <item x="1"/>
        <item x="12"/>
        <item x="13"/>
        <item x="16"/>
        <item x="7"/>
        <item x="19"/>
        <item x="3"/>
        <item t="default"/>
      </items>
    </pivotField>
    <pivotField showAll="0"/>
    <pivotField showAll="0"/>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 Price" fld="11"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B545B01-6D8F-400C-8ECF-D98EA70FF1BA}" sourceName="Category">
  <pivotTables>
    <pivotTable tabId="2" name="Total Profit"/>
    <pivotTable tabId="2" name="Monthwise"/>
    <pivotTable tabId="2" name="Categorywise"/>
    <pivotTable tabId="2" name="PivotTable7"/>
    <pivotTable tabId="2" name="Total Purchase"/>
    <pivotTable tabId="2" name="Total sales"/>
  </pivotTables>
  <data>
    <tabular pivotCacheId="23740835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056F4F0-231A-41F1-9C1F-DA7679C3DABC}"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F3D24E5-2293-4311-A5E5-68112A9C1851}" cache="Slicer_Category" caption="Category" style="SlicerStyleDark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9D783-350E-4683-B063-8342C88D5EC1}">
  <dimension ref="A1"/>
  <sheetViews>
    <sheetView workbookViewId="0">
      <selection activeCell="N19" sqref="N19"/>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99814-73C7-4385-B880-DD82145B9183}">
  <dimension ref="A1:N993"/>
  <sheetViews>
    <sheetView workbookViewId="0">
      <selection activeCell="P10" sqref="P10"/>
    </sheetView>
  </sheetViews>
  <sheetFormatPr defaultRowHeight="14.4" x14ac:dyDescent="0.3"/>
  <cols>
    <col min="1" max="1" width="18.109375" bestFit="1" customWidth="1"/>
    <col min="2" max="2" width="11.88671875" bestFit="1" customWidth="1"/>
    <col min="3" max="3" width="28.21875" bestFit="1" customWidth="1"/>
    <col min="4" max="4" width="11.33203125" bestFit="1" customWidth="1"/>
    <col min="5" max="5" width="15.88671875" bestFit="1" customWidth="1"/>
    <col min="6" max="6" width="17.88671875" bestFit="1" customWidth="1"/>
    <col min="7" max="7" width="9.109375" bestFit="1" customWidth="1"/>
    <col min="8" max="8" width="8.33203125" bestFit="1" customWidth="1"/>
    <col min="9" max="9" width="5" bestFit="1" customWidth="1"/>
    <col min="10" max="10" width="5.109375" bestFit="1" customWidth="1"/>
    <col min="11" max="11" width="12.77734375" bestFit="1" customWidth="1"/>
    <col min="12" max="12" width="9" bestFit="1" customWidth="1"/>
    <col min="13" max="13" width="6.6640625" bestFit="1" customWidth="1"/>
    <col min="14" max="14" width="7.77734375" bestFit="1" customWidth="1"/>
  </cols>
  <sheetData>
    <row r="1" spans="1:14" x14ac:dyDescent="0.3">
      <c r="A1" s="15" t="s">
        <v>387</v>
      </c>
      <c r="B1" s="15" t="s">
        <v>0</v>
      </c>
      <c r="C1" s="15" t="s">
        <v>1</v>
      </c>
      <c r="D1" s="15" t="s">
        <v>2</v>
      </c>
      <c r="E1" s="15" t="s">
        <v>3</v>
      </c>
      <c r="F1" s="15" t="s">
        <v>4</v>
      </c>
      <c r="G1" s="15" t="s">
        <v>5</v>
      </c>
      <c r="H1" s="15" t="s">
        <v>6</v>
      </c>
      <c r="I1" s="15" t="s">
        <v>7</v>
      </c>
      <c r="J1" s="15" t="s">
        <v>8</v>
      </c>
      <c r="K1" s="15" t="s">
        <v>9</v>
      </c>
      <c r="L1" s="15" t="s">
        <v>10</v>
      </c>
      <c r="M1" s="15" t="s">
        <v>11</v>
      </c>
      <c r="N1" s="15" t="s">
        <v>12</v>
      </c>
    </row>
    <row r="2" spans="1:14" x14ac:dyDescent="0.3">
      <c r="A2" s="16">
        <v>45472</v>
      </c>
      <c r="B2" t="s">
        <v>404</v>
      </c>
      <c r="C2" t="s">
        <v>405</v>
      </c>
      <c r="D2" t="s">
        <v>406</v>
      </c>
      <c r="E2" t="s">
        <v>407</v>
      </c>
      <c r="F2" t="s">
        <v>408</v>
      </c>
      <c r="G2" t="s">
        <v>409</v>
      </c>
      <c r="H2">
        <v>17</v>
      </c>
      <c r="I2">
        <v>537</v>
      </c>
      <c r="J2">
        <v>1350</v>
      </c>
      <c r="K2">
        <v>9129</v>
      </c>
      <c r="L2">
        <v>22950</v>
      </c>
      <c r="M2">
        <v>13821</v>
      </c>
      <c r="N2" t="s">
        <v>410</v>
      </c>
    </row>
    <row r="3" spans="1:14" x14ac:dyDescent="0.3">
      <c r="A3" s="16">
        <v>45622</v>
      </c>
      <c r="B3" t="s">
        <v>411</v>
      </c>
      <c r="C3" t="s">
        <v>412</v>
      </c>
      <c r="D3" t="s">
        <v>413</v>
      </c>
      <c r="E3" t="s">
        <v>414</v>
      </c>
      <c r="F3" t="s">
        <v>415</v>
      </c>
      <c r="G3" t="s">
        <v>409</v>
      </c>
      <c r="H3">
        <v>30</v>
      </c>
      <c r="I3">
        <v>651</v>
      </c>
      <c r="J3">
        <v>1277</v>
      </c>
      <c r="K3">
        <v>19530</v>
      </c>
      <c r="L3">
        <v>38310</v>
      </c>
      <c r="M3">
        <v>18780</v>
      </c>
      <c r="N3" t="s">
        <v>410</v>
      </c>
    </row>
    <row r="4" spans="1:14" x14ac:dyDescent="0.3">
      <c r="A4" s="16">
        <v>45648</v>
      </c>
      <c r="B4" t="s">
        <v>416</v>
      </c>
      <c r="C4" t="s">
        <v>417</v>
      </c>
      <c r="D4" t="s">
        <v>418</v>
      </c>
      <c r="E4" t="s">
        <v>419</v>
      </c>
      <c r="F4" t="s">
        <v>420</v>
      </c>
      <c r="G4" t="s">
        <v>409</v>
      </c>
      <c r="H4">
        <v>57</v>
      </c>
      <c r="I4">
        <v>995</v>
      </c>
      <c r="J4">
        <v>912</v>
      </c>
      <c r="K4">
        <v>56715</v>
      </c>
      <c r="L4">
        <v>51984</v>
      </c>
      <c r="M4">
        <v>-4731</v>
      </c>
      <c r="N4" t="s">
        <v>421</v>
      </c>
    </row>
    <row r="5" spans="1:14" x14ac:dyDescent="0.3">
      <c r="A5" s="16">
        <v>45577</v>
      </c>
      <c r="B5" t="s">
        <v>422</v>
      </c>
      <c r="C5" t="s">
        <v>423</v>
      </c>
      <c r="D5" t="s">
        <v>418</v>
      </c>
      <c r="E5" t="s">
        <v>419</v>
      </c>
      <c r="F5" t="s">
        <v>424</v>
      </c>
      <c r="G5" t="s">
        <v>409</v>
      </c>
      <c r="H5">
        <v>80</v>
      </c>
      <c r="I5">
        <v>841</v>
      </c>
      <c r="J5">
        <v>1490</v>
      </c>
      <c r="K5">
        <v>67280</v>
      </c>
      <c r="L5">
        <v>119200</v>
      </c>
      <c r="M5">
        <v>51920</v>
      </c>
      <c r="N5" t="s">
        <v>410</v>
      </c>
    </row>
    <row r="6" spans="1:14" x14ac:dyDescent="0.3">
      <c r="A6" s="16">
        <v>45587</v>
      </c>
      <c r="B6" t="s">
        <v>422</v>
      </c>
      <c r="C6" t="s">
        <v>425</v>
      </c>
      <c r="D6" t="s">
        <v>406</v>
      </c>
      <c r="E6" t="s">
        <v>407</v>
      </c>
      <c r="F6" t="s">
        <v>426</v>
      </c>
      <c r="G6" t="s">
        <v>409</v>
      </c>
      <c r="H6">
        <v>14</v>
      </c>
      <c r="I6">
        <v>799</v>
      </c>
      <c r="J6">
        <v>1154</v>
      </c>
      <c r="K6">
        <v>11186</v>
      </c>
      <c r="L6">
        <v>16156</v>
      </c>
      <c r="M6">
        <v>4970</v>
      </c>
      <c r="N6" t="s">
        <v>410</v>
      </c>
    </row>
    <row r="7" spans="1:14" x14ac:dyDescent="0.3">
      <c r="A7" s="16">
        <v>45656</v>
      </c>
      <c r="B7" t="s">
        <v>416</v>
      </c>
      <c r="C7" t="s">
        <v>427</v>
      </c>
      <c r="D7" t="s">
        <v>418</v>
      </c>
      <c r="E7" t="s">
        <v>419</v>
      </c>
      <c r="F7" t="s">
        <v>424</v>
      </c>
      <c r="G7" t="s">
        <v>428</v>
      </c>
      <c r="H7">
        <v>62</v>
      </c>
      <c r="I7">
        <v>680</v>
      </c>
      <c r="J7">
        <v>912</v>
      </c>
      <c r="K7">
        <v>42160</v>
      </c>
      <c r="L7">
        <v>56544</v>
      </c>
      <c r="M7">
        <v>14384</v>
      </c>
      <c r="N7" t="s">
        <v>410</v>
      </c>
    </row>
    <row r="8" spans="1:14" x14ac:dyDescent="0.3">
      <c r="A8" s="16">
        <v>45599</v>
      </c>
      <c r="B8" t="s">
        <v>411</v>
      </c>
      <c r="C8" t="s">
        <v>429</v>
      </c>
      <c r="D8" t="s">
        <v>413</v>
      </c>
      <c r="E8" t="s">
        <v>430</v>
      </c>
      <c r="F8" t="s">
        <v>424</v>
      </c>
      <c r="G8" t="s">
        <v>409</v>
      </c>
      <c r="H8">
        <v>29</v>
      </c>
      <c r="I8">
        <v>724</v>
      </c>
      <c r="J8">
        <v>858</v>
      </c>
      <c r="K8">
        <v>20996</v>
      </c>
      <c r="L8">
        <v>24882</v>
      </c>
      <c r="M8">
        <v>3886</v>
      </c>
      <c r="N8" t="s">
        <v>410</v>
      </c>
    </row>
    <row r="9" spans="1:14" x14ac:dyDescent="0.3">
      <c r="A9" s="16">
        <v>45553</v>
      </c>
      <c r="B9" t="s">
        <v>431</v>
      </c>
      <c r="C9" t="s">
        <v>432</v>
      </c>
      <c r="D9" t="s">
        <v>406</v>
      </c>
      <c r="E9" t="s">
        <v>407</v>
      </c>
      <c r="F9" t="s">
        <v>433</v>
      </c>
      <c r="G9" t="s">
        <v>409</v>
      </c>
      <c r="H9">
        <v>18</v>
      </c>
      <c r="I9">
        <v>629</v>
      </c>
      <c r="J9">
        <v>945</v>
      </c>
      <c r="K9">
        <v>11322</v>
      </c>
      <c r="L9">
        <v>17010</v>
      </c>
      <c r="M9">
        <v>5688</v>
      </c>
      <c r="N9" t="s">
        <v>410</v>
      </c>
    </row>
    <row r="10" spans="1:14" x14ac:dyDescent="0.3">
      <c r="A10" s="16">
        <v>45508</v>
      </c>
      <c r="B10" t="s">
        <v>434</v>
      </c>
      <c r="C10" t="s">
        <v>435</v>
      </c>
      <c r="D10" t="s">
        <v>418</v>
      </c>
      <c r="E10" t="s">
        <v>419</v>
      </c>
      <c r="F10" t="s">
        <v>436</v>
      </c>
      <c r="G10" t="s">
        <v>409</v>
      </c>
      <c r="H10">
        <v>98</v>
      </c>
      <c r="I10">
        <v>925</v>
      </c>
      <c r="J10">
        <v>904</v>
      </c>
      <c r="K10">
        <v>90650</v>
      </c>
      <c r="L10">
        <v>88592</v>
      </c>
      <c r="M10">
        <v>-2058</v>
      </c>
      <c r="N10" t="s">
        <v>421</v>
      </c>
    </row>
    <row r="11" spans="1:14" x14ac:dyDescent="0.3">
      <c r="A11" s="16">
        <v>45415</v>
      </c>
      <c r="B11" t="s">
        <v>437</v>
      </c>
      <c r="C11" t="s">
        <v>438</v>
      </c>
      <c r="D11" t="s">
        <v>413</v>
      </c>
      <c r="E11" t="s">
        <v>414</v>
      </c>
      <c r="F11" t="s">
        <v>439</v>
      </c>
      <c r="G11" t="s">
        <v>428</v>
      </c>
      <c r="H11">
        <v>24</v>
      </c>
      <c r="I11">
        <v>584</v>
      </c>
      <c r="J11">
        <v>1158</v>
      </c>
      <c r="K11">
        <v>14016</v>
      </c>
      <c r="L11">
        <v>27792</v>
      </c>
      <c r="M11">
        <v>13776</v>
      </c>
      <c r="N11" t="s">
        <v>410</v>
      </c>
    </row>
    <row r="12" spans="1:14" x14ac:dyDescent="0.3">
      <c r="A12" s="16">
        <v>45595</v>
      </c>
      <c r="B12" t="s">
        <v>422</v>
      </c>
      <c r="C12" t="s">
        <v>440</v>
      </c>
      <c r="D12" t="s">
        <v>418</v>
      </c>
      <c r="E12" t="s">
        <v>441</v>
      </c>
      <c r="F12" t="s">
        <v>442</v>
      </c>
      <c r="G12" t="s">
        <v>428</v>
      </c>
      <c r="H12">
        <v>70</v>
      </c>
      <c r="I12">
        <v>699</v>
      </c>
      <c r="J12">
        <v>1090</v>
      </c>
      <c r="K12">
        <v>48930</v>
      </c>
      <c r="L12">
        <v>76300</v>
      </c>
      <c r="M12">
        <v>27370</v>
      </c>
      <c r="N12" t="s">
        <v>410</v>
      </c>
    </row>
    <row r="13" spans="1:14" x14ac:dyDescent="0.3">
      <c r="A13" s="16">
        <v>45521</v>
      </c>
      <c r="B13" t="s">
        <v>434</v>
      </c>
      <c r="C13" t="s">
        <v>443</v>
      </c>
      <c r="D13" t="s">
        <v>413</v>
      </c>
      <c r="E13" t="s">
        <v>444</v>
      </c>
      <c r="F13" t="s">
        <v>445</v>
      </c>
      <c r="G13" t="s">
        <v>428</v>
      </c>
      <c r="H13">
        <v>24</v>
      </c>
      <c r="I13">
        <v>845</v>
      </c>
      <c r="J13">
        <v>1429</v>
      </c>
      <c r="K13">
        <v>20280</v>
      </c>
      <c r="L13">
        <v>34296</v>
      </c>
      <c r="M13">
        <v>14016</v>
      </c>
      <c r="N13" t="s">
        <v>410</v>
      </c>
    </row>
    <row r="14" spans="1:14" x14ac:dyDescent="0.3">
      <c r="A14" s="16">
        <v>45520</v>
      </c>
      <c r="B14" t="s">
        <v>434</v>
      </c>
      <c r="C14" t="s">
        <v>446</v>
      </c>
      <c r="D14" t="s">
        <v>413</v>
      </c>
      <c r="E14" t="s">
        <v>444</v>
      </c>
      <c r="F14" t="s">
        <v>415</v>
      </c>
      <c r="G14" t="s">
        <v>428</v>
      </c>
      <c r="H14">
        <v>26</v>
      </c>
      <c r="I14">
        <v>715</v>
      </c>
      <c r="J14">
        <v>840</v>
      </c>
      <c r="K14">
        <v>18590</v>
      </c>
      <c r="L14">
        <v>21840</v>
      </c>
      <c r="M14">
        <v>3250</v>
      </c>
      <c r="N14" t="s">
        <v>410</v>
      </c>
    </row>
    <row r="15" spans="1:14" x14ac:dyDescent="0.3">
      <c r="A15" s="16">
        <v>45603</v>
      </c>
      <c r="B15" t="s">
        <v>411</v>
      </c>
      <c r="C15" t="s">
        <v>447</v>
      </c>
      <c r="D15" t="s">
        <v>418</v>
      </c>
      <c r="E15" t="s">
        <v>448</v>
      </c>
      <c r="F15" t="s">
        <v>424</v>
      </c>
      <c r="G15" t="s">
        <v>409</v>
      </c>
      <c r="H15">
        <v>63</v>
      </c>
      <c r="I15">
        <v>833</v>
      </c>
      <c r="J15">
        <v>1040</v>
      </c>
      <c r="K15">
        <v>52479</v>
      </c>
      <c r="L15">
        <v>65520</v>
      </c>
      <c r="M15">
        <v>13041</v>
      </c>
      <c r="N15" t="s">
        <v>410</v>
      </c>
    </row>
    <row r="16" spans="1:14" x14ac:dyDescent="0.3">
      <c r="A16" s="16">
        <v>45390</v>
      </c>
      <c r="B16" t="s">
        <v>449</v>
      </c>
      <c r="C16" t="s">
        <v>450</v>
      </c>
      <c r="D16" t="s">
        <v>418</v>
      </c>
      <c r="E16" t="s">
        <v>441</v>
      </c>
      <c r="F16" t="s">
        <v>451</v>
      </c>
      <c r="G16" t="s">
        <v>428</v>
      </c>
      <c r="H16">
        <v>79</v>
      </c>
      <c r="I16">
        <v>632</v>
      </c>
      <c r="J16">
        <v>1271</v>
      </c>
      <c r="K16">
        <v>49928</v>
      </c>
      <c r="L16">
        <v>100409</v>
      </c>
      <c r="M16">
        <v>50481</v>
      </c>
      <c r="N16" t="s">
        <v>410</v>
      </c>
    </row>
    <row r="17" spans="1:14" x14ac:dyDescent="0.3">
      <c r="A17" s="16">
        <v>45645</v>
      </c>
      <c r="B17" t="s">
        <v>416</v>
      </c>
      <c r="C17" t="s">
        <v>452</v>
      </c>
      <c r="D17" t="s">
        <v>418</v>
      </c>
      <c r="E17" t="s">
        <v>453</v>
      </c>
      <c r="F17" t="s">
        <v>454</v>
      </c>
      <c r="G17" t="s">
        <v>409</v>
      </c>
      <c r="H17">
        <v>81</v>
      </c>
      <c r="I17">
        <v>565</v>
      </c>
      <c r="J17">
        <v>1224</v>
      </c>
      <c r="K17">
        <v>45765</v>
      </c>
      <c r="L17">
        <v>99144</v>
      </c>
      <c r="M17">
        <v>53379</v>
      </c>
      <c r="N17" t="s">
        <v>410</v>
      </c>
    </row>
    <row r="18" spans="1:14" x14ac:dyDescent="0.3">
      <c r="A18" s="16">
        <v>45608</v>
      </c>
      <c r="B18" t="s">
        <v>411</v>
      </c>
      <c r="C18" t="s">
        <v>455</v>
      </c>
      <c r="D18" t="s">
        <v>418</v>
      </c>
      <c r="E18" t="s">
        <v>448</v>
      </c>
      <c r="F18" t="s">
        <v>426</v>
      </c>
      <c r="G18" t="s">
        <v>409</v>
      </c>
      <c r="H18">
        <v>63</v>
      </c>
      <c r="I18">
        <v>691</v>
      </c>
      <c r="J18">
        <v>1058</v>
      </c>
      <c r="K18">
        <v>43533</v>
      </c>
      <c r="L18">
        <v>66654</v>
      </c>
      <c r="M18">
        <v>23121</v>
      </c>
      <c r="N18" t="s">
        <v>410</v>
      </c>
    </row>
    <row r="19" spans="1:14" x14ac:dyDescent="0.3">
      <c r="A19" s="16">
        <v>45389</v>
      </c>
      <c r="B19" t="s">
        <v>449</v>
      </c>
      <c r="C19" t="s">
        <v>456</v>
      </c>
      <c r="D19" t="s">
        <v>418</v>
      </c>
      <c r="E19" t="s">
        <v>441</v>
      </c>
      <c r="F19" t="s">
        <v>408</v>
      </c>
      <c r="G19" t="s">
        <v>428</v>
      </c>
      <c r="H19">
        <v>55</v>
      </c>
      <c r="I19">
        <v>906</v>
      </c>
      <c r="J19">
        <v>880</v>
      </c>
      <c r="K19">
        <v>49830</v>
      </c>
      <c r="L19">
        <v>48400</v>
      </c>
      <c r="M19">
        <v>-1430</v>
      </c>
      <c r="N19" t="s">
        <v>421</v>
      </c>
    </row>
    <row r="20" spans="1:14" x14ac:dyDescent="0.3">
      <c r="A20" s="16">
        <v>45546</v>
      </c>
      <c r="B20" t="s">
        <v>431</v>
      </c>
      <c r="C20" t="s">
        <v>457</v>
      </c>
      <c r="D20" t="s">
        <v>406</v>
      </c>
      <c r="E20" t="s">
        <v>407</v>
      </c>
      <c r="F20" t="s">
        <v>426</v>
      </c>
      <c r="G20" t="s">
        <v>428</v>
      </c>
      <c r="H20">
        <v>12</v>
      </c>
      <c r="I20">
        <v>886</v>
      </c>
      <c r="J20">
        <v>1233</v>
      </c>
      <c r="K20">
        <v>10632</v>
      </c>
      <c r="L20">
        <v>14796</v>
      </c>
      <c r="M20">
        <v>4164</v>
      </c>
      <c r="N20" t="s">
        <v>410</v>
      </c>
    </row>
    <row r="21" spans="1:14" x14ac:dyDescent="0.3">
      <c r="A21" s="16">
        <v>45468</v>
      </c>
      <c r="B21" t="s">
        <v>404</v>
      </c>
      <c r="C21" t="s">
        <v>458</v>
      </c>
      <c r="D21" t="s">
        <v>418</v>
      </c>
      <c r="E21" t="s">
        <v>419</v>
      </c>
      <c r="F21" t="s">
        <v>436</v>
      </c>
      <c r="G21" t="s">
        <v>428</v>
      </c>
      <c r="H21">
        <v>99</v>
      </c>
      <c r="I21">
        <v>598</v>
      </c>
      <c r="J21">
        <v>1404</v>
      </c>
      <c r="K21">
        <v>59202</v>
      </c>
      <c r="L21">
        <v>138996</v>
      </c>
      <c r="M21">
        <v>79794</v>
      </c>
      <c r="N21" t="s">
        <v>410</v>
      </c>
    </row>
    <row r="22" spans="1:14" x14ac:dyDescent="0.3">
      <c r="A22" s="16">
        <v>45702</v>
      </c>
      <c r="B22" t="s">
        <v>459</v>
      </c>
      <c r="C22" t="s">
        <v>460</v>
      </c>
      <c r="D22" t="s">
        <v>418</v>
      </c>
      <c r="E22" t="s">
        <v>453</v>
      </c>
      <c r="F22" t="s">
        <v>426</v>
      </c>
      <c r="G22" t="s">
        <v>409</v>
      </c>
      <c r="H22">
        <v>55</v>
      </c>
      <c r="I22">
        <v>856</v>
      </c>
      <c r="J22">
        <v>756</v>
      </c>
      <c r="K22">
        <v>47080</v>
      </c>
      <c r="L22">
        <v>41580</v>
      </c>
      <c r="M22">
        <v>-5500</v>
      </c>
      <c r="N22" t="s">
        <v>421</v>
      </c>
    </row>
    <row r="23" spans="1:14" x14ac:dyDescent="0.3">
      <c r="A23" s="16">
        <v>45527</v>
      </c>
      <c r="B23" t="s">
        <v>434</v>
      </c>
      <c r="C23" t="s">
        <v>461</v>
      </c>
      <c r="D23" t="s">
        <v>413</v>
      </c>
      <c r="E23" t="s">
        <v>444</v>
      </c>
      <c r="F23" t="s">
        <v>454</v>
      </c>
      <c r="G23" t="s">
        <v>409</v>
      </c>
      <c r="H23">
        <v>23</v>
      </c>
      <c r="I23">
        <v>577</v>
      </c>
      <c r="J23">
        <v>1125</v>
      </c>
      <c r="K23">
        <v>13271</v>
      </c>
      <c r="L23">
        <v>25875</v>
      </c>
      <c r="M23">
        <v>12604</v>
      </c>
      <c r="N23" t="s">
        <v>410</v>
      </c>
    </row>
    <row r="24" spans="1:14" x14ac:dyDescent="0.3">
      <c r="A24" s="16">
        <v>45679</v>
      </c>
      <c r="B24" t="s">
        <v>462</v>
      </c>
      <c r="C24" t="s">
        <v>463</v>
      </c>
      <c r="D24" t="s">
        <v>406</v>
      </c>
      <c r="E24" t="s">
        <v>407</v>
      </c>
      <c r="F24" t="s">
        <v>439</v>
      </c>
      <c r="G24" t="s">
        <v>409</v>
      </c>
      <c r="H24">
        <v>20</v>
      </c>
      <c r="I24">
        <v>597</v>
      </c>
      <c r="J24">
        <v>1175</v>
      </c>
      <c r="K24">
        <v>11940</v>
      </c>
      <c r="L24">
        <v>23500</v>
      </c>
      <c r="M24">
        <v>11560</v>
      </c>
      <c r="N24" t="s">
        <v>410</v>
      </c>
    </row>
    <row r="25" spans="1:14" x14ac:dyDescent="0.3">
      <c r="A25" s="16">
        <v>45580</v>
      </c>
      <c r="B25" t="s">
        <v>422</v>
      </c>
      <c r="C25" t="s">
        <v>464</v>
      </c>
      <c r="D25" t="s">
        <v>406</v>
      </c>
      <c r="E25" t="s">
        <v>407</v>
      </c>
      <c r="F25" t="s">
        <v>465</v>
      </c>
      <c r="G25" t="s">
        <v>428</v>
      </c>
      <c r="H25">
        <v>20</v>
      </c>
      <c r="I25">
        <v>882</v>
      </c>
      <c r="J25">
        <v>1193</v>
      </c>
      <c r="K25">
        <v>17640</v>
      </c>
      <c r="L25">
        <v>23860</v>
      </c>
      <c r="M25">
        <v>6220</v>
      </c>
      <c r="N25" t="s">
        <v>410</v>
      </c>
    </row>
    <row r="26" spans="1:14" x14ac:dyDescent="0.3">
      <c r="A26" s="16">
        <v>45631</v>
      </c>
      <c r="B26" t="s">
        <v>416</v>
      </c>
      <c r="C26" t="s">
        <v>466</v>
      </c>
      <c r="D26" t="s">
        <v>413</v>
      </c>
      <c r="E26" t="s">
        <v>444</v>
      </c>
      <c r="F26" t="s">
        <v>465</v>
      </c>
      <c r="G26" t="s">
        <v>428</v>
      </c>
      <c r="H26">
        <v>21</v>
      </c>
      <c r="I26">
        <v>691</v>
      </c>
      <c r="J26">
        <v>1142</v>
      </c>
      <c r="K26">
        <v>14511</v>
      </c>
      <c r="L26">
        <v>23982</v>
      </c>
      <c r="M26">
        <v>9471</v>
      </c>
      <c r="N26" t="s">
        <v>410</v>
      </c>
    </row>
    <row r="27" spans="1:14" x14ac:dyDescent="0.3">
      <c r="A27" s="16">
        <v>45393</v>
      </c>
      <c r="B27" t="s">
        <v>449</v>
      </c>
      <c r="C27" t="s">
        <v>467</v>
      </c>
      <c r="D27" t="s">
        <v>413</v>
      </c>
      <c r="E27" t="s">
        <v>430</v>
      </c>
      <c r="F27" t="s">
        <v>433</v>
      </c>
      <c r="G27" t="s">
        <v>409</v>
      </c>
      <c r="H27">
        <v>23</v>
      </c>
      <c r="I27">
        <v>504</v>
      </c>
      <c r="J27">
        <v>1328</v>
      </c>
      <c r="K27">
        <v>11592</v>
      </c>
      <c r="L27">
        <v>30544</v>
      </c>
      <c r="M27">
        <v>18952</v>
      </c>
      <c r="N27" t="s">
        <v>410</v>
      </c>
    </row>
    <row r="28" spans="1:14" x14ac:dyDescent="0.3">
      <c r="A28" s="16">
        <v>45506</v>
      </c>
      <c r="B28" t="s">
        <v>434</v>
      </c>
      <c r="C28" t="s">
        <v>468</v>
      </c>
      <c r="D28" t="s">
        <v>418</v>
      </c>
      <c r="E28" t="s">
        <v>453</v>
      </c>
      <c r="F28" t="s">
        <v>426</v>
      </c>
      <c r="G28" t="s">
        <v>428</v>
      </c>
      <c r="H28">
        <v>67</v>
      </c>
      <c r="I28">
        <v>780</v>
      </c>
      <c r="J28">
        <v>864</v>
      </c>
      <c r="K28">
        <v>52260</v>
      </c>
      <c r="L28">
        <v>57888</v>
      </c>
      <c r="M28">
        <v>5628</v>
      </c>
      <c r="N28" t="s">
        <v>410</v>
      </c>
    </row>
    <row r="29" spans="1:14" x14ac:dyDescent="0.3">
      <c r="A29" s="16">
        <v>45659</v>
      </c>
      <c r="B29" t="s">
        <v>462</v>
      </c>
      <c r="C29" t="s">
        <v>469</v>
      </c>
      <c r="D29" t="s">
        <v>406</v>
      </c>
      <c r="E29" t="s">
        <v>470</v>
      </c>
      <c r="F29" t="s">
        <v>424</v>
      </c>
      <c r="G29" t="s">
        <v>409</v>
      </c>
      <c r="H29">
        <v>16</v>
      </c>
      <c r="I29">
        <v>632</v>
      </c>
      <c r="J29">
        <v>835</v>
      </c>
      <c r="K29">
        <v>10112</v>
      </c>
      <c r="L29">
        <v>13360</v>
      </c>
      <c r="M29">
        <v>3248</v>
      </c>
      <c r="N29" t="s">
        <v>410</v>
      </c>
    </row>
    <row r="30" spans="1:14" x14ac:dyDescent="0.3">
      <c r="A30" s="16">
        <v>45398</v>
      </c>
      <c r="B30" t="s">
        <v>449</v>
      </c>
      <c r="C30" t="s">
        <v>471</v>
      </c>
      <c r="D30" t="s">
        <v>418</v>
      </c>
      <c r="E30" t="s">
        <v>448</v>
      </c>
      <c r="F30" t="s">
        <v>472</v>
      </c>
      <c r="G30" t="s">
        <v>409</v>
      </c>
      <c r="H30">
        <v>77</v>
      </c>
      <c r="I30">
        <v>579</v>
      </c>
      <c r="J30">
        <v>1178</v>
      </c>
      <c r="K30">
        <v>44583</v>
      </c>
      <c r="L30">
        <v>90706</v>
      </c>
      <c r="M30">
        <v>46123</v>
      </c>
      <c r="N30" t="s">
        <v>410</v>
      </c>
    </row>
    <row r="31" spans="1:14" x14ac:dyDescent="0.3">
      <c r="A31" s="16">
        <v>45429</v>
      </c>
      <c r="B31" t="s">
        <v>437</v>
      </c>
      <c r="C31" t="s">
        <v>473</v>
      </c>
      <c r="D31" t="s">
        <v>413</v>
      </c>
      <c r="E31" t="s">
        <v>444</v>
      </c>
      <c r="F31" t="s">
        <v>408</v>
      </c>
      <c r="G31" t="s">
        <v>428</v>
      </c>
      <c r="H31">
        <v>30</v>
      </c>
      <c r="I31">
        <v>709</v>
      </c>
      <c r="J31">
        <v>1209</v>
      </c>
      <c r="K31">
        <v>21270</v>
      </c>
      <c r="L31">
        <v>36270</v>
      </c>
      <c r="M31">
        <v>15000</v>
      </c>
      <c r="N31" t="s">
        <v>410</v>
      </c>
    </row>
    <row r="32" spans="1:14" x14ac:dyDescent="0.3">
      <c r="A32" s="16">
        <v>45424</v>
      </c>
      <c r="B32" t="s">
        <v>437</v>
      </c>
      <c r="C32" t="s">
        <v>474</v>
      </c>
      <c r="D32" t="s">
        <v>413</v>
      </c>
      <c r="E32" t="s">
        <v>444</v>
      </c>
      <c r="F32" t="s">
        <v>451</v>
      </c>
      <c r="G32" t="s">
        <v>409</v>
      </c>
      <c r="H32">
        <v>23</v>
      </c>
      <c r="I32">
        <v>816</v>
      </c>
      <c r="J32">
        <v>1273</v>
      </c>
      <c r="K32">
        <v>18768</v>
      </c>
      <c r="L32">
        <v>29279</v>
      </c>
      <c r="M32">
        <v>10511</v>
      </c>
      <c r="N32" t="s">
        <v>410</v>
      </c>
    </row>
    <row r="33" spans="1:14" x14ac:dyDescent="0.3">
      <c r="A33" s="16">
        <v>45564</v>
      </c>
      <c r="B33" t="s">
        <v>431</v>
      </c>
      <c r="C33" t="s">
        <v>475</v>
      </c>
      <c r="D33" t="s">
        <v>406</v>
      </c>
      <c r="E33" t="s">
        <v>470</v>
      </c>
      <c r="F33" t="s">
        <v>433</v>
      </c>
      <c r="G33" t="s">
        <v>409</v>
      </c>
      <c r="H33">
        <v>10</v>
      </c>
      <c r="I33">
        <v>917</v>
      </c>
      <c r="J33">
        <v>1107</v>
      </c>
      <c r="K33">
        <v>9170</v>
      </c>
      <c r="L33">
        <v>11070</v>
      </c>
      <c r="M33">
        <v>1900</v>
      </c>
      <c r="N33" t="s">
        <v>410</v>
      </c>
    </row>
    <row r="34" spans="1:14" x14ac:dyDescent="0.3">
      <c r="A34" s="16">
        <v>45627</v>
      </c>
      <c r="B34" t="s">
        <v>416</v>
      </c>
      <c r="C34" t="s">
        <v>476</v>
      </c>
      <c r="D34" t="s">
        <v>413</v>
      </c>
      <c r="E34" t="s">
        <v>444</v>
      </c>
      <c r="F34" t="s">
        <v>426</v>
      </c>
      <c r="G34" t="s">
        <v>409</v>
      </c>
      <c r="H34">
        <v>21</v>
      </c>
      <c r="I34">
        <v>605</v>
      </c>
      <c r="J34">
        <v>1264</v>
      </c>
      <c r="K34">
        <v>12705</v>
      </c>
      <c r="L34">
        <v>26544</v>
      </c>
      <c r="M34">
        <v>13839</v>
      </c>
      <c r="N34" t="s">
        <v>410</v>
      </c>
    </row>
    <row r="35" spans="1:14" x14ac:dyDescent="0.3">
      <c r="A35" s="16">
        <v>45660</v>
      </c>
      <c r="B35" t="s">
        <v>462</v>
      </c>
      <c r="C35" t="s">
        <v>477</v>
      </c>
      <c r="D35" t="s">
        <v>406</v>
      </c>
      <c r="E35" t="s">
        <v>470</v>
      </c>
      <c r="F35" t="s">
        <v>478</v>
      </c>
      <c r="G35" t="s">
        <v>409</v>
      </c>
      <c r="H35">
        <v>11</v>
      </c>
      <c r="I35">
        <v>676</v>
      </c>
      <c r="J35">
        <v>1050</v>
      </c>
      <c r="K35">
        <v>7436</v>
      </c>
      <c r="L35">
        <v>11550</v>
      </c>
      <c r="M35">
        <v>4114</v>
      </c>
      <c r="N35" t="s">
        <v>410</v>
      </c>
    </row>
    <row r="36" spans="1:14" x14ac:dyDescent="0.3">
      <c r="A36" s="16">
        <v>45422</v>
      </c>
      <c r="B36" t="s">
        <v>437</v>
      </c>
      <c r="C36" t="s">
        <v>479</v>
      </c>
      <c r="D36" t="s">
        <v>413</v>
      </c>
      <c r="E36" t="s">
        <v>444</v>
      </c>
      <c r="F36" t="s">
        <v>478</v>
      </c>
      <c r="G36" t="s">
        <v>409</v>
      </c>
      <c r="H36">
        <v>25</v>
      </c>
      <c r="I36">
        <v>982</v>
      </c>
      <c r="J36">
        <v>1395</v>
      </c>
      <c r="K36">
        <v>24550</v>
      </c>
      <c r="L36">
        <v>34875</v>
      </c>
      <c r="M36">
        <v>10325</v>
      </c>
      <c r="N36" t="s">
        <v>410</v>
      </c>
    </row>
    <row r="37" spans="1:14" x14ac:dyDescent="0.3">
      <c r="A37" s="16">
        <v>45438</v>
      </c>
      <c r="B37" t="s">
        <v>437</v>
      </c>
      <c r="C37" t="s">
        <v>480</v>
      </c>
      <c r="D37" t="s">
        <v>418</v>
      </c>
      <c r="E37" t="s">
        <v>453</v>
      </c>
      <c r="F37" t="s">
        <v>472</v>
      </c>
      <c r="G37" t="s">
        <v>409</v>
      </c>
      <c r="H37">
        <v>94</v>
      </c>
      <c r="I37">
        <v>754</v>
      </c>
      <c r="J37">
        <v>1354</v>
      </c>
      <c r="K37">
        <v>70876</v>
      </c>
      <c r="L37">
        <v>127276</v>
      </c>
      <c r="M37">
        <v>56400</v>
      </c>
      <c r="N37" t="s">
        <v>410</v>
      </c>
    </row>
    <row r="38" spans="1:14" x14ac:dyDescent="0.3">
      <c r="A38" s="16">
        <v>45704</v>
      </c>
      <c r="B38" t="s">
        <v>459</v>
      </c>
      <c r="C38" t="s">
        <v>481</v>
      </c>
      <c r="D38" t="s">
        <v>418</v>
      </c>
      <c r="E38" t="s">
        <v>453</v>
      </c>
      <c r="F38" t="s">
        <v>454</v>
      </c>
      <c r="G38" t="s">
        <v>428</v>
      </c>
      <c r="H38">
        <v>97</v>
      </c>
      <c r="I38">
        <v>982</v>
      </c>
      <c r="J38">
        <v>1243</v>
      </c>
      <c r="K38">
        <v>95254</v>
      </c>
      <c r="L38">
        <v>120571</v>
      </c>
      <c r="M38">
        <v>25317</v>
      </c>
      <c r="N38" t="s">
        <v>410</v>
      </c>
    </row>
    <row r="39" spans="1:14" x14ac:dyDescent="0.3">
      <c r="A39" s="16">
        <v>45497</v>
      </c>
      <c r="B39" t="s">
        <v>482</v>
      </c>
      <c r="C39" t="s">
        <v>483</v>
      </c>
      <c r="D39" t="s">
        <v>418</v>
      </c>
      <c r="E39" t="s">
        <v>453</v>
      </c>
      <c r="F39" t="s">
        <v>424</v>
      </c>
      <c r="G39" t="s">
        <v>409</v>
      </c>
      <c r="H39">
        <v>87</v>
      </c>
      <c r="I39">
        <v>869</v>
      </c>
      <c r="J39">
        <v>1247</v>
      </c>
      <c r="K39">
        <v>75603</v>
      </c>
      <c r="L39">
        <v>108489</v>
      </c>
      <c r="M39">
        <v>32886</v>
      </c>
      <c r="N39" t="s">
        <v>410</v>
      </c>
    </row>
    <row r="40" spans="1:14" x14ac:dyDescent="0.3">
      <c r="A40" s="16">
        <v>45522</v>
      </c>
      <c r="B40" t="s">
        <v>434</v>
      </c>
      <c r="C40" t="s">
        <v>484</v>
      </c>
      <c r="D40" t="s">
        <v>413</v>
      </c>
      <c r="E40" t="s">
        <v>444</v>
      </c>
      <c r="F40" t="s">
        <v>408</v>
      </c>
      <c r="G40" t="s">
        <v>428</v>
      </c>
      <c r="H40">
        <v>29</v>
      </c>
      <c r="I40">
        <v>872</v>
      </c>
      <c r="J40">
        <v>1351</v>
      </c>
      <c r="K40">
        <v>25288</v>
      </c>
      <c r="L40">
        <v>39179</v>
      </c>
      <c r="M40">
        <v>13891</v>
      </c>
      <c r="N40" t="s">
        <v>410</v>
      </c>
    </row>
    <row r="41" spans="1:14" x14ac:dyDescent="0.3">
      <c r="A41" s="16">
        <v>45644</v>
      </c>
      <c r="B41" t="s">
        <v>416</v>
      </c>
      <c r="C41" t="s">
        <v>485</v>
      </c>
      <c r="D41" t="s">
        <v>418</v>
      </c>
      <c r="E41" t="s">
        <v>453</v>
      </c>
      <c r="F41" t="s">
        <v>426</v>
      </c>
      <c r="G41" t="s">
        <v>409</v>
      </c>
      <c r="H41">
        <v>64</v>
      </c>
      <c r="I41">
        <v>665</v>
      </c>
      <c r="J41">
        <v>783</v>
      </c>
      <c r="K41">
        <v>42560</v>
      </c>
      <c r="L41">
        <v>50112</v>
      </c>
      <c r="M41">
        <v>7552</v>
      </c>
      <c r="N41" t="s">
        <v>410</v>
      </c>
    </row>
    <row r="42" spans="1:14" x14ac:dyDescent="0.3">
      <c r="A42" s="16">
        <v>45691</v>
      </c>
      <c r="B42" t="s">
        <v>459</v>
      </c>
      <c r="C42" t="s">
        <v>486</v>
      </c>
      <c r="D42" t="s">
        <v>413</v>
      </c>
      <c r="E42" t="s">
        <v>444</v>
      </c>
      <c r="F42" t="s">
        <v>442</v>
      </c>
      <c r="G42" t="s">
        <v>409</v>
      </c>
      <c r="H42">
        <v>23</v>
      </c>
      <c r="I42">
        <v>570</v>
      </c>
      <c r="J42">
        <v>1230</v>
      </c>
      <c r="K42">
        <v>13110</v>
      </c>
      <c r="L42">
        <v>28290</v>
      </c>
      <c r="M42">
        <v>15180</v>
      </c>
      <c r="N42" t="s">
        <v>410</v>
      </c>
    </row>
    <row r="43" spans="1:14" x14ac:dyDescent="0.3">
      <c r="A43" s="16">
        <v>45489</v>
      </c>
      <c r="B43" t="s">
        <v>482</v>
      </c>
      <c r="C43" t="s">
        <v>487</v>
      </c>
      <c r="D43" t="s">
        <v>413</v>
      </c>
      <c r="E43" t="s">
        <v>444</v>
      </c>
      <c r="F43" t="s">
        <v>465</v>
      </c>
      <c r="G43" t="s">
        <v>409</v>
      </c>
      <c r="H43">
        <v>24</v>
      </c>
      <c r="I43">
        <v>978</v>
      </c>
      <c r="J43">
        <v>773</v>
      </c>
      <c r="K43">
        <v>23472</v>
      </c>
      <c r="L43">
        <v>18552</v>
      </c>
      <c r="M43">
        <v>-4920</v>
      </c>
      <c r="N43" t="s">
        <v>421</v>
      </c>
    </row>
    <row r="44" spans="1:14" x14ac:dyDescent="0.3">
      <c r="A44" s="16">
        <v>45583</v>
      </c>
      <c r="B44" t="s">
        <v>422</v>
      </c>
      <c r="C44" t="s">
        <v>488</v>
      </c>
      <c r="D44" t="s">
        <v>406</v>
      </c>
      <c r="E44" t="s">
        <v>407</v>
      </c>
      <c r="F44" t="s">
        <v>445</v>
      </c>
      <c r="G44" t="s">
        <v>409</v>
      </c>
      <c r="H44">
        <v>20</v>
      </c>
      <c r="I44">
        <v>784</v>
      </c>
      <c r="J44">
        <v>1320</v>
      </c>
      <c r="K44">
        <v>15680</v>
      </c>
      <c r="L44">
        <v>26400</v>
      </c>
      <c r="M44">
        <v>10720</v>
      </c>
      <c r="N44" t="s">
        <v>410</v>
      </c>
    </row>
    <row r="45" spans="1:14" x14ac:dyDescent="0.3">
      <c r="A45" s="16">
        <v>45542</v>
      </c>
      <c r="B45" t="s">
        <v>431</v>
      </c>
      <c r="C45" t="s">
        <v>489</v>
      </c>
      <c r="D45" t="s">
        <v>418</v>
      </c>
      <c r="E45" t="s">
        <v>419</v>
      </c>
      <c r="F45" t="s">
        <v>478</v>
      </c>
      <c r="G45" t="s">
        <v>428</v>
      </c>
      <c r="H45">
        <v>92</v>
      </c>
      <c r="I45">
        <v>814</v>
      </c>
      <c r="J45">
        <v>865</v>
      </c>
      <c r="K45">
        <v>74888</v>
      </c>
      <c r="L45">
        <v>79580</v>
      </c>
      <c r="M45">
        <v>4692</v>
      </c>
      <c r="N45" t="s">
        <v>410</v>
      </c>
    </row>
    <row r="46" spans="1:14" x14ac:dyDescent="0.3">
      <c r="A46" s="16">
        <v>45623</v>
      </c>
      <c r="B46" t="s">
        <v>411</v>
      </c>
      <c r="C46" t="s">
        <v>490</v>
      </c>
      <c r="D46" t="s">
        <v>413</v>
      </c>
      <c r="E46" t="s">
        <v>414</v>
      </c>
      <c r="F46" t="s">
        <v>445</v>
      </c>
      <c r="G46" t="s">
        <v>409</v>
      </c>
      <c r="H46">
        <v>23</v>
      </c>
      <c r="I46">
        <v>531</v>
      </c>
      <c r="J46">
        <v>1072</v>
      </c>
      <c r="K46">
        <v>12213</v>
      </c>
      <c r="L46">
        <v>24656</v>
      </c>
      <c r="M46">
        <v>12443</v>
      </c>
      <c r="N46" t="s">
        <v>410</v>
      </c>
    </row>
    <row r="47" spans="1:14" x14ac:dyDescent="0.3">
      <c r="A47" s="16">
        <v>45671</v>
      </c>
      <c r="B47" t="s">
        <v>462</v>
      </c>
      <c r="C47" t="s">
        <v>491</v>
      </c>
      <c r="D47" t="s">
        <v>418</v>
      </c>
      <c r="E47" t="s">
        <v>419</v>
      </c>
      <c r="F47" t="s">
        <v>454</v>
      </c>
      <c r="G47" t="s">
        <v>428</v>
      </c>
      <c r="H47">
        <v>56</v>
      </c>
      <c r="I47">
        <v>685</v>
      </c>
      <c r="J47">
        <v>771</v>
      </c>
      <c r="K47">
        <v>38360</v>
      </c>
      <c r="L47">
        <v>43176</v>
      </c>
      <c r="M47">
        <v>4816</v>
      </c>
      <c r="N47" t="s">
        <v>410</v>
      </c>
    </row>
    <row r="48" spans="1:14" x14ac:dyDescent="0.3">
      <c r="A48" s="16">
        <v>45426</v>
      </c>
      <c r="B48" t="s">
        <v>437</v>
      </c>
      <c r="C48" t="s">
        <v>492</v>
      </c>
      <c r="D48" t="s">
        <v>413</v>
      </c>
      <c r="E48" t="s">
        <v>444</v>
      </c>
      <c r="F48" t="s">
        <v>426</v>
      </c>
      <c r="G48" t="s">
        <v>409</v>
      </c>
      <c r="H48">
        <v>21</v>
      </c>
      <c r="I48">
        <v>967</v>
      </c>
      <c r="J48">
        <v>888</v>
      </c>
      <c r="K48">
        <v>20307</v>
      </c>
      <c r="L48">
        <v>18648</v>
      </c>
      <c r="M48">
        <v>-1659</v>
      </c>
      <c r="N48" t="s">
        <v>421</v>
      </c>
    </row>
    <row r="49" spans="1:14" x14ac:dyDescent="0.3">
      <c r="A49" s="16">
        <v>45591</v>
      </c>
      <c r="B49" t="s">
        <v>422</v>
      </c>
      <c r="C49" t="s">
        <v>493</v>
      </c>
      <c r="D49" t="s">
        <v>413</v>
      </c>
      <c r="E49" t="s">
        <v>494</v>
      </c>
      <c r="F49" t="s">
        <v>465</v>
      </c>
      <c r="G49" t="s">
        <v>428</v>
      </c>
      <c r="H49">
        <v>29</v>
      </c>
      <c r="I49">
        <v>661</v>
      </c>
      <c r="J49">
        <v>1400</v>
      </c>
      <c r="K49">
        <v>19169</v>
      </c>
      <c r="L49">
        <v>40600</v>
      </c>
      <c r="M49">
        <v>21431</v>
      </c>
      <c r="N49" t="s">
        <v>410</v>
      </c>
    </row>
    <row r="50" spans="1:14" x14ac:dyDescent="0.3">
      <c r="A50" s="16">
        <v>45708</v>
      </c>
      <c r="B50" t="s">
        <v>459</v>
      </c>
      <c r="C50" t="s">
        <v>495</v>
      </c>
      <c r="D50" t="s">
        <v>418</v>
      </c>
      <c r="E50" t="s">
        <v>453</v>
      </c>
      <c r="F50" t="s">
        <v>451</v>
      </c>
      <c r="G50" t="s">
        <v>409</v>
      </c>
      <c r="H50">
        <v>90</v>
      </c>
      <c r="I50">
        <v>713</v>
      </c>
      <c r="J50">
        <v>1148</v>
      </c>
      <c r="K50">
        <v>64170</v>
      </c>
      <c r="L50">
        <v>103320</v>
      </c>
      <c r="M50">
        <v>39150</v>
      </c>
      <c r="N50" t="s">
        <v>410</v>
      </c>
    </row>
    <row r="51" spans="1:14" x14ac:dyDescent="0.3">
      <c r="A51" s="16">
        <v>45515</v>
      </c>
      <c r="B51" t="s">
        <v>434</v>
      </c>
      <c r="C51" t="s">
        <v>496</v>
      </c>
      <c r="D51" t="s">
        <v>406</v>
      </c>
      <c r="E51" t="s">
        <v>407</v>
      </c>
      <c r="F51" t="s">
        <v>451</v>
      </c>
      <c r="G51" t="s">
        <v>428</v>
      </c>
      <c r="H51">
        <v>17</v>
      </c>
      <c r="I51">
        <v>671</v>
      </c>
      <c r="J51">
        <v>906</v>
      </c>
      <c r="K51">
        <v>11407</v>
      </c>
      <c r="L51">
        <v>15402</v>
      </c>
      <c r="M51">
        <v>3995</v>
      </c>
      <c r="N51" t="s">
        <v>410</v>
      </c>
    </row>
    <row r="52" spans="1:14" x14ac:dyDescent="0.3">
      <c r="A52" s="16">
        <v>45591</v>
      </c>
      <c r="B52" t="s">
        <v>422</v>
      </c>
      <c r="C52" t="s">
        <v>493</v>
      </c>
      <c r="D52" t="s">
        <v>413</v>
      </c>
      <c r="E52" t="s">
        <v>494</v>
      </c>
      <c r="F52" t="s">
        <v>465</v>
      </c>
      <c r="G52" t="s">
        <v>428</v>
      </c>
      <c r="H52">
        <v>22</v>
      </c>
      <c r="I52">
        <v>725</v>
      </c>
      <c r="J52">
        <v>1268</v>
      </c>
      <c r="K52">
        <v>15950</v>
      </c>
      <c r="L52">
        <v>27896</v>
      </c>
      <c r="M52">
        <v>11946</v>
      </c>
      <c r="N52" t="s">
        <v>410</v>
      </c>
    </row>
    <row r="53" spans="1:14" x14ac:dyDescent="0.3">
      <c r="A53" s="16">
        <v>45660</v>
      </c>
      <c r="B53" t="s">
        <v>462</v>
      </c>
      <c r="C53" t="s">
        <v>477</v>
      </c>
      <c r="D53" t="s">
        <v>406</v>
      </c>
      <c r="E53" t="s">
        <v>470</v>
      </c>
      <c r="F53" t="s">
        <v>478</v>
      </c>
      <c r="G53" t="s">
        <v>409</v>
      </c>
      <c r="H53">
        <v>11</v>
      </c>
      <c r="I53">
        <v>562</v>
      </c>
      <c r="J53">
        <v>800</v>
      </c>
      <c r="K53">
        <v>6182</v>
      </c>
      <c r="L53">
        <v>8800</v>
      </c>
      <c r="M53">
        <v>2618</v>
      </c>
      <c r="N53" t="s">
        <v>410</v>
      </c>
    </row>
    <row r="54" spans="1:14" x14ac:dyDescent="0.3">
      <c r="A54" s="16">
        <v>45552</v>
      </c>
      <c r="B54" t="s">
        <v>431</v>
      </c>
      <c r="C54" t="s">
        <v>497</v>
      </c>
      <c r="D54" t="s">
        <v>406</v>
      </c>
      <c r="E54" t="s">
        <v>407</v>
      </c>
      <c r="F54" t="s">
        <v>408</v>
      </c>
      <c r="G54" t="s">
        <v>409</v>
      </c>
      <c r="H54">
        <v>18</v>
      </c>
      <c r="I54">
        <v>602</v>
      </c>
      <c r="J54">
        <v>1401</v>
      </c>
      <c r="K54">
        <v>10836</v>
      </c>
      <c r="L54">
        <v>25218</v>
      </c>
      <c r="M54">
        <v>14382</v>
      </c>
      <c r="N54" t="s">
        <v>410</v>
      </c>
    </row>
    <row r="55" spans="1:14" x14ac:dyDescent="0.3">
      <c r="A55" s="16">
        <v>45384</v>
      </c>
      <c r="B55" t="s">
        <v>449</v>
      </c>
      <c r="C55" t="s">
        <v>498</v>
      </c>
      <c r="D55" t="s">
        <v>413</v>
      </c>
      <c r="E55" t="s">
        <v>494</v>
      </c>
      <c r="F55" t="s">
        <v>451</v>
      </c>
      <c r="G55" t="s">
        <v>428</v>
      </c>
      <c r="H55">
        <v>30</v>
      </c>
      <c r="I55">
        <v>817</v>
      </c>
      <c r="J55">
        <v>1334</v>
      </c>
      <c r="K55">
        <v>24510</v>
      </c>
      <c r="L55">
        <v>40020</v>
      </c>
      <c r="M55">
        <v>15510</v>
      </c>
      <c r="N55" t="s">
        <v>410</v>
      </c>
    </row>
    <row r="56" spans="1:14" x14ac:dyDescent="0.3">
      <c r="A56" s="16">
        <v>45626</v>
      </c>
      <c r="B56" t="s">
        <v>411</v>
      </c>
      <c r="C56" t="s">
        <v>499</v>
      </c>
      <c r="D56" t="s">
        <v>413</v>
      </c>
      <c r="E56" t="s">
        <v>444</v>
      </c>
      <c r="F56" t="s">
        <v>433</v>
      </c>
      <c r="G56" t="s">
        <v>409</v>
      </c>
      <c r="H56">
        <v>28</v>
      </c>
      <c r="I56">
        <v>866</v>
      </c>
      <c r="J56">
        <v>1102</v>
      </c>
      <c r="K56">
        <v>24248</v>
      </c>
      <c r="L56">
        <v>30856</v>
      </c>
      <c r="M56">
        <v>6608</v>
      </c>
      <c r="N56" t="s">
        <v>410</v>
      </c>
    </row>
    <row r="57" spans="1:14" x14ac:dyDescent="0.3">
      <c r="A57" s="16">
        <v>45418</v>
      </c>
      <c r="B57" t="s">
        <v>437</v>
      </c>
      <c r="C57" t="s">
        <v>500</v>
      </c>
      <c r="D57" t="s">
        <v>413</v>
      </c>
      <c r="E57" t="s">
        <v>414</v>
      </c>
      <c r="F57" t="s">
        <v>424</v>
      </c>
      <c r="G57" t="s">
        <v>409</v>
      </c>
      <c r="H57">
        <v>25</v>
      </c>
      <c r="I57">
        <v>627</v>
      </c>
      <c r="J57">
        <v>1071</v>
      </c>
      <c r="K57">
        <v>15675</v>
      </c>
      <c r="L57">
        <v>26775</v>
      </c>
      <c r="M57">
        <v>11100</v>
      </c>
      <c r="N57" t="s">
        <v>410</v>
      </c>
    </row>
    <row r="58" spans="1:14" x14ac:dyDescent="0.3">
      <c r="A58" s="16">
        <v>45442</v>
      </c>
      <c r="B58" t="s">
        <v>437</v>
      </c>
      <c r="C58" t="s">
        <v>501</v>
      </c>
      <c r="D58" t="s">
        <v>418</v>
      </c>
      <c r="E58" t="s">
        <v>453</v>
      </c>
      <c r="F58" t="s">
        <v>408</v>
      </c>
      <c r="G58" t="s">
        <v>428</v>
      </c>
      <c r="H58">
        <v>67</v>
      </c>
      <c r="I58">
        <v>760</v>
      </c>
      <c r="J58">
        <v>1006</v>
      </c>
      <c r="K58">
        <v>50920</v>
      </c>
      <c r="L58">
        <v>67402</v>
      </c>
      <c r="M58">
        <v>16482</v>
      </c>
      <c r="N58" t="s">
        <v>410</v>
      </c>
    </row>
    <row r="59" spans="1:14" x14ac:dyDescent="0.3">
      <c r="A59" s="16">
        <v>45669</v>
      </c>
      <c r="B59" t="s">
        <v>462</v>
      </c>
      <c r="C59" t="s">
        <v>502</v>
      </c>
      <c r="D59" t="s">
        <v>418</v>
      </c>
      <c r="E59" t="s">
        <v>453</v>
      </c>
      <c r="F59" t="s">
        <v>426</v>
      </c>
      <c r="G59" t="s">
        <v>409</v>
      </c>
      <c r="H59">
        <v>75</v>
      </c>
      <c r="I59">
        <v>539</v>
      </c>
      <c r="J59">
        <v>1068</v>
      </c>
      <c r="K59">
        <v>40425</v>
      </c>
      <c r="L59">
        <v>80100</v>
      </c>
      <c r="M59">
        <v>39675</v>
      </c>
      <c r="N59" t="s">
        <v>410</v>
      </c>
    </row>
    <row r="60" spans="1:14" x14ac:dyDescent="0.3">
      <c r="A60" s="16">
        <v>45456</v>
      </c>
      <c r="B60" t="s">
        <v>404</v>
      </c>
      <c r="C60" t="s">
        <v>503</v>
      </c>
      <c r="D60" t="s">
        <v>406</v>
      </c>
      <c r="E60" t="s">
        <v>470</v>
      </c>
      <c r="F60" t="s">
        <v>504</v>
      </c>
      <c r="G60" t="s">
        <v>409</v>
      </c>
      <c r="H60">
        <v>11</v>
      </c>
      <c r="I60">
        <v>774</v>
      </c>
      <c r="J60">
        <v>1363</v>
      </c>
      <c r="K60">
        <v>8514</v>
      </c>
      <c r="L60">
        <v>14993</v>
      </c>
      <c r="M60">
        <v>6479</v>
      </c>
      <c r="N60" t="s">
        <v>410</v>
      </c>
    </row>
    <row r="61" spans="1:14" x14ac:dyDescent="0.3">
      <c r="A61" s="16">
        <v>45490</v>
      </c>
      <c r="B61" t="s">
        <v>482</v>
      </c>
      <c r="C61" t="s">
        <v>505</v>
      </c>
      <c r="D61" t="s">
        <v>413</v>
      </c>
      <c r="E61" t="s">
        <v>444</v>
      </c>
      <c r="F61" t="s">
        <v>420</v>
      </c>
      <c r="G61" t="s">
        <v>409</v>
      </c>
      <c r="H61">
        <v>30</v>
      </c>
      <c r="I61">
        <v>514</v>
      </c>
      <c r="J61">
        <v>1333</v>
      </c>
      <c r="K61">
        <v>15420</v>
      </c>
      <c r="L61">
        <v>39990</v>
      </c>
      <c r="M61">
        <v>24570</v>
      </c>
      <c r="N61" t="s">
        <v>410</v>
      </c>
    </row>
    <row r="62" spans="1:14" x14ac:dyDescent="0.3">
      <c r="A62" s="16">
        <v>45400</v>
      </c>
      <c r="B62" t="s">
        <v>449</v>
      </c>
      <c r="C62" t="s">
        <v>506</v>
      </c>
      <c r="D62" t="s">
        <v>418</v>
      </c>
      <c r="E62" t="s">
        <v>448</v>
      </c>
      <c r="F62" t="s">
        <v>415</v>
      </c>
      <c r="G62" t="s">
        <v>409</v>
      </c>
      <c r="H62">
        <v>57</v>
      </c>
      <c r="I62">
        <v>881</v>
      </c>
      <c r="J62">
        <v>1185</v>
      </c>
      <c r="K62">
        <v>50217</v>
      </c>
      <c r="L62">
        <v>67545</v>
      </c>
      <c r="M62">
        <v>17328</v>
      </c>
      <c r="N62" t="s">
        <v>410</v>
      </c>
    </row>
    <row r="63" spans="1:14" x14ac:dyDescent="0.3">
      <c r="A63" s="16">
        <v>45583</v>
      </c>
      <c r="B63" t="s">
        <v>422</v>
      </c>
      <c r="C63" t="s">
        <v>488</v>
      </c>
      <c r="D63" t="s">
        <v>406</v>
      </c>
      <c r="E63" t="s">
        <v>407</v>
      </c>
      <c r="F63" t="s">
        <v>445</v>
      </c>
      <c r="G63" t="s">
        <v>409</v>
      </c>
      <c r="H63">
        <v>20</v>
      </c>
      <c r="I63">
        <v>963</v>
      </c>
      <c r="J63">
        <v>865</v>
      </c>
      <c r="K63">
        <v>19260</v>
      </c>
      <c r="L63">
        <v>17300</v>
      </c>
      <c r="M63">
        <v>-1960</v>
      </c>
      <c r="N63" t="s">
        <v>421</v>
      </c>
    </row>
    <row r="64" spans="1:14" x14ac:dyDescent="0.3">
      <c r="A64" s="16">
        <v>45528</v>
      </c>
      <c r="B64" t="s">
        <v>434</v>
      </c>
      <c r="C64" t="s">
        <v>507</v>
      </c>
      <c r="D64" t="s">
        <v>418</v>
      </c>
      <c r="E64" t="s">
        <v>453</v>
      </c>
      <c r="F64" t="s">
        <v>433</v>
      </c>
      <c r="G64" t="s">
        <v>409</v>
      </c>
      <c r="H64">
        <v>61</v>
      </c>
      <c r="I64">
        <v>675</v>
      </c>
      <c r="J64">
        <v>770</v>
      </c>
      <c r="K64">
        <v>41175</v>
      </c>
      <c r="L64">
        <v>46970</v>
      </c>
      <c r="M64">
        <v>5795</v>
      </c>
      <c r="N64" t="s">
        <v>410</v>
      </c>
    </row>
    <row r="65" spans="1:14" x14ac:dyDescent="0.3">
      <c r="A65" s="16">
        <v>45407</v>
      </c>
      <c r="B65" t="s">
        <v>449</v>
      </c>
      <c r="C65" t="s">
        <v>508</v>
      </c>
      <c r="D65" t="s">
        <v>413</v>
      </c>
      <c r="E65" t="s">
        <v>414</v>
      </c>
      <c r="F65" t="s">
        <v>454</v>
      </c>
      <c r="G65" t="s">
        <v>409</v>
      </c>
      <c r="H65">
        <v>24</v>
      </c>
      <c r="I65">
        <v>859</v>
      </c>
      <c r="J65">
        <v>1473</v>
      </c>
      <c r="K65">
        <v>20616</v>
      </c>
      <c r="L65">
        <v>35352</v>
      </c>
      <c r="M65">
        <v>14736</v>
      </c>
      <c r="N65" t="s">
        <v>410</v>
      </c>
    </row>
    <row r="66" spans="1:14" x14ac:dyDescent="0.3">
      <c r="A66" s="16">
        <v>45494</v>
      </c>
      <c r="B66" t="s">
        <v>482</v>
      </c>
      <c r="C66" t="s">
        <v>509</v>
      </c>
      <c r="D66" t="s">
        <v>413</v>
      </c>
      <c r="E66" t="s">
        <v>444</v>
      </c>
      <c r="F66" t="s">
        <v>510</v>
      </c>
      <c r="G66" t="s">
        <v>409</v>
      </c>
      <c r="H66">
        <v>21</v>
      </c>
      <c r="I66">
        <v>626</v>
      </c>
      <c r="J66">
        <v>772</v>
      </c>
      <c r="K66">
        <v>13146</v>
      </c>
      <c r="L66">
        <v>16212</v>
      </c>
      <c r="M66">
        <v>3066</v>
      </c>
      <c r="N66" t="s">
        <v>410</v>
      </c>
    </row>
    <row r="67" spans="1:14" x14ac:dyDescent="0.3">
      <c r="A67" s="16">
        <v>45561</v>
      </c>
      <c r="B67" t="s">
        <v>431</v>
      </c>
      <c r="C67" t="s">
        <v>511</v>
      </c>
      <c r="D67" t="s">
        <v>418</v>
      </c>
      <c r="E67" t="s">
        <v>419</v>
      </c>
      <c r="F67" t="s">
        <v>445</v>
      </c>
      <c r="G67" t="s">
        <v>428</v>
      </c>
      <c r="H67">
        <v>98</v>
      </c>
      <c r="I67">
        <v>711</v>
      </c>
      <c r="J67">
        <v>1190</v>
      </c>
      <c r="K67">
        <v>69678</v>
      </c>
      <c r="L67">
        <v>116620</v>
      </c>
      <c r="M67">
        <v>46942</v>
      </c>
      <c r="N67" t="s">
        <v>410</v>
      </c>
    </row>
    <row r="68" spans="1:14" x14ac:dyDescent="0.3">
      <c r="A68" s="16">
        <v>45651</v>
      </c>
      <c r="B68" t="s">
        <v>416</v>
      </c>
      <c r="C68" t="s">
        <v>512</v>
      </c>
      <c r="D68" t="s">
        <v>418</v>
      </c>
      <c r="E68" t="s">
        <v>419</v>
      </c>
      <c r="F68" t="s">
        <v>442</v>
      </c>
      <c r="G68" t="s">
        <v>409</v>
      </c>
      <c r="H68">
        <v>60</v>
      </c>
      <c r="I68">
        <v>783</v>
      </c>
      <c r="J68">
        <v>1422</v>
      </c>
      <c r="K68">
        <v>46980</v>
      </c>
      <c r="L68">
        <v>85320</v>
      </c>
      <c r="M68">
        <v>38340</v>
      </c>
      <c r="N68" t="s">
        <v>410</v>
      </c>
    </row>
    <row r="69" spans="1:14" x14ac:dyDescent="0.3">
      <c r="A69" s="16">
        <v>45692</v>
      </c>
      <c r="B69" t="s">
        <v>459</v>
      </c>
      <c r="C69" t="s">
        <v>513</v>
      </c>
      <c r="D69" t="s">
        <v>413</v>
      </c>
      <c r="E69" t="s">
        <v>444</v>
      </c>
      <c r="F69" t="s">
        <v>510</v>
      </c>
      <c r="G69" t="s">
        <v>428</v>
      </c>
      <c r="H69">
        <v>21</v>
      </c>
      <c r="I69">
        <v>938</v>
      </c>
      <c r="J69">
        <v>1275</v>
      </c>
      <c r="K69">
        <v>19698</v>
      </c>
      <c r="L69">
        <v>26775</v>
      </c>
      <c r="M69">
        <v>7077</v>
      </c>
      <c r="N69" t="s">
        <v>410</v>
      </c>
    </row>
    <row r="70" spans="1:14" x14ac:dyDescent="0.3">
      <c r="A70" s="16">
        <v>45488</v>
      </c>
      <c r="B70" t="s">
        <v>482</v>
      </c>
      <c r="C70" t="s">
        <v>514</v>
      </c>
      <c r="D70" t="s">
        <v>413</v>
      </c>
      <c r="E70" t="s">
        <v>444</v>
      </c>
      <c r="F70" t="s">
        <v>433</v>
      </c>
      <c r="G70" t="s">
        <v>409</v>
      </c>
      <c r="H70">
        <v>26</v>
      </c>
      <c r="I70">
        <v>627</v>
      </c>
      <c r="J70">
        <v>1416</v>
      </c>
      <c r="K70">
        <v>16302</v>
      </c>
      <c r="L70">
        <v>36816</v>
      </c>
      <c r="M70">
        <v>20514</v>
      </c>
      <c r="N70" t="s">
        <v>410</v>
      </c>
    </row>
    <row r="71" spans="1:14" x14ac:dyDescent="0.3">
      <c r="A71" s="16">
        <v>45495</v>
      </c>
      <c r="B71" t="s">
        <v>482</v>
      </c>
      <c r="C71" t="s">
        <v>515</v>
      </c>
      <c r="D71" t="s">
        <v>418</v>
      </c>
      <c r="E71" t="s">
        <v>453</v>
      </c>
      <c r="F71" t="s">
        <v>439</v>
      </c>
      <c r="G71" t="s">
        <v>409</v>
      </c>
      <c r="H71">
        <v>79</v>
      </c>
      <c r="I71">
        <v>880</v>
      </c>
      <c r="J71">
        <v>1403</v>
      </c>
      <c r="K71">
        <v>69520</v>
      </c>
      <c r="L71">
        <v>110837</v>
      </c>
      <c r="M71">
        <v>41317</v>
      </c>
      <c r="N71" t="s">
        <v>410</v>
      </c>
    </row>
    <row r="72" spans="1:14" x14ac:dyDescent="0.3">
      <c r="A72" s="16">
        <v>45471</v>
      </c>
      <c r="B72" t="s">
        <v>404</v>
      </c>
      <c r="C72" t="s">
        <v>516</v>
      </c>
      <c r="D72" t="s">
        <v>418</v>
      </c>
      <c r="E72" t="s">
        <v>419</v>
      </c>
      <c r="F72" t="s">
        <v>454</v>
      </c>
      <c r="G72" t="s">
        <v>428</v>
      </c>
      <c r="H72">
        <v>88</v>
      </c>
      <c r="I72">
        <v>566</v>
      </c>
      <c r="J72">
        <v>1093</v>
      </c>
      <c r="K72">
        <v>49808</v>
      </c>
      <c r="L72">
        <v>96184</v>
      </c>
      <c r="M72">
        <v>46376</v>
      </c>
      <c r="N72" t="s">
        <v>410</v>
      </c>
    </row>
    <row r="73" spans="1:14" x14ac:dyDescent="0.3">
      <c r="A73" s="16">
        <v>45523</v>
      </c>
      <c r="B73" t="s">
        <v>434</v>
      </c>
      <c r="C73" t="s">
        <v>517</v>
      </c>
      <c r="D73" t="s">
        <v>413</v>
      </c>
      <c r="E73" t="s">
        <v>444</v>
      </c>
      <c r="F73" t="s">
        <v>433</v>
      </c>
      <c r="G73" t="s">
        <v>428</v>
      </c>
      <c r="H73">
        <v>28</v>
      </c>
      <c r="I73">
        <v>923</v>
      </c>
      <c r="J73">
        <v>1395</v>
      </c>
      <c r="K73">
        <v>25844</v>
      </c>
      <c r="L73">
        <v>39060</v>
      </c>
      <c r="M73">
        <v>13216</v>
      </c>
      <c r="N73" t="s">
        <v>410</v>
      </c>
    </row>
    <row r="74" spans="1:14" x14ac:dyDescent="0.3">
      <c r="A74" s="16">
        <v>45658</v>
      </c>
      <c r="B74" t="s">
        <v>462</v>
      </c>
      <c r="C74" t="s">
        <v>518</v>
      </c>
      <c r="D74" t="s">
        <v>418</v>
      </c>
      <c r="E74" t="s">
        <v>419</v>
      </c>
      <c r="F74" t="s">
        <v>465</v>
      </c>
      <c r="G74" t="s">
        <v>409</v>
      </c>
      <c r="H74">
        <v>74</v>
      </c>
      <c r="I74">
        <v>965</v>
      </c>
      <c r="J74">
        <v>906</v>
      </c>
      <c r="K74">
        <v>71410</v>
      </c>
      <c r="L74">
        <v>67044</v>
      </c>
      <c r="M74">
        <v>-4366</v>
      </c>
      <c r="N74" t="s">
        <v>421</v>
      </c>
    </row>
    <row r="75" spans="1:14" x14ac:dyDescent="0.3">
      <c r="A75" s="16">
        <v>45600</v>
      </c>
      <c r="B75" t="s">
        <v>411</v>
      </c>
      <c r="C75" t="s">
        <v>519</v>
      </c>
      <c r="D75" t="s">
        <v>413</v>
      </c>
      <c r="E75" t="s">
        <v>430</v>
      </c>
      <c r="F75" t="s">
        <v>424</v>
      </c>
      <c r="G75" t="s">
        <v>409</v>
      </c>
      <c r="H75">
        <v>20</v>
      </c>
      <c r="I75">
        <v>941</v>
      </c>
      <c r="J75">
        <v>1181</v>
      </c>
      <c r="K75">
        <v>18820</v>
      </c>
      <c r="L75">
        <v>23620</v>
      </c>
      <c r="M75">
        <v>4800</v>
      </c>
      <c r="N75" t="s">
        <v>410</v>
      </c>
    </row>
    <row r="76" spans="1:14" x14ac:dyDescent="0.3">
      <c r="A76" s="16">
        <v>45484</v>
      </c>
      <c r="B76" t="s">
        <v>482</v>
      </c>
      <c r="C76" t="s">
        <v>520</v>
      </c>
      <c r="D76" t="s">
        <v>413</v>
      </c>
      <c r="E76" t="s">
        <v>444</v>
      </c>
      <c r="F76" t="s">
        <v>433</v>
      </c>
      <c r="G76" t="s">
        <v>428</v>
      </c>
      <c r="H76">
        <v>29</v>
      </c>
      <c r="I76">
        <v>965</v>
      </c>
      <c r="J76">
        <v>1195</v>
      </c>
      <c r="K76">
        <v>27985</v>
      </c>
      <c r="L76">
        <v>34655</v>
      </c>
      <c r="M76">
        <v>6670</v>
      </c>
      <c r="N76" t="s">
        <v>410</v>
      </c>
    </row>
    <row r="77" spans="1:14" x14ac:dyDescent="0.3">
      <c r="A77" s="16">
        <v>45678</v>
      </c>
      <c r="B77" t="s">
        <v>462</v>
      </c>
      <c r="C77" t="s">
        <v>521</v>
      </c>
      <c r="D77" t="s">
        <v>406</v>
      </c>
      <c r="E77" t="s">
        <v>407</v>
      </c>
      <c r="F77" t="s">
        <v>510</v>
      </c>
      <c r="G77" t="s">
        <v>409</v>
      </c>
      <c r="H77">
        <v>20</v>
      </c>
      <c r="I77">
        <v>900</v>
      </c>
      <c r="J77">
        <v>1431</v>
      </c>
      <c r="K77">
        <v>18000</v>
      </c>
      <c r="L77">
        <v>28620</v>
      </c>
      <c r="M77">
        <v>10620</v>
      </c>
      <c r="N77" t="s">
        <v>410</v>
      </c>
    </row>
    <row r="78" spans="1:14" x14ac:dyDescent="0.3">
      <c r="A78" s="16">
        <v>45673</v>
      </c>
      <c r="B78" t="s">
        <v>462</v>
      </c>
      <c r="C78" t="s">
        <v>522</v>
      </c>
      <c r="D78" t="s">
        <v>418</v>
      </c>
      <c r="E78" t="s">
        <v>419</v>
      </c>
      <c r="F78" t="s">
        <v>465</v>
      </c>
      <c r="G78" t="s">
        <v>428</v>
      </c>
      <c r="H78">
        <v>82</v>
      </c>
      <c r="I78">
        <v>916</v>
      </c>
      <c r="J78">
        <v>1461</v>
      </c>
      <c r="K78">
        <v>75112</v>
      </c>
      <c r="L78">
        <v>119802</v>
      </c>
      <c r="M78">
        <v>44690</v>
      </c>
      <c r="N78" t="s">
        <v>410</v>
      </c>
    </row>
    <row r="79" spans="1:14" x14ac:dyDescent="0.3">
      <c r="A79" s="16">
        <v>45534</v>
      </c>
      <c r="B79" t="s">
        <v>434</v>
      </c>
      <c r="C79" t="s">
        <v>523</v>
      </c>
      <c r="D79" t="s">
        <v>418</v>
      </c>
      <c r="E79" t="s">
        <v>453</v>
      </c>
      <c r="F79" t="s">
        <v>510</v>
      </c>
      <c r="G79" t="s">
        <v>428</v>
      </c>
      <c r="H79">
        <v>59</v>
      </c>
      <c r="I79">
        <v>638</v>
      </c>
      <c r="J79">
        <v>1080</v>
      </c>
      <c r="K79">
        <v>37642</v>
      </c>
      <c r="L79">
        <v>63720</v>
      </c>
      <c r="M79">
        <v>26078</v>
      </c>
      <c r="N79" t="s">
        <v>410</v>
      </c>
    </row>
    <row r="80" spans="1:14" x14ac:dyDescent="0.3">
      <c r="A80" s="16">
        <v>45652</v>
      </c>
      <c r="B80" t="s">
        <v>416</v>
      </c>
      <c r="C80" t="s">
        <v>524</v>
      </c>
      <c r="D80" t="s">
        <v>418</v>
      </c>
      <c r="E80" t="s">
        <v>419</v>
      </c>
      <c r="F80" t="s">
        <v>510</v>
      </c>
      <c r="G80" t="s">
        <v>409</v>
      </c>
      <c r="H80">
        <v>91</v>
      </c>
      <c r="I80">
        <v>906</v>
      </c>
      <c r="J80">
        <v>925</v>
      </c>
      <c r="K80">
        <v>82446</v>
      </c>
      <c r="L80">
        <v>84175</v>
      </c>
      <c r="M80">
        <v>1729</v>
      </c>
      <c r="N80" t="s">
        <v>410</v>
      </c>
    </row>
    <row r="81" spans="1:14" x14ac:dyDescent="0.3">
      <c r="A81" s="16">
        <v>45576</v>
      </c>
      <c r="B81" t="s">
        <v>422</v>
      </c>
      <c r="C81" t="s">
        <v>525</v>
      </c>
      <c r="D81" t="s">
        <v>418</v>
      </c>
      <c r="E81" t="s">
        <v>419</v>
      </c>
      <c r="F81" t="s">
        <v>504</v>
      </c>
      <c r="G81" t="s">
        <v>409</v>
      </c>
      <c r="H81">
        <v>61</v>
      </c>
      <c r="I81">
        <v>547</v>
      </c>
      <c r="J81">
        <v>1060</v>
      </c>
      <c r="K81">
        <v>33367</v>
      </c>
      <c r="L81">
        <v>64660</v>
      </c>
      <c r="M81">
        <v>31293</v>
      </c>
      <c r="N81" t="s">
        <v>410</v>
      </c>
    </row>
    <row r="82" spans="1:14" x14ac:dyDescent="0.3">
      <c r="A82" s="16">
        <v>45611</v>
      </c>
      <c r="B82" t="s">
        <v>411</v>
      </c>
      <c r="C82" t="s">
        <v>526</v>
      </c>
      <c r="D82" t="s">
        <v>413</v>
      </c>
      <c r="E82" t="s">
        <v>414</v>
      </c>
      <c r="F82" t="s">
        <v>408</v>
      </c>
      <c r="G82" t="s">
        <v>428</v>
      </c>
      <c r="H82">
        <v>28</v>
      </c>
      <c r="I82">
        <v>986</v>
      </c>
      <c r="J82">
        <v>866</v>
      </c>
      <c r="K82">
        <v>27608</v>
      </c>
      <c r="L82">
        <v>24248</v>
      </c>
      <c r="M82">
        <v>-3360</v>
      </c>
      <c r="N82" t="s">
        <v>421</v>
      </c>
    </row>
    <row r="83" spans="1:14" x14ac:dyDescent="0.3">
      <c r="A83" s="16">
        <v>45520</v>
      </c>
      <c r="B83" t="s">
        <v>434</v>
      </c>
      <c r="C83" t="s">
        <v>446</v>
      </c>
      <c r="D83" t="s">
        <v>413</v>
      </c>
      <c r="E83" t="s">
        <v>444</v>
      </c>
      <c r="F83" t="s">
        <v>415</v>
      </c>
      <c r="G83" t="s">
        <v>428</v>
      </c>
      <c r="H83">
        <v>23</v>
      </c>
      <c r="I83">
        <v>884</v>
      </c>
      <c r="J83">
        <v>1392</v>
      </c>
      <c r="K83">
        <v>20332</v>
      </c>
      <c r="L83">
        <v>32016</v>
      </c>
      <c r="M83">
        <v>11684</v>
      </c>
      <c r="N83" t="s">
        <v>410</v>
      </c>
    </row>
    <row r="84" spans="1:14" x14ac:dyDescent="0.3">
      <c r="A84" s="16">
        <v>45408</v>
      </c>
      <c r="B84" t="s">
        <v>449</v>
      </c>
      <c r="C84" t="s">
        <v>527</v>
      </c>
      <c r="D84" t="s">
        <v>413</v>
      </c>
      <c r="E84" t="s">
        <v>414</v>
      </c>
      <c r="F84" t="s">
        <v>433</v>
      </c>
      <c r="G84" t="s">
        <v>409</v>
      </c>
      <c r="H84">
        <v>22</v>
      </c>
      <c r="I84">
        <v>822</v>
      </c>
      <c r="J84">
        <v>1153</v>
      </c>
      <c r="K84">
        <v>18084</v>
      </c>
      <c r="L84">
        <v>25366</v>
      </c>
      <c r="M84">
        <v>7282</v>
      </c>
      <c r="N84" t="s">
        <v>410</v>
      </c>
    </row>
    <row r="85" spans="1:14" x14ac:dyDescent="0.3">
      <c r="A85" s="16">
        <v>45467</v>
      </c>
      <c r="B85" t="s">
        <v>404</v>
      </c>
      <c r="C85" t="s">
        <v>528</v>
      </c>
      <c r="D85" t="s">
        <v>418</v>
      </c>
      <c r="E85" t="s">
        <v>419</v>
      </c>
      <c r="F85" t="s">
        <v>478</v>
      </c>
      <c r="G85" t="s">
        <v>428</v>
      </c>
      <c r="H85">
        <v>51</v>
      </c>
      <c r="I85">
        <v>868</v>
      </c>
      <c r="J85">
        <v>938</v>
      </c>
      <c r="K85">
        <v>44268</v>
      </c>
      <c r="L85">
        <v>47838</v>
      </c>
      <c r="M85">
        <v>3570</v>
      </c>
      <c r="N85" t="s">
        <v>410</v>
      </c>
    </row>
    <row r="86" spans="1:14" x14ac:dyDescent="0.3">
      <c r="A86" s="16">
        <v>45473</v>
      </c>
      <c r="B86" t="s">
        <v>404</v>
      </c>
      <c r="C86" t="s">
        <v>529</v>
      </c>
      <c r="D86" t="s">
        <v>406</v>
      </c>
      <c r="E86" t="s">
        <v>407</v>
      </c>
      <c r="F86" t="s">
        <v>433</v>
      </c>
      <c r="G86" t="s">
        <v>409</v>
      </c>
      <c r="H86">
        <v>11</v>
      </c>
      <c r="I86">
        <v>503</v>
      </c>
      <c r="J86">
        <v>762</v>
      </c>
      <c r="K86">
        <v>5533</v>
      </c>
      <c r="L86">
        <v>8382</v>
      </c>
      <c r="M86">
        <v>2849</v>
      </c>
      <c r="N86" t="s">
        <v>410</v>
      </c>
    </row>
    <row r="87" spans="1:14" x14ac:dyDescent="0.3">
      <c r="A87" s="16">
        <v>45432</v>
      </c>
      <c r="B87" t="s">
        <v>437</v>
      </c>
      <c r="C87" t="s">
        <v>530</v>
      </c>
      <c r="D87" t="s">
        <v>418</v>
      </c>
      <c r="E87" t="s">
        <v>453</v>
      </c>
      <c r="F87" t="s">
        <v>408</v>
      </c>
      <c r="G87" t="s">
        <v>428</v>
      </c>
      <c r="H87">
        <v>90</v>
      </c>
      <c r="I87">
        <v>718</v>
      </c>
      <c r="J87">
        <v>1353</v>
      </c>
      <c r="K87">
        <v>64620</v>
      </c>
      <c r="L87">
        <v>121770</v>
      </c>
      <c r="M87">
        <v>57150</v>
      </c>
      <c r="N87" t="s">
        <v>410</v>
      </c>
    </row>
    <row r="88" spans="1:14" x14ac:dyDescent="0.3">
      <c r="A88" s="16">
        <v>45601</v>
      </c>
      <c r="B88" t="s">
        <v>411</v>
      </c>
      <c r="C88" t="s">
        <v>531</v>
      </c>
      <c r="D88" t="s">
        <v>413</v>
      </c>
      <c r="E88" t="s">
        <v>430</v>
      </c>
      <c r="F88" t="s">
        <v>532</v>
      </c>
      <c r="G88" t="s">
        <v>409</v>
      </c>
      <c r="H88">
        <v>24</v>
      </c>
      <c r="I88">
        <v>641</v>
      </c>
      <c r="J88">
        <v>1337</v>
      </c>
      <c r="K88">
        <v>15384</v>
      </c>
      <c r="L88">
        <v>32088</v>
      </c>
      <c r="M88">
        <v>16704</v>
      </c>
      <c r="N88" t="s">
        <v>410</v>
      </c>
    </row>
    <row r="89" spans="1:14" x14ac:dyDescent="0.3">
      <c r="A89" s="16">
        <v>45511</v>
      </c>
      <c r="B89" t="s">
        <v>434</v>
      </c>
      <c r="C89" t="s">
        <v>533</v>
      </c>
      <c r="D89" t="s">
        <v>406</v>
      </c>
      <c r="E89" t="s">
        <v>407</v>
      </c>
      <c r="F89" t="s">
        <v>454</v>
      </c>
      <c r="G89" t="s">
        <v>409</v>
      </c>
      <c r="H89">
        <v>20</v>
      </c>
      <c r="I89">
        <v>803</v>
      </c>
      <c r="J89">
        <v>1377</v>
      </c>
      <c r="K89">
        <v>16060</v>
      </c>
      <c r="L89">
        <v>27540</v>
      </c>
      <c r="M89">
        <v>11480</v>
      </c>
      <c r="N89" t="s">
        <v>410</v>
      </c>
    </row>
    <row r="90" spans="1:14" x14ac:dyDescent="0.3">
      <c r="A90" s="16">
        <v>45530</v>
      </c>
      <c r="B90" t="s">
        <v>434</v>
      </c>
      <c r="C90" t="s">
        <v>534</v>
      </c>
      <c r="D90" t="s">
        <v>418</v>
      </c>
      <c r="E90" t="s">
        <v>453</v>
      </c>
      <c r="F90" t="s">
        <v>420</v>
      </c>
      <c r="G90" t="s">
        <v>409</v>
      </c>
      <c r="H90">
        <v>60</v>
      </c>
      <c r="I90">
        <v>676</v>
      </c>
      <c r="J90">
        <v>768</v>
      </c>
      <c r="K90">
        <v>40560</v>
      </c>
      <c r="L90">
        <v>46080</v>
      </c>
      <c r="M90">
        <v>5520</v>
      </c>
      <c r="N90" t="s">
        <v>410</v>
      </c>
    </row>
    <row r="91" spans="1:14" x14ac:dyDescent="0.3">
      <c r="A91" s="16">
        <v>45703</v>
      </c>
      <c r="B91" t="s">
        <v>459</v>
      </c>
      <c r="C91" t="s">
        <v>535</v>
      </c>
      <c r="D91" t="s">
        <v>418</v>
      </c>
      <c r="E91" t="s">
        <v>453</v>
      </c>
      <c r="F91" t="s">
        <v>426</v>
      </c>
      <c r="G91" t="s">
        <v>409</v>
      </c>
      <c r="H91">
        <v>50</v>
      </c>
      <c r="I91">
        <v>887</v>
      </c>
      <c r="J91">
        <v>1068</v>
      </c>
      <c r="K91">
        <v>44350</v>
      </c>
      <c r="L91">
        <v>53400</v>
      </c>
      <c r="M91">
        <v>9050</v>
      </c>
      <c r="N91" t="s">
        <v>410</v>
      </c>
    </row>
    <row r="92" spans="1:14" x14ac:dyDescent="0.3">
      <c r="A92" s="16">
        <v>45496</v>
      </c>
      <c r="B92" t="s">
        <v>482</v>
      </c>
      <c r="C92" t="s">
        <v>536</v>
      </c>
      <c r="D92" t="s">
        <v>418</v>
      </c>
      <c r="E92" t="s">
        <v>453</v>
      </c>
      <c r="F92" t="s">
        <v>504</v>
      </c>
      <c r="G92" t="s">
        <v>409</v>
      </c>
      <c r="H92">
        <v>75</v>
      </c>
      <c r="I92">
        <v>871</v>
      </c>
      <c r="J92">
        <v>1274</v>
      </c>
      <c r="K92">
        <v>65325</v>
      </c>
      <c r="L92">
        <v>95550</v>
      </c>
      <c r="M92">
        <v>30225</v>
      </c>
      <c r="N92" t="s">
        <v>410</v>
      </c>
    </row>
    <row r="93" spans="1:14" x14ac:dyDescent="0.3">
      <c r="A93" s="16">
        <v>45593</v>
      </c>
      <c r="B93" t="s">
        <v>422</v>
      </c>
      <c r="C93" t="s">
        <v>537</v>
      </c>
      <c r="D93" t="s">
        <v>418</v>
      </c>
      <c r="E93" t="s">
        <v>441</v>
      </c>
      <c r="F93" t="s">
        <v>451</v>
      </c>
      <c r="G93" t="s">
        <v>428</v>
      </c>
      <c r="H93">
        <v>86</v>
      </c>
      <c r="I93">
        <v>949</v>
      </c>
      <c r="J93">
        <v>924</v>
      </c>
      <c r="K93">
        <v>81614</v>
      </c>
      <c r="L93">
        <v>79464</v>
      </c>
      <c r="M93">
        <v>-2150</v>
      </c>
      <c r="N93" t="s">
        <v>421</v>
      </c>
    </row>
    <row r="94" spans="1:14" x14ac:dyDescent="0.3">
      <c r="A94" s="16">
        <v>45647</v>
      </c>
      <c r="B94" t="s">
        <v>416</v>
      </c>
      <c r="C94" t="s">
        <v>538</v>
      </c>
      <c r="D94" t="s">
        <v>418</v>
      </c>
      <c r="E94" t="s">
        <v>453</v>
      </c>
      <c r="F94" t="s">
        <v>465</v>
      </c>
      <c r="G94" t="s">
        <v>409</v>
      </c>
      <c r="H94">
        <v>81</v>
      </c>
      <c r="I94">
        <v>522</v>
      </c>
      <c r="J94">
        <v>1238</v>
      </c>
      <c r="K94">
        <v>42282</v>
      </c>
      <c r="L94">
        <v>100278</v>
      </c>
      <c r="M94">
        <v>57996</v>
      </c>
      <c r="N94" t="s">
        <v>410</v>
      </c>
    </row>
    <row r="95" spans="1:14" x14ac:dyDescent="0.3">
      <c r="A95" s="16">
        <v>45673</v>
      </c>
      <c r="B95" t="s">
        <v>462</v>
      </c>
      <c r="C95" t="s">
        <v>522</v>
      </c>
      <c r="D95" t="s">
        <v>418</v>
      </c>
      <c r="E95" t="s">
        <v>419</v>
      </c>
      <c r="F95" t="s">
        <v>465</v>
      </c>
      <c r="G95" t="s">
        <v>428</v>
      </c>
      <c r="H95">
        <v>86</v>
      </c>
      <c r="I95">
        <v>855</v>
      </c>
      <c r="J95">
        <v>930</v>
      </c>
      <c r="K95">
        <v>73530</v>
      </c>
      <c r="L95">
        <v>79980</v>
      </c>
      <c r="M95">
        <v>6450</v>
      </c>
      <c r="N95" t="s">
        <v>410</v>
      </c>
    </row>
    <row r="96" spans="1:14" x14ac:dyDescent="0.3">
      <c r="A96" s="16">
        <v>45607</v>
      </c>
      <c r="B96" t="s">
        <v>411</v>
      </c>
      <c r="C96" t="s">
        <v>539</v>
      </c>
      <c r="D96" t="s">
        <v>418</v>
      </c>
      <c r="E96" t="s">
        <v>448</v>
      </c>
      <c r="F96" t="s">
        <v>424</v>
      </c>
      <c r="G96" t="s">
        <v>409</v>
      </c>
      <c r="H96">
        <v>68</v>
      </c>
      <c r="I96">
        <v>756</v>
      </c>
      <c r="J96">
        <v>887</v>
      </c>
      <c r="K96">
        <v>51408</v>
      </c>
      <c r="L96">
        <v>60316</v>
      </c>
      <c r="M96">
        <v>8908</v>
      </c>
      <c r="N96" t="s">
        <v>410</v>
      </c>
    </row>
    <row r="97" spans="1:14" x14ac:dyDescent="0.3">
      <c r="A97" s="16">
        <v>45435</v>
      </c>
      <c r="B97" t="s">
        <v>437</v>
      </c>
      <c r="C97" t="s">
        <v>540</v>
      </c>
      <c r="D97" t="s">
        <v>418</v>
      </c>
      <c r="E97" t="s">
        <v>453</v>
      </c>
      <c r="F97" t="s">
        <v>451</v>
      </c>
      <c r="G97" t="s">
        <v>409</v>
      </c>
      <c r="H97">
        <v>55</v>
      </c>
      <c r="I97">
        <v>782</v>
      </c>
      <c r="J97">
        <v>1335</v>
      </c>
      <c r="K97">
        <v>43010</v>
      </c>
      <c r="L97">
        <v>73425</v>
      </c>
      <c r="M97">
        <v>30415</v>
      </c>
      <c r="N97" t="s">
        <v>410</v>
      </c>
    </row>
    <row r="98" spans="1:14" x14ac:dyDescent="0.3">
      <c r="A98" s="16">
        <v>45503</v>
      </c>
      <c r="B98" t="s">
        <v>482</v>
      </c>
      <c r="C98" t="s">
        <v>541</v>
      </c>
      <c r="D98" t="s">
        <v>418</v>
      </c>
      <c r="E98" t="s">
        <v>453</v>
      </c>
      <c r="F98" t="s">
        <v>542</v>
      </c>
      <c r="G98" t="s">
        <v>428</v>
      </c>
      <c r="H98">
        <v>66</v>
      </c>
      <c r="I98">
        <v>512</v>
      </c>
      <c r="J98">
        <v>1208</v>
      </c>
      <c r="K98">
        <v>33792</v>
      </c>
      <c r="L98">
        <v>79728</v>
      </c>
      <c r="M98">
        <v>45936</v>
      </c>
      <c r="N98" t="s">
        <v>410</v>
      </c>
    </row>
    <row r="99" spans="1:14" x14ac:dyDescent="0.3">
      <c r="A99" s="16">
        <v>45443</v>
      </c>
      <c r="B99" t="s">
        <v>437</v>
      </c>
      <c r="C99" t="s">
        <v>543</v>
      </c>
      <c r="D99" t="s">
        <v>418</v>
      </c>
      <c r="E99" t="s">
        <v>419</v>
      </c>
      <c r="F99" t="s">
        <v>433</v>
      </c>
      <c r="G99" t="s">
        <v>428</v>
      </c>
      <c r="H99">
        <v>55</v>
      </c>
      <c r="I99">
        <v>793</v>
      </c>
      <c r="J99">
        <v>1045</v>
      </c>
      <c r="K99">
        <v>43615</v>
      </c>
      <c r="L99">
        <v>57475</v>
      </c>
      <c r="M99">
        <v>13860</v>
      </c>
      <c r="N99" t="s">
        <v>410</v>
      </c>
    </row>
    <row r="100" spans="1:14" x14ac:dyDescent="0.3">
      <c r="A100" s="16">
        <v>45688</v>
      </c>
      <c r="B100" t="s">
        <v>462</v>
      </c>
      <c r="C100" t="s">
        <v>544</v>
      </c>
      <c r="D100" t="s">
        <v>406</v>
      </c>
      <c r="E100" t="s">
        <v>407</v>
      </c>
      <c r="F100" t="s">
        <v>420</v>
      </c>
      <c r="G100" t="s">
        <v>428</v>
      </c>
      <c r="H100">
        <v>19</v>
      </c>
      <c r="I100">
        <v>864</v>
      </c>
      <c r="J100">
        <v>1147</v>
      </c>
      <c r="K100">
        <v>16416</v>
      </c>
      <c r="L100">
        <v>21793</v>
      </c>
      <c r="M100">
        <v>5377</v>
      </c>
      <c r="N100" t="s">
        <v>410</v>
      </c>
    </row>
    <row r="101" spans="1:14" x14ac:dyDescent="0.3">
      <c r="A101" s="16">
        <v>45595</v>
      </c>
      <c r="B101" t="s">
        <v>422</v>
      </c>
      <c r="C101" t="s">
        <v>440</v>
      </c>
      <c r="D101" t="s">
        <v>418</v>
      </c>
      <c r="E101" t="s">
        <v>441</v>
      </c>
      <c r="F101" t="s">
        <v>442</v>
      </c>
      <c r="G101" t="s">
        <v>428</v>
      </c>
      <c r="H101">
        <v>97</v>
      </c>
      <c r="I101">
        <v>654</v>
      </c>
      <c r="J101">
        <v>839</v>
      </c>
      <c r="K101">
        <v>63438</v>
      </c>
      <c r="L101">
        <v>81383</v>
      </c>
      <c r="M101">
        <v>17945</v>
      </c>
      <c r="N101" t="s">
        <v>410</v>
      </c>
    </row>
    <row r="102" spans="1:14" x14ac:dyDescent="0.3">
      <c r="A102" s="16">
        <v>45654</v>
      </c>
      <c r="B102" t="s">
        <v>416</v>
      </c>
      <c r="C102" t="s">
        <v>545</v>
      </c>
      <c r="D102" t="s">
        <v>418</v>
      </c>
      <c r="E102" t="s">
        <v>419</v>
      </c>
      <c r="F102" t="s">
        <v>504</v>
      </c>
      <c r="G102" t="s">
        <v>428</v>
      </c>
      <c r="H102">
        <v>82</v>
      </c>
      <c r="I102">
        <v>955</v>
      </c>
      <c r="J102">
        <v>1218</v>
      </c>
      <c r="K102">
        <v>78310</v>
      </c>
      <c r="L102">
        <v>99876</v>
      </c>
      <c r="M102">
        <v>21566</v>
      </c>
      <c r="N102" t="s">
        <v>410</v>
      </c>
    </row>
    <row r="103" spans="1:14" x14ac:dyDescent="0.3">
      <c r="A103" s="16">
        <v>45679</v>
      </c>
      <c r="B103" t="s">
        <v>462</v>
      </c>
      <c r="C103" t="s">
        <v>463</v>
      </c>
      <c r="D103" t="s">
        <v>406</v>
      </c>
      <c r="E103" t="s">
        <v>407</v>
      </c>
      <c r="F103" t="s">
        <v>439</v>
      </c>
      <c r="G103" t="s">
        <v>409</v>
      </c>
      <c r="H103">
        <v>15</v>
      </c>
      <c r="I103">
        <v>924</v>
      </c>
      <c r="J103">
        <v>1024</v>
      </c>
      <c r="K103">
        <v>13860</v>
      </c>
      <c r="L103">
        <v>15360</v>
      </c>
      <c r="M103">
        <v>1500</v>
      </c>
      <c r="N103" t="s">
        <v>410</v>
      </c>
    </row>
    <row r="104" spans="1:14" x14ac:dyDescent="0.3">
      <c r="A104" s="16">
        <v>45677</v>
      </c>
      <c r="B104" t="s">
        <v>462</v>
      </c>
      <c r="C104" t="s">
        <v>546</v>
      </c>
      <c r="D104" t="s">
        <v>406</v>
      </c>
      <c r="E104" t="s">
        <v>407</v>
      </c>
      <c r="F104" t="s">
        <v>442</v>
      </c>
      <c r="G104" t="s">
        <v>409</v>
      </c>
      <c r="H104">
        <v>20</v>
      </c>
      <c r="I104">
        <v>803</v>
      </c>
      <c r="J104">
        <v>941</v>
      </c>
      <c r="K104">
        <v>16060</v>
      </c>
      <c r="L104">
        <v>18820</v>
      </c>
      <c r="M104">
        <v>2760</v>
      </c>
      <c r="N104" t="s">
        <v>410</v>
      </c>
    </row>
    <row r="105" spans="1:14" x14ac:dyDescent="0.3">
      <c r="A105" s="16">
        <v>45585</v>
      </c>
      <c r="B105" t="s">
        <v>422</v>
      </c>
      <c r="C105" t="s">
        <v>547</v>
      </c>
      <c r="D105" t="s">
        <v>406</v>
      </c>
      <c r="E105" t="s">
        <v>407</v>
      </c>
      <c r="F105" t="s">
        <v>433</v>
      </c>
      <c r="G105" t="s">
        <v>409</v>
      </c>
      <c r="H105">
        <v>14</v>
      </c>
      <c r="I105">
        <v>533</v>
      </c>
      <c r="J105">
        <v>922</v>
      </c>
      <c r="K105">
        <v>7462</v>
      </c>
      <c r="L105">
        <v>12908</v>
      </c>
      <c r="M105">
        <v>5446</v>
      </c>
      <c r="N105" t="s">
        <v>410</v>
      </c>
    </row>
    <row r="106" spans="1:14" x14ac:dyDescent="0.3">
      <c r="A106" s="16">
        <v>45516</v>
      </c>
      <c r="B106" t="s">
        <v>434</v>
      </c>
      <c r="C106" t="s">
        <v>548</v>
      </c>
      <c r="D106" t="s">
        <v>406</v>
      </c>
      <c r="E106" t="s">
        <v>407</v>
      </c>
      <c r="F106" t="s">
        <v>532</v>
      </c>
      <c r="G106" t="s">
        <v>428</v>
      </c>
      <c r="H106">
        <v>12</v>
      </c>
      <c r="I106">
        <v>814</v>
      </c>
      <c r="J106">
        <v>1392</v>
      </c>
      <c r="K106">
        <v>9768</v>
      </c>
      <c r="L106">
        <v>16704</v>
      </c>
      <c r="M106">
        <v>6936</v>
      </c>
      <c r="N106" t="s">
        <v>410</v>
      </c>
    </row>
    <row r="107" spans="1:14" x14ac:dyDescent="0.3">
      <c r="A107" s="16">
        <v>45549</v>
      </c>
      <c r="B107" t="s">
        <v>431</v>
      </c>
      <c r="C107" t="s">
        <v>549</v>
      </c>
      <c r="D107" t="s">
        <v>406</v>
      </c>
      <c r="E107" t="s">
        <v>407</v>
      </c>
      <c r="F107" t="s">
        <v>408</v>
      </c>
      <c r="G107" t="s">
        <v>409</v>
      </c>
      <c r="H107">
        <v>19</v>
      </c>
      <c r="I107">
        <v>576</v>
      </c>
      <c r="J107">
        <v>1181</v>
      </c>
      <c r="K107">
        <v>10944</v>
      </c>
      <c r="L107">
        <v>22439</v>
      </c>
      <c r="M107">
        <v>11495</v>
      </c>
      <c r="N107" t="s">
        <v>410</v>
      </c>
    </row>
    <row r="108" spans="1:14" x14ac:dyDescent="0.3">
      <c r="A108" s="16">
        <v>45419</v>
      </c>
      <c r="B108" t="s">
        <v>437</v>
      </c>
      <c r="C108" t="s">
        <v>550</v>
      </c>
      <c r="D108" t="s">
        <v>413</v>
      </c>
      <c r="E108" t="s">
        <v>444</v>
      </c>
      <c r="F108" t="s">
        <v>532</v>
      </c>
      <c r="G108" t="s">
        <v>409</v>
      </c>
      <c r="H108">
        <v>21</v>
      </c>
      <c r="I108">
        <v>722</v>
      </c>
      <c r="J108">
        <v>1247</v>
      </c>
      <c r="K108">
        <v>15162</v>
      </c>
      <c r="L108">
        <v>26187</v>
      </c>
      <c r="M108">
        <v>11025</v>
      </c>
      <c r="N108" t="s">
        <v>410</v>
      </c>
    </row>
    <row r="109" spans="1:14" x14ac:dyDescent="0.3">
      <c r="A109" s="16">
        <v>45505</v>
      </c>
      <c r="B109" t="s">
        <v>434</v>
      </c>
      <c r="C109" t="s">
        <v>551</v>
      </c>
      <c r="D109" t="s">
        <v>418</v>
      </c>
      <c r="E109" t="s">
        <v>453</v>
      </c>
      <c r="F109" t="s">
        <v>424</v>
      </c>
      <c r="G109" t="s">
        <v>428</v>
      </c>
      <c r="H109">
        <v>69</v>
      </c>
      <c r="I109">
        <v>531</v>
      </c>
      <c r="J109">
        <v>1210</v>
      </c>
      <c r="K109">
        <v>36639</v>
      </c>
      <c r="L109">
        <v>83490</v>
      </c>
      <c r="M109">
        <v>46851</v>
      </c>
      <c r="N109" t="s">
        <v>410</v>
      </c>
    </row>
    <row r="110" spans="1:14" x14ac:dyDescent="0.3">
      <c r="A110" s="16">
        <v>45551</v>
      </c>
      <c r="B110" t="s">
        <v>431</v>
      </c>
      <c r="C110" t="s">
        <v>552</v>
      </c>
      <c r="D110" t="s">
        <v>406</v>
      </c>
      <c r="E110" t="s">
        <v>407</v>
      </c>
      <c r="F110" t="s">
        <v>454</v>
      </c>
      <c r="G110" t="s">
        <v>409</v>
      </c>
      <c r="H110">
        <v>12</v>
      </c>
      <c r="I110">
        <v>539</v>
      </c>
      <c r="J110">
        <v>1136</v>
      </c>
      <c r="K110">
        <v>6468</v>
      </c>
      <c r="L110">
        <v>13632</v>
      </c>
      <c r="M110">
        <v>7164</v>
      </c>
      <c r="N110" t="s">
        <v>410</v>
      </c>
    </row>
    <row r="111" spans="1:14" x14ac:dyDescent="0.3">
      <c r="A111" s="16">
        <v>45389</v>
      </c>
      <c r="B111" t="s">
        <v>449</v>
      </c>
      <c r="C111" t="s">
        <v>456</v>
      </c>
      <c r="D111" t="s">
        <v>418</v>
      </c>
      <c r="E111" t="s">
        <v>441</v>
      </c>
      <c r="F111" t="s">
        <v>408</v>
      </c>
      <c r="G111" t="s">
        <v>428</v>
      </c>
      <c r="H111">
        <v>78</v>
      </c>
      <c r="I111">
        <v>655</v>
      </c>
      <c r="J111">
        <v>790</v>
      </c>
      <c r="K111">
        <v>51090</v>
      </c>
      <c r="L111">
        <v>61620</v>
      </c>
      <c r="M111">
        <v>10530</v>
      </c>
      <c r="N111" t="s">
        <v>410</v>
      </c>
    </row>
    <row r="112" spans="1:14" x14ac:dyDescent="0.3">
      <c r="A112" s="16">
        <v>45509</v>
      </c>
      <c r="B112" t="s">
        <v>434</v>
      </c>
      <c r="C112" t="s">
        <v>553</v>
      </c>
      <c r="D112" t="s">
        <v>418</v>
      </c>
      <c r="E112" t="s">
        <v>419</v>
      </c>
      <c r="F112" t="s">
        <v>408</v>
      </c>
      <c r="G112" t="s">
        <v>409</v>
      </c>
      <c r="H112">
        <v>69</v>
      </c>
      <c r="I112">
        <v>745</v>
      </c>
      <c r="J112">
        <v>1075</v>
      </c>
      <c r="K112">
        <v>51405</v>
      </c>
      <c r="L112">
        <v>74175</v>
      </c>
      <c r="M112">
        <v>22770</v>
      </c>
      <c r="N112" t="s">
        <v>410</v>
      </c>
    </row>
    <row r="113" spans="1:14" x14ac:dyDescent="0.3">
      <c r="A113" s="16">
        <v>45628</v>
      </c>
      <c r="B113" t="s">
        <v>416</v>
      </c>
      <c r="C113" t="s">
        <v>554</v>
      </c>
      <c r="D113" t="s">
        <v>413</v>
      </c>
      <c r="E113" t="s">
        <v>444</v>
      </c>
      <c r="F113" t="s">
        <v>426</v>
      </c>
      <c r="G113" t="s">
        <v>409</v>
      </c>
      <c r="H113">
        <v>20</v>
      </c>
      <c r="I113">
        <v>666</v>
      </c>
      <c r="J113">
        <v>1087</v>
      </c>
      <c r="K113">
        <v>13320</v>
      </c>
      <c r="L113">
        <v>21740</v>
      </c>
      <c r="M113">
        <v>8420</v>
      </c>
      <c r="N113" t="s">
        <v>410</v>
      </c>
    </row>
    <row r="114" spans="1:14" x14ac:dyDescent="0.3">
      <c r="A114" s="16">
        <v>45588</v>
      </c>
      <c r="B114" t="s">
        <v>422</v>
      </c>
      <c r="C114" t="s">
        <v>555</v>
      </c>
      <c r="D114" t="s">
        <v>413</v>
      </c>
      <c r="E114" t="s">
        <v>430</v>
      </c>
      <c r="F114" t="s">
        <v>426</v>
      </c>
      <c r="G114" t="s">
        <v>409</v>
      </c>
      <c r="H114">
        <v>30</v>
      </c>
      <c r="I114">
        <v>869</v>
      </c>
      <c r="J114">
        <v>1033</v>
      </c>
      <c r="K114">
        <v>26070</v>
      </c>
      <c r="L114">
        <v>30990</v>
      </c>
      <c r="M114">
        <v>4920</v>
      </c>
      <c r="N114" t="s">
        <v>410</v>
      </c>
    </row>
    <row r="115" spans="1:14" x14ac:dyDescent="0.3">
      <c r="A115" s="16">
        <v>45395</v>
      </c>
      <c r="B115" t="s">
        <v>449</v>
      </c>
      <c r="C115" t="s">
        <v>556</v>
      </c>
      <c r="D115" t="s">
        <v>413</v>
      </c>
      <c r="E115" t="s">
        <v>430</v>
      </c>
      <c r="F115" t="s">
        <v>451</v>
      </c>
      <c r="G115" t="s">
        <v>409</v>
      </c>
      <c r="H115">
        <v>22</v>
      </c>
      <c r="I115">
        <v>692</v>
      </c>
      <c r="J115">
        <v>906</v>
      </c>
      <c r="K115">
        <v>15224</v>
      </c>
      <c r="L115">
        <v>19932</v>
      </c>
      <c r="M115">
        <v>4708</v>
      </c>
      <c r="N115" t="s">
        <v>410</v>
      </c>
    </row>
    <row r="116" spans="1:14" x14ac:dyDescent="0.3">
      <c r="A116" s="16">
        <v>45439</v>
      </c>
      <c r="B116" t="s">
        <v>437</v>
      </c>
      <c r="C116" t="s">
        <v>557</v>
      </c>
      <c r="D116" t="s">
        <v>418</v>
      </c>
      <c r="E116" t="s">
        <v>453</v>
      </c>
      <c r="F116" t="s">
        <v>532</v>
      </c>
      <c r="G116" t="s">
        <v>409</v>
      </c>
      <c r="H116">
        <v>80</v>
      </c>
      <c r="I116">
        <v>622</v>
      </c>
      <c r="J116">
        <v>1168</v>
      </c>
      <c r="K116">
        <v>49760</v>
      </c>
      <c r="L116">
        <v>93440</v>
      </c>
      <c r="M116">
        <v>43680</v>
      </c>
      <c r="N116" t="s">
        <v>410</v>
      </c>
    </row>
    <row r="117" spans="1:14" x14ac:dyDescent="0.3">
      <c r="A117" s="16">
        <v>45682</v>
      </c>
      <c r="B117" t="s">
        <v>462</v>
      </c>
      <c r="C117" t="s">
        <v>484</v>
      </c>
      <c r="D117" t="s">
        <v>406</v>
      </c>
      <c r="E117" t="s">
        <v>407</v>
      </c>
      <c r="F117" t="s">
        <v>424</v>
      </c>
      <c r="G117" t="s">
        <v>409</v>
      </c>
      <c r="H117">
        <v>18</v>
      </c>
      <c r="I117">
        <v>587</v>
      </c>
      <c r="J117">
        <v>905</v>
      </c>
      <c r="K117">
        <v>10566</v>
      </c>
      <c r="L117">
        <v>16290</v>
      </c>
      <c r="M117">
        <v>5724</v>
      </c>
      <c r="N117" t="s">
        <v>410</v>
      </c>
    </row>
    <row r="118" spans="1:14" x14ac:dyDescent="0.3">
      <c r="A118" s="16">
        <v>45477</v>
      </c>
      <c r="B118" t="s">
        <v>482</v>
      </c>
      <c r="C118" t="s">
        <v>558</v>
      </c>
      <c r="D118" t="s">
        <v>406</v>
      </c>
      <c r="E118" t="s">
        <v>407</v>
      </c>
      <c r="F118" t="s">
        <v>451</v>
      </c>
      <c r="G118" t="s">
        <v>409</v>
      </c>
      <c r="H118">
        <v>15</v>
      </c>
      <c r="I118">
        <v>937</v>
      </c>
      <c r="J118">
        <v>1427</v>
      </c>
      <c r="K118">
        <v>14055</v>
      </c>
      <c r="L118">
        <v>21405</v>
      </c>
      <c r="M118">
        <v>7350</v>
      </c>
      <c r="N118" t="s">
        <v>410</v>
      </c>
    </row>
    <row r="119" spans="1:14" x14ac:dyDescent="0.3">
      <c r="A119" s="16">
        <v>45486</v>
      </c>
      <c r="B119" t="s">
        <v>482</v>
      </c>
      <c r="C119" t="s">
        <v>559</v>
      </c>
      <c r="D119" t="s">
        <v>413</v>
      </c>
      <c r="E119" t="s">
        <v>444</v>
      </c>
      <c r="F119" t="s">
        <v>426</v>
      </c>
      <c r="G119" t="s">
        <v>428</v>
      </c>
      <c r="H119">
        <v>30</v>
      </c>
      <c r="I119">
        <v>726</v>
      </c>
      <c r="J119">
        <v>964</v>
      </c>
      <c r="K119">
        <v>21780</v>
      </c>
      <c r="L119">
        <v>28920</v>
      </c>
      <c r="M119">
        <v>7140</v>
      </c>
      <c r="N119" t="s">
        <v>410</v>
      </c>
    </row>
    <row r="120" spans="1:14" x14ac:dyDescent="0.3">
      <c r="A120" s="16">
        <v>45431</v>
      </c>
      <c r="B120" t="s">
        <v>437</v>
      </c>
      <c r="C120" t="s">
        <v>560</v>
      </c>
      <c r="D120" t="s">
        <v>418</v>
      </c>
      <c r="E120" t="s">
        <v>453</v>
      </c>
      <c r="F120" t="s">
        <v>454</v>
      </c>
      <c r="G120" t="s">
        <v>428</v>
      </c>
      <c r="H120">
        <v>91</v>
      </c>
      <c r="I120">
        <v>518</v>
      </c>
      <c r="J120">
        <v>1465</v>
      </c>
      <c r="K120">
        <v>47138</v>
      </c>
      <c r="L120">
        <v>133315</v>
      </c>
      <c r="M120">
        <v>86177</v>
      </c>
      <c r="N120" t="s">
        <v>410</v>
      </c>
    </row>
    <row r="121" spans="1:14" x14ac:dyDescent="0.3">
      <c r="A121" s="16">
        <v>45389</v>
      </c>
      <c r="B121" t="s">
        <v>449</v>
      </c>
      <c r="C121" t="s">
        <v>456</v>
      </c>
      <c r="D121" t="s">
        <v>418</v>
      </c>
      <c r="E121" t="s">
        <v>441</v>
      </c>
      <c r="F121" t="s">
        <v>408</v>
      </c>
      <c r="G121" t="s">
        <v>428</v>
      </c>
      <c r="H121">
        <v>55</v>
      </c>
      <c r="I121">
        <v>637</v>
      </c>
      <c r="J121">
        <v>1143</v>
      </c>
      <c r="K121">
        <v>35035</v>
      </c>
      <c r="L121">
        <v>62865</v>
      </c>
      <c r="M121">
        <v>27830</v>
      </c>
      <c r="N121" t="s">
        <v>410</v>
      </c>
    </row>
    <row r="122" spans="1:14" x14ac:dyDescent="0.3">
      <c r="A122" s="16">
        <v>45535</v>
      </c>
      <c r="B122" t="s">
        <v>434</v>
      </c>
      <c r="C122" t="s">
        <v>561</v>
      </c>
      <c r="D122" t="s">
        <v>418</v>
      </c>
      <c r="E122" t="s">
        <v>453</v>
      </c>
      <c r="F122" t="s">
        <v>439</v>
      </c>
      <c r="G122" t="s">
        <v>428</v>
      </c>
      <c r="H122">
        <v>89</v>
      </c>
      <c r="I122">
        <v>910</v>
      </c>
      <c r="J122">
        <v>1261</v>
      </c>
      <c r="K122">
        <v>80990</v>
      </c>
      <c r="L122">
        <v>112229</v>
      </c>
      <c r="M122">
        <v>31239</v>
      </c>
      <c r="N122" t="s">
        <v>410</v>
      </c>
    </row>
    <row r="123" spans="1:14" x14ac:dyDescent="0.3">
      <c r="A123" s="16">
        <v>45671</v>
      </c>
      <c r="B123" t="s">
        <v>462</v>
      </c>
      <c r="C123" t="s">
        <v>491</v>
      </c>
      <c r="D123" t="s">
        <v>418</v>
      </c>
      <c r="E123" t="s">
        <v>419</v>
      </c>
      <c r="F123" t="s">
        <v>454</v>
      </c>
      <c r="G123" t="s">
        <v>428</v>
      </c>
      <c r="H123">
        <v>90</v>
      </c>
      <c r="I123">
        <v>554</v>
      </c>
      <c r="J123">
        <v>940</v>
      </c>
      <c r="K123">
        <v>49860</v>
      </c>
      <c r="L123">
        <v>84600</v>
      </c>
      <c r="M123">
        <v>34740</v>
      </c>
      <c r="N123" t="s">
        <v>410</v>
      </c>
    </row>
    <row r="124" spans="1:14" x14ac:dyDescent="0.3">
      <c r="A124" s="16">
        <v>45417</v>
      </c>
      <c r="B124" t="s">
        <v>437</v>
      </c>
      <c r="C124" t="s">
        <v>562</v>
      </c>
      <c r="D124" t="s">
        <v>413</v>
      </c>
      <c r="E124" t="s">
        <v>414</v>
      </c>
      <c r="F124" t="s">
        <v>424</v>
      </c>
      <c r="G124" t="s">
        <v>428</v>
      </c>
      <c r="H124">
        <v>23</v>
      </c>
      <c r="I124">
        <v>768</v>
      </c>
      <c r="J124">
        <v>1102</v>
      </c>
      <c r="K124">
        <v>17664</v>
      </c>
      <c r="L124">
        <v>25346</v>
      </c>
      <c r="M124">
        <v>7682</v>
      </c>
      <c r="N124" t="s">
        <v>410</v>
      </c>
    </row>
    <row r="125" spans="1:14" x14ac:dyDescent="0.3">
      <c r="A125" s="16">
        <v>45480</v>
      </c>
      <c r="B125" t="s">
        <v>482</v>
      </c>
      <c r="C125" t="s">
        <v>563</v>
      </c>
      <c r="D125" t="s">
        <v>406</v>
      </c>
      <c r="E125" t="s">
        <v>407</v>
      </c>
      <c r="F125" t="s">
        <v>415</v>
      </c>
      <c r="G125" t="s">
        <v>428</v>
      </c>
      <c r="H125">
        <v>16</v>
      </c>
      <c r="I125">
        <v>673</v>
      </c>
      <c r="J125">
        <v>1233</v>
      </c>
      <c r="K125">
        <v>10768</v>
      </c>
      <c r="L125">
        <v>19728</v>
      </c>
      <c r="M125">
        <v>8960</v>
      </c>
      <c r="N125" t="s">
        <v>410</v>
      </c>
    </row>
    <row r="126" spans="1:14" x14ac:dyDescent="0.3">
      <c r="A126" s="16">
        <v>45575</v>
      </c>
      <c r="B126" t="s">
        <v>422</v>
      </c>
      <c r="C126" t="s">
        <v>564</v>
      </c>
      <c r="D126" t="s">
        <v>418</v>
      </c>
      <c r="E126" t="s">
        <v>419</v>
      </c>
      <c r="F126" t="s">
        <v>439</v>
      </c>
      <c r="G126" t="s">
        <v>409</v>
      </c>
      <c r="H126">
        <v>88</v>
      </c>
      <c r="I126">
        <v>978</v>
      </c>
      <c r="J126">
        <v>1231</v>
      </c>
      <c r="K126">
        <v>86064</v>
      </c>
      <c r="L126">
        <v>108328</v>
      </c>
      <c r="M126">
        <v>22264</v>
      </c>
      <c r="N126" t="s">
        <v>410</v>
      </c>
    </row>
    <row r="127" spans="1:14" x14ac:dyDescent="0.3">
      <c r="A127" s="16">
        <v>45492</v>
      </c>
      <c r="B127" t="s">
        <v>482</v>
      </c>
      <c r="C127" t="s">
        <v>565</v>
      </c>
      <c r="D127" t="s">
        <v>413</v>
      </c>
      <c r="E127" t="s">
        <v>444</v>
      </c>
      <c r="F127" t="s">
        <v>566</v>
      </c>
      <c r="G127" t="s">
        <v>409</v>
      </c>
      <c r="H127">
        <v>22</v>
      </c>
      <c r="I127">
        <v>629</v>
      </c>
      <c r="J127">
        <v>1263</v>
      </c>
      <c r="K127">
        <v>13838</v>
      </c>
      <c r="L127">
        <v>27786</v>
      </c>
      <c r="M127">
        <v>13948</v>
      </c>
      <c r="N127" t="s">
        <v>410</v>
      </c>
    </row>
    <row r="128" spans="1:14" x14ac:dyDescent="0.3">
      <c r="A128" s="16">
        <v>45683</v>
      </c>
      <c r="B128" t="s">
        <v>462</v>
      </c>
      <c r="C128" t="s">
        <v>567</v>
      </c>
      <c r="D128" t="s">
        <v>406</v>
      </c>
      <c r="E128" t="s">
        <v>407</v>
      </c>
      <c r="F128" t="s">
        <v>532</v>
      </c>
      <c r="G128" t="s">
        <v>409</v>
      </c>
      <c r="H128">
        <v>19</v>
      </c>
      <c r="I128">
        <v>911</v>
      </c>
      <c r="J128">
        <v>1116</v>
      </c>
      <c r="K128">
        <v>17309</v>
      </c>
      <c r="L128">
        <v>21204</v>
      </c>
      <c r="M128">
        <v>3895</v>
      </c>
      <c r="N128" t="s">
        <v>410</v>
      </c>
    </row>
    <row r="129" spans="1:14" x14ac:dyDescent="0.3">
      <c r="A129" s="16">
        <v>45512</v>
      </c>
      <c r="B129" t="s">
        <v>434</v>
      </c>
      <c r="C129" t="s">
        <v>568</v>
      </c>
      <c r="D129" t="s">
        <v>406</v>
      </c>
      <c r="E129" t="s">
        <v>407</v>
      </c>
      <c r="F129" t="s">
        <v>408</v>
      </c>
      <c r="G129" t="s">
        <v>409</v>
      </c>
      <c r="H129">
        <v>20</v>
      </c>
      <c r="I129">
        <v>525</v>
      </c>
      <c r="J129">
        <v>1122</v>
      </c>
      <c r="K129">
        <v>10500</v>
      </c>
      <c r="L129">
        <v>22440</v>
      </c>
      <c r="M129">
        <v>11940</v>
      </c>
      <c r="N129" t="s">
        <v>410</v>
      </c>
    </row>
    <row r="130" spans="1:14" x14ac:dyDescent="0.3">
      <c r="A130" s="16">
        <v>45703</v>
      </c>
      <c r="B130" t="s">
        <v>459</v>
      </c>
      <c r="C130" t="s">
        <v>535</v>
      </c>
      <c r="D130" t="s">
        <v>418</v>
      </c>
      <c r="E130" t="s">
        <v>453</v>
      </c>
      <c r="F130" t="s">
        <v>426</v>
      </c>
      <c r="G130" t="s">
        <v>409</v>
      </c>
      <c r="H130">
        <v>78</v>
      </c>
      <c r="I130">
        <v>789</v>
      </c>
      <c r="J130">
        <v>1064</v>
      </c>
      <c r="K130">
        <v>61542</v>
      </c>
      <c r="L130">
        <v>82992</v>
      </c>
      <c r="M130">
        <v>21450</v>
      </c>
      <c r="N130" t="s">
        <v>410</v>
      </c>
    </row>
    <row r="131" spans="1:14" x14ac:dyDescent="0.3">
      <c r="A131" s="16">
        <v>45524</v>
      </c>
      <c r="B131" t="s">
        <v>434</v>
      </c>
      <c r="C131" t="s">
        <v>569</v>
      </c>
      <c r="D131" t="s">
        <v>413</v>
      </c>
      <c r="E131" t="s">
        <v>444</v>
      </c>
      <c r="F131" t="s">
        <v>433</v>
      </c>
      <c r="G131" t="s">
        <v>409</v>
      </c>
      <c r="H131">
        <v>25</v>
      </c>
      <c r="I131">
        <v>533</v>
      </c>
      <c r="J131">
        <v>860</v>
      </c>
      <c r="K131">
        <v>13325</v>
      </c>
      <c r="L131">
        <v>21500</v>
      </c>
      <c r="M131">
        <v>8175</v>
      </c>
      <c r="N131" t="s">
        <v>410</v>
      </c>
    </row>
    <row r="132" spans="1:14" x14ac:dyDescent="0.3">
      <c r="A132" s="16">
        <v>45390</v>
      </c>
      <c r="B132" t="s">
        <v>449</v>
      </c>
      <c r="C132" t="s">
        <v>450</v>
      </c>
      <c r="D132" t="s">
        <v>418</v>
      </c>
      <c r="E132" t="s">
        <v>441</v>
      </c>
      <c r="F132" t="s">
        <v>451</v>
      </c>
      <c r="G132" t="s">
        <v>428</v>
      </c>
      <c r="H132">
        <v>51</v>
      </c>
      <c r="I132">
        <v>847</v>
      </c>
      <c r="J132">
        <v>972</v>
      </c>
      <c r="K132">
        <v>43197</v>
      </c>
      <c r="L132">
        <v>49572</v>
      </c>
      <c r="M132">
        <v>6375</v>
      </c>
      <c r="N132" t="s">
        <v>410</v>
      </c>
    </row>
    <row r="133" spans="1:14" x14ac:dyDescent="0.3">
      <c r="A133" s="16">
        <v>45559</v>
      </c>
      <c r="B133" t="s">
        <v>431</v>
      </c>
      <c r="C133" t="s">
        <v>570</v>
      </c>
      <c r="D133" t="s">
        <v>418</v>
      </c>
      <c r="E133" t="s">
        <v>419</v>
      </c>
      <c r="F133" t="s">
        <v>532</v>
      </c>
      <c r="G133" t="s">
        <v>428</v>
      </c>
      <c r="H133">
        <v>76</v>
      </c>
      <c r="I133">
        <v>744</v>
      </c>
      <c r="J133">
        <v>1145</v>
      </c>
      <c r="K133">
        <v>56544</v>
      </c>
      <c r="L133">
        <v>87020</v>
      </c>
      <c r="M133">
        <v>30476</v>
      </c>
      <c r="N133" t="s">
        <v>410</v>
      </c>
    </row>
    <row r="134" spans="1:14" x14ac:dyDescent="0.3">
      <c r="A134" s="16">
        <v>45487</v>
      </c>
      <c r="B134" t="s">
        <v>482</v>
      </c>
      <c r="C134" t="s">
        <v>571</v>
      </c>
      <c r="D134" t="s">
        <v>413</v>
      </c>
      <c r="E134" t="s">
        <v>444</v>
      </c>
      <c r="F134" t="s">
        <v>454</v>
      </c>
      <c r="G134" t="s">
        <v>428</v>
      </c>
      <c r="H134">
        <v>29</v>
      </c>
      <c r="I134">
        <v>861</v>
      </c>
      <c r="J134">
        <v>820</v>
      </c>
      <c r="K134">
        <v>24969</v>
      </c>
      <c r="L134">
        <v>23780</v>
      </c>
      <c r="M134">
        <v>-1189</v>
      </c>
      <c r="N134" t="s">
        <v>421</v>
      </c>
    </row>
    <row r="135" spans="1:14" x14ac:dyDescent="0.3">
      <c r="A135" s="16">
        <v>45465</v>
      </c>
      <c r="B135" t="s">
        <v>404</v>
      </c>
      <c r="C135" t="s">
        <v>572</v>
      </c>
      <c r="D135" t="s">
        <v>418</v>
      </c>
      <c r="E135" t="s">
        <v>453</v>
      </c>
      <c r="F135" t="s">
        <v>424</v>
      </c>
      <c r="G135" t="s">
        <v>409</v>
      </c>
      <c r="H135">
        <v>58</v>
      </c>
      <c r="I135">
        <v>510</v>
      </c>
      <c r="J135">
        <v>1456</v>
      </c>
      <c r="K135">
        <v>29580</v>
      </c>
      <c r="L135">
        <v>84448</v>
      </c>
      <c r="M135">
        <v>54868</v>
      </c>
      <c r="N135" t="s">
        <v>410</v>
      </c>
    </row>
    <row r="136" spans="1:14" x14ac:dyDescent="0.3">
      <c r="A136" s="16">
        <v>45658</v>
      </c>
      <c r="B136" t="s">
        <v>462</v>
      </c>
      <c r="C136" t="s">
        <v>518</v>
      </c>
      <c r="D136" t="s">
        <v>418</v>
      </c>
      <c r="E136" t="s">
        <v>419</v>
      </c>
      <c r="F136" t="s">
        <v>465</v>
      </c>
      <c r="G136" t="s">
        <v>409</v>
      </c>
      <c r="H136">
        <v>97</v>
      </c>
      <c r="I136">
        <v>946</v>
      </c>
      <c r="J136">
        <v>1297</v>
      </c>
      <c r="K136">
        <v>91762</v>
      </c>
      <c r="L136">
        <v>125809</v>
      </c>
      <c r="M136">
        <v>34047</v>
      </c>
      <c r="N136" t="s">
        <v>410</v>
      </c>
    </row>
    <row r="137" spans="1:14" x14ac:dyDescent="0.3">
      <c r="A137" s="16">
        <v>45711</v>
      </c>
      <c r="B137" t="s">
        <v>459</v>
      </c>
      <c r="C137" t="s">
        <v>573</v>
      </c>
      <c r="D137" t="s">
        <v>418</v>
      </c>
      <c r="E137" t="s">
        <v>453</v>
      </c>
      <c r="F137" t="s">
        <v>510</v>
      </c>
      <c r="G137" t="s">
        <v>428</v>
      </c>
      <c r="H137">
        <v>57</v>
      </c>
      <c r="I137">
        <v>912</v>
      </c>
      <c r="J137">
        <v>1246</v>
      </c>
      <c r="K137">
        <v>51984</v>
      </c>
      <c r="L137">
        <v>71022</v>
      </c>
      <c r="M137">
        <v>19038</v>
      </c>
      <c r="N137" t="s">
        <v>410</v>
      </c>
    </row>
    <row r="138" spans="1:14" x14ac:dyDescent="0.3">
      <c r="A138" s="16">
        <v>45534</v>
      </c>
      <c r="B138" t="s">
        <v>434</v>
      </c>
      <c r="C138" t="s">
        <v>523</v>
      </c>
      <c r="D138" t="s">
        <v>418</v>
      </c>
      <c r="E138" t="s">
        <v>453</v>
      </c>
      <c r="F138" t="s">
        <v>510</v>
      </c>
      <c r="G138" t="s">
        <v>428</v>
      </c>
      <c r="H138">
        <v>98</v>
      </c>
      <c r="I138">
        <v>769</v>
      </c>
      <c r="J138">
        <v>1277</v>
      </c>
      <c r="K138">
        <v>75362</v>
      </c>
      <c r="L138">
        <v>125146</v>
      </c>
      <c r="M138">
        <v>49784</v>
      </c>
      <c r="N138" t="s">
        <v>410</v>
      </c>
    </row>
    <row r="139" spans="1:14" x14ac:dyDescent="0.3">
      <c r="A139" s="16">
        <v>45388</v>
      </c>
      <c r="B139" t="s">
        <v>449</v>
      </c>
      <c r="C139" t="s">
        <v>574</v>
      </c>
      <c r="D139" t="s">
        <v>418</v>
      </c>
      <c r="E139" t="s">
        <v>441</v>
      </c>
      <c r="F139" t="s">
        <v>436</v>
      </c>
      <c r="G139" t="s">
        <v>428</v>
      </c>
      <c r="H139">
        <v>100</v>
      </c>
      <c r="I139">
        <v>893</v>
      </c>
      <c r="J139">
        <v>1460</v>
      </c>
      <c r="K139">
        <v>89300</v>
      </c>
      <c r="L139">
        <v>146000</v>
      </c>
      <c r="M139">
        <v>56700</v>
      </c>
      <c r="N139" t="s">
        <v>410</v>
      </c>
    </row>
    <row r="140" spans="1:14" x14ac:dyDescent="0.3">
      <c r="A140" s="16">
        <v>45426</v>
      </c>
      <c r="B140" t="s">
        <v>437</v>
      </c>
      <c r="C140" t="s">
        <v>492</v>
      </c>
      <c r="D140" t="s">
        <v>413</v>
      </c>
      <c r="E140" t="s">
        <v>444</v>
      </c>
      <c r="F140" t="s">
        <v>426</v>
      </c>
      <c r="G140" t="s">
        <v>409</v>
      </c>
      <c r="H140">
        <v>24</v>
      </c>
      <c r="I140">
        <v>653</v>
      </c>
      <c r="J140">
        <v>1293</v>
      </c>
      <c r="K140">
        <v>15672</v>
      </c>
      <c r="L140">
        <v>31032</v>
      </c>
      <c r="M140">
        <v>15360</v>
      </c>
      <c r="N140" t="s">
        <v>410</v>
      </c>
    </row>
    <row r="141" spans="1:14" x14ac:dyDescent="0.3">
      <c r="A141" s="16">
        <v>45588</v>
      </c>
      <c r="B141" t="s">
        <v>422</v>
      </c>
      <c r="C141" t="s">
        <v>555</v>
      </c>
      <c r="D141" t="s">
        <v>413</v>
      </c>
      <c r="E141" t="s">
        <v>430</v>
      </c>
      <c r="F141" t="s">
        <v>426</v>
      </c>
      <c r="G141" t="s">
        <v>409</v>
      </c>
      <c r="H141">
        <v>23</v>
      </c>
      <c r="I141">
        <v>616</v>
      </c>
      <c r="J141">
        <v>919</v>
      </c>
      <c r="K141">
        <v>14168</v>
      </c>
      <c r="L141">
        <v>21137</v>
      </c>
      <c r="M141">
        <v>6969</v>
      </c>
      <c r="N141" t="s">
        <v>410</v>
      </c>
    </row>
    <row r="142" spans="1:14" x14ac:dyDescent="0.3">
      <c r="A142" s="16">
        <v>45710</v>
      </c>
      <c r="B142" t="s">
        <v>459</v>
      </c>
      <c r="C142" t="s">
        <v>575</v>
      </c>
      <c r="D142" t="s">
        <v>418</v>
      </c>
      <c r="E142" t="s">
        <v>453</v>
      </c>
      <c r="F142" t="s">
        <v>442</v>
      </c>
      <c r="G142" t="s">
        <v>428</v>
      </c>
      <c r="H142">
        <v>92</v>
      </c>
      <c r="I142">
        <v>521</v>
      </c>
      <c r="J142">
        <v>1414</v>
      </c>
      <c r="K142">
        <v>47932</v>
      </c>
      <c r="L142">
        <v>130088</v>
      </c>
      <c r="M142">
        <v>82156</v>
      </c>
      <c r="N142" t="s">
        <v>410</v>
      </c>
    </row>
    <row r="143" spans="1:14" x14ac:dyDescent="0.3">
      <c r="A143" s="16">
        <v>45626</v>
      </c>
      <c r="B143" t="s">
        <v>411</v>
      </c>
      <c r="C143" t="s">
        <v>499</v>
      </c>
      <c r="D143" t="s">
        <v>413</v>
      </c>
      <c r="E143" t="s">
        <v>444</v>
      </c>
      <c r="F143" t="s">
        <v>433</v>
      </c>
      <c r="G143" t="s">
        <v>409</v>
      </c>
      <c r="H143">
        <v>20</v>
      </c>
      <c r="I143">
        <v>989</v>
      </c>
      <c r="J143">
        <v>1298</v>
      </c>
      <c r="K143">
        <v>19780</v>
      </c>
      <c r="L143">
        <v>25960</v>
      </c>
      <c r="M143">
        <v>6180</v>
      </c>
      <c r="N143" t="s">
        <v>410</v>
      </c>
    </row>
    <row r="144" spans="1:14" x14ac:dyDescent="0.3">
      <c r="A144" s="16">
        <v>45646</v>
      </c>
      <c r="B144" t="s">
        <v>416</v>
      </c>
      <c r="C144" t="s">
        <v>576</v>
      </c>
      <c r="D144" t="s">
        <v>418</v>
      </c>
      <c r="E144" t="s">
        <v>453</v>
      </c>
      <c r="F144" t="s">
        <v>433</v>
      </c>
      <c r="G144" t="s">
        <v>409</v>
      </c>
      <c r="H144">
        <v>86</v>
      </c>
      <c r="I144">
        <v>668</v>
      </c>
      <c r="J144">
        <v>1278</v>
      </c>
      <c r="K144">
        <v>57448</v>
      </c>
      <c r="L144">
        <v>109908</v>
      </c>
      <c r="M144">
        <v>52460</v>
      </c>
      <c r="N144" t="s">
        <v>410</v>
      </c>
    </row>
    <row r="145" spans="1:14" x14ac:dyDescent="0.3">
      <c r="A145" s="16">
        <v>45470</v>
      </c>
      <c r="B145" t="s">
        <v>404</v>
      </c>
      <c r="C145" t="s">
        <v>577</v>
      </c>
      <c r="D145" t="s">
        <v>418</v>
      </c>
      <c r="E145" t="s">
        <v>419</v>
      </c>
      <c r="F145" t="s">
        <v>451</v>
      </c>
      <c r="G145" t="s">
        <v>428</v>
      </c>
      <c r="H145">
        <v>74</v>
      </c>
      <c r="I145">
        <v>758</v>
      </c>
      <c r="J145">
        <v>765</v>
      </c>
      <c r="K145">
        <v>56092</v>
      </c>
      <c r="L145">
        <v>56610</v>
      </c>
      <c r="M145">
        <v>518</v>
      </c>
      <c r="N145" t="s">
        <v>410</v>
      </c>
    </row>
    <row r="146" spans="1:14" x14ac:dyDescent="0.3">
      <c r="A146" s="16">
        <v>45403</v>
      </c>
      <c r="B146" t="s">
        <v>449</v>
      </c>
      <c r="C146" t="s">
        <v>578</v>
      </c>
      <c r="D146" t="s">
        <v>418</v>
      </c>
      <c r="E146" t="s">
        <v>448</v>
      </c>
      <c r="F146" t="s">
        <v>433</v>
      </c>
      <c r="G146" t="s">
        <v>428</v>
      </c>
      <c r="H146">
        <v>75</v>
      </c>
      <c r="I146">
        <v>686</v>
      </c>
      <c r="J146">
        <v>1254</v>
      </c>
      <c r="K146">
        <v>51450</v>
      </c>
      <c r="L146">
        <v>94050</v>
      </c>
      <c r="M146">
        <v>42600</v>
      </c>
      <c r="N146" t="s">
        <v>410</v>
      </c>
    </row>
    <row r="147" spans="1:14" x14ac:dyDescent="0.3">
      <c r="A147" s="16">
        <v>45527</v>
      </c>
      <c r="B147" t="s">
        <v>434</v>
      </c>
      <c r="C147" t="s">
        <v>461</v>
      </c>
      <c r="D147" t="s">
        <v>413</v>
      </c>
      <c r="E147" t="s">
        <v>444</v>
      </c>
      <c r="F147" t="s">
        <v>454</v>
      </c>
      <c r="G147" t="s">
        <v>409</v>
      </c>
      <c r="H147">
        <v>28</v>
      </c>
      <c r="I147">
        <v>873</v>
      </c>
      <c r="J147">
        <v>809</v>
      </c>
      <c r="K147">
        <v>24444</v>
      </c>
      <c r="L147">
        <v>22652</v>
      </c>
      <c r="M147">
        <v>-1792</v>
      </c>
      <c r="N147" t="s">
        <v>421</v>
      </c>
    </row>
    <row r="148" spans="1:14" x14ac:dyDescent="0.3">
      <c r="A148" s="16">
        <v>45606</v>
      </c>
      <c r="B148" t="s">
        <v>411</v>
      </c>
      <c r="C148" t="s">
        <v>579</v>
      </c>
      <c r="D148" t="s">
        <v>418</v>
      </c>
      <c r="E148" t="s">
        <v>448</v>
      </c>
      <c r="F148" t="s">
        <v>451</v>
      </c>
      <c r="G148" t="s">
        <v>409</v>
      </c>
      <c r="H148">
        <v>51</v>
      </c>
      <c r="I148">
        <v>859</v>
      </c>
      <c r="J148">
        <v>1243</v>
      </c>
      <c r="K148">
        <v>43809</v>
      </c>
      <c r="L148">
        <v>63393</v>
      </c>
      <c r="M148">
        <v>19584</v>
      </c>
      <c r="N148" t="s">
        <v>410</v>
      </c>
    </row>
    <row r="149" spans="1:14" x14ac:dyDescent="0.3">
      <c r="A149" s="16">
        <v>45525</v>
      </c>
      <c r="B149" t="s">
        <v>434</v>
      </c>
      <c r="C149" t="s">
        <v>580</v>
      </c>
      <c r="D149" t="s">
        <v>413</v>
      </c>
      <c r="E149" t="s">
        <v>444</v>
      </c>
      <c r="F149" t="s">
        <v>426</v>
      </c>
      <c r="G149" t="s">
        <v>409</v>
      </c>
      <c r="H149">
        <v>20</v>
      </c>
      <c r="I149">
        <v>681</v>
      </c>
      <c r="J149">
        <v>823</v>
      </c>
      <c r="K149">
        <v>13620</v>
      </c>
      <c r="L149">
        <v>16460</v>
      </c>
      <c r="M149">
        <v>2840</v>
      </c>
      <c r="N149" t="s">
        <v>410</v>
      </c>
    </row>
    <row r="150" spans="1:14" x14ac:dyDescent="0.3">
      <c r="A150" s="16">
        <v>45643</v>
      </c>
      <c r="B150" t="s">
        <v>416</v>
      </c>
      <c r="C150" t="s">
        <v>581</v>
      </c>
      <c r="D150" t="s">
        <v>418</v>
      </c>
      <c r="E150" t="s">
        <v>453</v>
      </c>
      <c r="F150" t="s">
        <v>426</v>
      </c>
      <c r="G150" t="s">
        <v>409</v>
      </c>
      <c r="H150">
        <v>64</v>
      </c>
      <c r="I150">
        <v>965</v>
      </c>
      <c r="J150">
        <v>1357</v>
      </c>
      <c r="K150">
        <v>61760</v>
      </c>
      <c r="L150">
        <v>86848</v>
      </c>
      <c r="M150">
        <v>25088</v>
      </c>
      <c r="N150" t="s">
        <v>410</v>
      </c>
    </row>
    <row r="151" spans="1:14" x14ac:dyDescent="0.3">
      <c r="A151" s="16">
        <v>45483</v>
      </c>
      <c r="B151" t="s">
        <v>482</v>
      </c>
      <c r="C151" t="s">
        <v>582</v>
      </c>
      <c r="D151" t="s">
        <v>406</v>
      </c>
      <c r="E151" t="s">
        <v>407</v>
      </c>
      <c r="F151" t="s">
        <v>433</v>
      </c>
      <c r="G151" t="s">
        <v>409</v>
      </c>
      <c r="H151">
        <v>17</v>
      </c>
      <c r="I151">
        <v>641</v>
      </c>
      <c r="J151">
        <v>765</v>
      </c>
      <c r="K151">
        <v>10897</v>
      </c>
      <c r="L151">
        <v>13005</v>
      </c>
      <c r="M151">
        <v>2108</v>
      </c>
      <c r="N151" t="s">
        <v>410</v>
      </c>
    </row>
    <row r="152" spans="1:14" x14ac:dyDescent="0.3">
      <c r="A152" s="16">
        <v>45579</v>
      </c>
      <c r="B152" t="s">
        <v>422</v>
      </c>
      <c r="C152" t="s">
        <v>583</v>
      </c>
      <c r="D152" t="s">
        <v>418</v>
      </c>
      <c r="E152" t="s">
        <v>419</v>
      </c>
      <c r="F152" t="s">
        <v>532</v>
      </c>
      <c r="G152" t="s">
        <v>428</v>
      </c>
      <c r="H152">
        <v>70</v>
      </c>
      <c r="I152">
        <v>798</v>
      </c>
      <c r="J152">
        <v>1318</v>
      </c>
      <c r="K152">
        <v>55860</v>
      </c>
      <c r="L152">
        <v>92260</v>
      </c>
      <c r="M152">
        <v>36400</v>
      </c>
      <c r="N152" t="s">
        <v>410</v>
      </c>
    </row>
    <row r="153" spans="1:14" x14ac:dyDescent="0.3">
      <c r="A153" s="16">
        <v>45665</v>
      </c>
      <c r="B153" t="s">
        <v>462</v>
      </c>
      <c r="C153" t="s">
        <v>584</v>
      </c>
      <c r="D153" t="s">
        <v>406</v>
      </c>
      <c r="E153" t="s">
        <v>470</v>
      </c>
      <c r="F153" t="s">
        <v>424</v>
      </c>
      <c r="G153" t="s">
        <v>428</v>
      </c>
      <c r="H153">
        <v>11</v>
      </c>
      <c r="I153">
        <v>617</v>
      </c>
      <c r="J153">
        <v>1025</v>
      </c>
      <c r="K153">
        <v>6787</v>
      </c>
      <c r="L153">
        <v>11275</v>
      </c>
      <c r="M153">
        <v>4488</v>
      </c>
      <c r="N153" t="s">
        <v>410</v>
      </c>
    </row>
    <row r="154" spans="1:14" x14ac:dyDescent="0.3">
      <c r="A154" s="16">
        <v>45544</v>
      </c>
      <c r="B154" t="s">
        <v>431</v>
      </c>
      <c r="C154" t="s">
        <v>585</v>
      </c>
      <c r="D154" t="s">
        <v>406</v>
      </c>
      <c r="E154" t="s">
        <v>407</v>
      </c>
      <c r="F154" t="s">
        <v>451</v>
      </c>
      <c r="G154" t="s">
        <v>428</v>
      </c>
      <c r="H154">
        <v>12</v>
      </c>
      <c r="I154">
        <v>879</v>
      </c>
      <c r="J154">
        <v>1428</v>
      </c>
      <c r="K154">
        <v>10548</v>
      </c>
      <c r="L154">
        <v>17136</v>
      </c>
      <c r="M154">
        <v>6588</v>
      </c>
      <c r="N154" t="s">
        <v>410</v>
      </c>
    </row>
    <row r="155" spans="1:14" x14ac:dyDescent="0.3">
      <c r="A155" s="16">
        <v>45491</v>
      </c>
      <c r="B155" t="s">
        <v>482</v>
      </c>
      <c r="C155" t="s">
        <v>586</v>
      </c>
      <c r="D155" t="s">
        <v>413</v>
      </c>
      <c r="E155" t="s">
        <v>444</v>
      </c>
      <c r="F155" t="s">
        <v>451</v>
      </c>
      <c r="G155" t="s">
        <v>409</v>
      </c>
      <c r="H155">
        <v>28</v>
      </c>
      <c r="I155">
        <v>588</v>
      </c>
      <c r="J155">
        <v>784</v>
      </c>
      <c r="K155">
        <v>16464</v>
      </c>
      <c r="L155">
        <v>21952</v>
      </c>
      <c r="M155">
        <v>5488</v>
      </c>
      <c r="N155" t="s">
        <v>410</v>
      </c>
    </row>
    <row r="156" spans="1:14" x14ac:dyDescent="0.3">
      <c r="A156" s="16">
        <v>45562</v>
      </c>
      <c r="B156" t="s">
        <v>431</v>
      </c>
      <c r="C156" t="s">
        <v>587</v>
      </c>
      <c r="D156" t="s">
        <v>406</v>
      </c>
      <c r="E156" t="s">
        <v>470</v>
      </c>
      <c r="F156" t="s">
        <v>408</v>
      </c>
      <c r="G156" t="s">
        <v>428</v>
      </c>
      <c r="H156">
        <v>16</v>
      </c>
      <c r="I156">
        <v>599</v>
      </c>
      <c r="J156">
        <v>1490</v>
      </c>
      <c r="K156">
        <v>9584</v>
      </c>
      <c r="L156">
        <v>23840</v>
      </c>
      <c r="M156">
        <v>14256</v>
      </c>
      <c r="N156" t="s">
        <v>410</v>
      </c>
    </row>
    <row r="157" spans="1:14" x14ac:dyDescent="0.3">
      <c r="A157" s="16">
        <v>45525</v>
      </c>
      <c r="B157" t="s">
        <v>434</v>
      </c>
      <c r="C157" t="s">
        <v>580</v>
      </c>
      <c r="D157" t="s">
        <v>413</v>
      </c>
      <c r="E157" t="s">
        <v>444</v>
      </c>
      <c r="F157" t="s">
        <v>426</v>
      </c>
      <c r="G157" t="s">
        <v>409</v>
      </c>
      <c r="H157">
        <v>30</v>
      </c>
      <c r="I157">
        <v>792</v>
      </c>
      <c r="J157">
        <v>1010</v>
      </c>
      <c r="K157">
        <v>23760</v>
      </c>
      <c r="L157">
        <v>30300</v>
      </c>
      <c r="M157">
        <v>6540</v>
      </c>
      <c r="N157" t="s">
        <v>410</v>
      </c>
    </row>
    <row r="158" spans="1:14" x14ac:dyDescent="0.3">
      <c r="A158" s="16">
        <v>45586</v>
      </c>
      <c r="B158" t="s">
        <v>422</v>
      </c>
      <c r="C158" t="s">
        <v>588</v>
      </c>
      <c r="D158" t="s">
        <v>406</v>
      </c>
      <c r="E158" t="s">
        <v>407</v>
      </c>
      <c r="F158" t="s">
        <v>433</v>
      </c>
      <c r="G158" t="s">
        <v>409</v>
      </c>
      <c r="H158">
        <v>19</v>
      </c>
      <c r="I158">
        <v>664</v>
      </c>
      <c r="J158">
        <v>1091</v>
      </c>
      <c r="K158">
        <v>12616</v>
      </c>
      <c r="L158">
        <v>20729</v>
      </c>
      <c r="M158">
        <v>8113</v>
      </c>
      <c r="N158" t="s">
        <v>410</v>
      </c>
    </row>
    <row r="159" spans="1:14" x14ac:dyDescent="0.3">
      <c r="A159" s="16">
        <v>45402</v>
      </c>
      <c r="B159" t="s">
        <v>449</v>
      </c>
      <c r="C159" t="s">
        <v>589</v>
      </c>
      <c r="D159" t="s">
        <v>418</v>
      </c>
      <c r="E159" t="s">
        <v>448</v>
      </c>
      <c r="F159" t="s">
        <v>408</v>
      </c>
      <c r="G159" t="s">
        <v>428</v>
      </c>
      <c r="H159">
        <v>70</v>
      </c>
      <c r="I159">
        <v>751</v>
      </c>
      <c r="J159">
        <v>1485</v>
      </c>
      <c r="K159">
        <v>52570</v>
      </c>
      <c r="L159">
        <v>103950</v>
      </c>
      <c r="M159">
        <v>51380</v>
      </c>
      <c r="N159" t="s">
        <v>410</v>
      </c>
    </row>
    <row r="160" spans="1:14" x14ac:dyDescent="0.3">
      <c r="A160" s="16">
        <v>45612</v>
      </c>
      <c r="B160" t="s">
        <v>411</v>
      </c>
      <c r="C160" t="s">
        <v>590</v>
      </c>
      <c r="D160" t="s">
        <v>413</v>
      </c>
      <c r="E160" t="s">
        <v>414</v>
      </c>
      <c r="F160" t="s">
        <v>451</v>
      </c>
      <c r="G160" t="s">
        <v>428</v>
      </c>
      <c r="H160">
        <v>30</v>
      </c>
      <c r="I160">
        <v>712</v>
      </c>
      <c r="J160">
        <v>1311</v>
      </c>
      <c r="K160">
        <v>21360</v>
      </c>
      <c r="L160">
        <v>39330</v>
      </c>
      <c r="M160">
        <v>17970</v>
      </c>
      <c r="N160" t="s">
        <v>410</v>
      </c>
    </row>
    <row r="161" spans="1:14" x14ac:dyDescent="0.3">
      <c r="A161" s="16">
        <v>45466</v>
      </c>
      <c r="B161" t="s">
        <v>404</v>
      </c>
      <c r="C161" t="s">
        <v>591</v>
      </c>
      <c r="D161" t="s">
        <v>418</v>
      </c>
      <c r="E161" t="s">
        <v>419</v>
      </c>
      <c r="F161" t="s">
        <v>426</v>
      </c>
      <c r="G161" t="s">
        <v>409</v>
      </c>
      <c r="H161">
        <v>78</v>
      </c>
      <c r="I161">
        <v>918</v>
      </c>
      <c r="J161">
        <v>1469</v>
      </c>
      <c r="K161">
        <v>71604</v>
      </c>
      <c r="L161">
        <v>114582</v>
      </c>
      <c r="M161">
        <v>42978</v>
      </c>
      <c r="N161" t="s">
        <v>410</v>
      </c>
    </row>
    <row r="162" spans="1:14" x14ac:dyDescent="0.3">
      <c r="A162" s="16">
        <v>45561</v>
      </c>
      <c r="B162" t="s">
        <v>431</v>
      </c>
      <c r="C162" t="s">
        <v>511</v>
      </c>
      <c r="D162" t="s">
        <v>418</v>
      </c>
      <c r="E162" t="s">
        <v>419</v>
      </c>
      <c r="F162" t="s">
        <v>445</v>
      </c>
      <c r="G162" t="s">
        <v>428</v>
      </c>
      <c r="H162">
        <v>97</v>
      </c>
      <c r="I162">
        <v>752</v>
      </c>
      <c r="J162">
        <v>1286</v>
      </c>
      <c r="K162">
        <v>72944</v>
      </c>
      <c r="L162">
        <v>124742</v>
      </c>
      <c r="M162">
        <v>51798</v>
      </c>
      <c r="N162" t="s">
        <v>410</v>
      </c>
    </row>
    <row r="163" spans="1:14" x14ac:dyDescent="0.3">
      <c r="A163" s="16">
        <v>45555</v>
      </c>
      <c r="B163" t="s">
        <v>431</v>
      </c>
      <c r="C163" t="s">
        <v>592</v>
      </c>
      <c r="D163" t="s">
        <v>418</v>
      </c>
      <c r="E163" t="s">
        <v>419</v>
      </c>
      <c r="F163" t="s">
        <v>451</v>
      </c>
      <c r="G163" t="s">
        <v>428</v>
      </c>
      <c r="H163">
        <v>60</v>
      </c>
      <c r="I163">
        <v>783</v>
      </c>
      <c r="J163">
        <v>881</v>
      </c>
      <c r="K163">
        <v>46980</v>
      </c>
      <c r="L163">
        <v>52860</v>
      </c>
      <c r="M163">
        <v>5880</v>
      </c>
      <c r="N163" t="s">
        <v>410</v>
      </c>
    </row>
    <row r="164" spans="1:14" x14ac:dyDescent="0.3">
      <c r="A164" s="16">
        <v>45571</v>
      </c>
      <c r="B164" t="s">
        <v>422</v>
      </c>
      <c r="C164" t="s">
        <v>593</v>
      </c>
      <c r="D164" t="s">
        <v>418</v>
      </c>
      <c r="E164" t="s">
        <v>453</v>
      </c>
      <c r="F164" t="s">
        <v>451</v>
      </c>
      <c r="G164" t="s">
        <v>409</v>
      </c>
      <c r="H164">
        <v>79</v>
      </c>
      <c r="I164">
        <v>683</v>
      </c>
      <c r="J164">
        <v>1444</v>
      </c>
      <c r="K164">
        <v>53957</v>
      </c>
      <c r="L164">
        <v>114076</v>
      </c>
      <c r="M164">
        <v>60119</v>
      </c>
      <c r="N164" t="s">
        <v>410</v>
      </c>
    </row>
    <row r="165" spans="1:14" x14ac:dyDescent="0.3">
      <c r="A165" s="16">
        <v>45638</v>
      </c>
      <c r="B165" t="s">
        <v>416</v>
      </c>
      <c r="C165" t="s">
        <v>594</v>
      </c>
      <c r="D165" t="s">
        <v>418</v>
      </c>
      <c r="E165" t="s">
        <v>453</v>
      </c>
      <c r="F165" t="s">
        <v>504</v>
      </c>
      <c r="G165" t="s">
        <v>409</v>
      </c>
      <c r="H165">
        <v>72</v>
      </c>
      <c r="I165">
        <v>765</v>
      </c>
      <c r="J165">
        <v>1368</v>
      </c>
      <c r="K165">
        <v>55080</v>
      </c>
      <c r="L165">
        <v>98496</v>
      </c>
      <c r="M165">
        <v>43416</v>
      </c>
      <c r="N165" t="s">
        <v>410</v>
      </c>
    </row>
    <row r="166" spans="1:14" x14ac:dyDescent="0.3">
      <c r="A166" s="16">
        <v>45694</v>
      </c>
      <c r="B166" t="s">
        <v>459</v>
      </c>
      <c r="C166" t="s">
        <v>595</v>
      </c>
      <c r="D166" t="s">
        <v>413</v>
      </c>
      <c r="E166" t="s">
        <v>444</v>
      </c>
      <c r="F166" t="s">
        <v>504</v>
      </c>
      <c r="G166" t="s">
        <v>428</v>
      </c>
      <c r="H166">
        <v>20</v>
      </c>
      <c r="I166">
        <v>534</v>
      </c>
      <c r="J166">
        <v>1233</v>
      </c>
      <c r="K166">
        <v>10680</v>
      </c>
      <c r="L166">
        <v>24660</v>
      </c>
      <c r="M166">
        <v>13980</v>
      </c>
      <c r="N166" t="s">
        <v>410</v>
      </c>
    </row>
    <row r="167" spans="1:14" x14ac:dyDescent="0.3">
      <c r="A167" s="16">
        <v>45616</v>
      </c>
      <c r="B167" t="s">
        <v>411</v>
      </c>
      <c r="C167" t="s">
        <v>596</v>
      </c>
      <c r="D167" t="s">
        <v>413</v>
      </c>
      <c r="E167" t="s">
        <v>414</v>
      </c>
      <c r="F167" t="s">
        <v>433</v>
      </c>
      <c r="G167" t="s">
        <v>409</v>
      </c>
      <c r="H167">
        <v>27</v>
      </c>
      <c r="I167">
        <v>933</v>
      </c>
      <c r="J167">
        <v>983</v>
      </c>
      <c r="K167">
        <v>25191</v>
      </c>
      <c r="L167">
        <v>26541</v>
      </c>
      <c r="M167">
        <v>1350</v>
      </c>
      <c r="N167" t="s">
        <v>410</v>
      </c>
    </row>
    <row r="168" spans="1:14" x14ac:dyDescent="0.3">
      <c r="A168" s="16">
        <v>45621</v>
      </c>
      <c r="B168" t="s">
        <v>411</v>
      </c>
      <c r="C168" t="s">
        <v>597</v>
      </c>
      <c r="D168" t="s">
        <v>413</v>
      </c>
      <c r="E168" t="s">
        <v>414</v>
      </c>
      <c r="F168" t="s">
        <v>532</v>
      </c>
      <c r="G168" t="s">
        <v>428</v>
      </c>
      <c r="H168">
        <v>20</v>
      </c>
      <c r="I168">
        <v>599</v>
      </c>
      <c r="J168">
        <v>1023</v>
      </c>
      <c r="K168">
        <v>11980</v>
      </c>
      <c r="L168">
        <v>20460</v>
      </c>
      <c r="M168">
        <v>8480</v>
      </c>
      <c r="N168" t="s">
        <v>410</v>
      </c>
    </row>
    <row r="169" spans="1:14" x14ac:dyDescent="0.3">
      <c r="A169" s="16">
        <v>45401</v>
      </c>
      <c r="B169" t="s">
        <v>449</v>
      </c>
      <c r="C169" t="s">
        <v>598</v>
      </c>
      <c r="D169" t="s">
        <v>418</v>
      </c>
      <c r="E169" t="s">
        <v>448</v>
      </c>
      <c r="F169" t="s">
        <v>445</v>
      </c>
      <c r="G169" t="s">
        <v>409</v>
      </c>
      <c r="H169">
        <v>66</v>
      </c>
      <c r="I169">
        <v>709</v>
      </c>
      <c r="J169">
        <v>1021</v>
      </c>
      <c r="K169">
        <v>46794</v>
      </c>
      <c r="L169">
        <v>67386</v>
      </c>
      <c r="M169">
        <v>20592</v>
      </c>
      <c r="N169" t="s">
        <v>410</v>
      </c>
    </row>
    <row r="170" spans="1:14" x14ac:dyDescent="0.3">
      <c r="A170" s="16">
        <v>45674</v>
      </c>
      <c r="B170" t="s">
        <v>462</v>
      </c>
      <c r="C170" t="s">
        <v>599</v>
      </c>
      <c r="D170" t="s">
        <v>418</v>
      </c>
      <c r="E170" t="s">
        <v>419</v>
      </c>
      <c r="F170" t="s">
        <v>420</v>
      </c>
      <c r="G170" t="s">
        <v>409</v>
      </c>
      <c r="H170">
        <v>61</v>
      </c>
      <c r="I170">
        <v>994</v>
      </c>
      <c r="J170">
        <v>886</v>
      </c>
      <c r="K170">
        <v>60634</v>
      </c>
      <c r="L170">
        <v>54046</v>
      </c>
      <c r="M170">
        <v>-6588</v>
      </c>
      <c r="N170" t="s">
        <v>421</v>
      </c>
    </row>
    <row r="171" spans="1:14" x14ac:dyDescent="0.3">
      <c r="A171" s="16">
        <v>45676</v>
      </c>
      <c r="B171" t="s">
        <v>462</v>
      </c>
      <c r="C171" t="s">
        <v>600</v>
      </c>
      <c r="D171" t="s">
        <v>418</v>
      </c>
      <c r="E171" t="s">
        <v>419</v>
      </c>
      <c r="F171" t="s">
        <v>566</v>
      </c>
      <c r="G171" t="s">
        <v>409</v>
      </c>
      <c r="H171">
        <v>50</v>
      </c>
      <c r="I171">
        <v>714</v>
      </c>
      <c r="J171">
        <v>1071</v>
      </c>
      <c r="K171">
        <v>35700</v>
      </c>
      <c r="L171">
        <v>53550</v>
      </c>
      <c r="M171">
        <v>17850</v>
      </c>
      <c r="N171" t="s">
        <v>410</v>
      </c>
    </row>
    <row r="172" spans="1:14" x14ac:dyDescent="0.3">
      <c r="A172" s="16">
        <v>45689</v>
      </c>
      <c r="B172" t="s">
        <v>459</v>
      </c>
      <c r="C172" t="s">
        <v>601</v>
      </c>
      <c r="D172" t="s">
        <v>413</v>
      </c>
      <c r="E172" t="s">
        <v>444</v>
      </c>
      <c r="F172" t="s">
        <v>451</v>
      </c>
      <c r="G172" t="s">
        <v>409</v>
      </c>
      <c r="H172">
        <v>22</v>
      </c>
      <c r="I172">
        <v>810</v>
      </c>
      <c r="J172">
        <v>1201</v>
      </c>
      <c r="K172">
        <v>17820</v>
      </c>
      <c r="L172">
        <v>26422</v>
      </c>
      <c r="M172">
        <v>8602</v>
      </c>
      <c r="N172" t="s">
        <v>410</v>
      </c>
    </row>
    <row r="173" spans="1:14" x14ac:dyDescent="0.3">
      <c r="A173" s="16">
        <v>45572</v>
      </c>
      <c r="B173" t="s">
        <v>422</v>
      </c>
      <c r="C173" t="s">
        <v>602</v>
      </c>
      <c r="D173" t="s">
        <v>418</v>
      </c>
      <c r="E173" t="s">
        <v>453</v>
      </c>
      <c r="F173" t="s">
        <v>566</v>
      </c>
      <c r="G173" t="s">
        <v>409</v>
      </c>
      <c r="H173">
        <v>53</v>
      </c>
      <c r="I173">
        <v>913</v>
      </c>
      <c r="J173">
        <v>1369</v>
      </c>
      <c r="K173">
        <v>48389</v>
      </c>
      <c r="L173">
        <v>72557</v>
      </c>
      <c r="M173">
        <v>24168</v>
      </c>
      <c r="N173" t="s">
        <v>410</v>
      </c>
    </row>
    <row r="174" spans="1:14" x14ac:dyDescent="0.3">
      <c r="A174" s="16">
        <v>45517</v>
      </c>
      <c r="B174" t="s">
        <v>434</v>
      </c>
      <c r="C174" t="s">
        <v>603</v>
      </c>
      <c r="D174" t="s">
        <v>413</v>
      </c>
      <c r="E174" t="s">
        <v>444</v>
      </c>
      <c r="F174" t="s">
        <v>451</v>
      </c>
      <c r="G174" t="s">
        <v>428</v>
      </c>
      <c r="H174">
        <v>27</v>
      </c>
      <c r="I174">
        <v>966</v>
      </c>
      <c r="J174">
        <v>1255</v>
      </c>
      <c r="K174">
        <v>26082</v>
      </c>
      <c r="L174">
        <v>33885</v>
      </c>
      <c r="M174">
        <v>7803</v>
      </c>
      <c r="N174" t="s">
        <v>410</v>
      </c>
    </row>
    <row r="175" spans="1:14" x14ac:dyDescent="0.3">
      <c r="A175" s="16">
        <v>45518</v>
      </c>
      <c r="B175" t="s">
        <v>434</v>
      </c>
      <c r="C175" t="s">
        <v>604</v>
      </c>
      <c r="D175" t="s">
        <v>413</v>
      </c>
      <c r="E175" t="s">
        <v>444</v>
      </c>
      <c r="F175" t="s">
        <v>472</v>
      </c>
      <c r="G175" t="s">
        <v>428</v>
      </c>
      <c r="H175">
        <v>24</v>
      </c>
      <c r="I175">
        <v>942</v>
      </c>
      <c r="J175">
        <v>1313</v>
      </c>
      <c r="K175">
        <v>22608</v>
      </c>
      <c r="L175">
        <v>31512</v>
      </c>
      <c r="M175">
        <v>8904</v>
      </c>
      <c r="N175" t="s">
        <v>410</v>
      </c>
    </row>
    <row r="176" spans="1:14" x14ac:dyDescent="0.3">
      <c r="A176" s="16">
        <v>45509</v>
      </c>
      <c r="B176" t="s">
        <v>434</v>
      </c>
      <c r="C176" t="s">
        <v>553</v>
      </c>
      <c r="D176" t="s">
        <v>418</v>
      </c>
      <c r="E176" t="s">
        <v>419</v>
      </c>
      <c r="F176" t="s">
        <v>408</v>
      </c>
      <c r="G176" t="s">
        <v>409</v>
      </c>
      <c r="H176">
        <v>73</v>
      </c>
      <c r="I176">
        <v>508</v>
      </c>
      <c r="J176">
        <v>1324</v>
      </c>
      <c r="K176">
        <v>37084</v>
      </c>
      <c r="L176">
        <v>96652</v>
      </c>
      <c r="M176">
        <v>59568</v>
      </c>
      <c r="N176" t="s">
        <v>410</v>
      </c>
    </row>
    <row r="177" spans="1:14" x14ac:dyDescent="0.3">
      <c r="A177" s="16">
        <v>45488</v>
      </c>
      <c r="B177" t="s">
        <v>482</v>
      </c>
      <c r="C177" t="s">
        <v>514</v>
      </c>
      <c r="D177" t="s">
        <v>413</v>
      </c>
      <c r="E177" t="s">
        <v>444</v>
      </c>
      <c r="F177" t="s">
        <v>433</v>
      </c>
      <c r="G177" t="s">
        <v>409</v>
      </c>
      <c r="H177">
        <v>29</v>
      </c>
      <c r="I177">
        <v>929</v>
      </c>
      <c r="J177">
        <v>1429</v>
      </c>
      <c r="K177">
        <v>26941</v>
      </c>
      <c r="L177">
        <v>41441</v>
      </c>
      <c r="M177">
        <v>14500</v>
      </c>
      <c r="N177" t="s">
        <v>410</v>
      </c>
    </row>
    <row r="178" spans="1:14" x14ac:dyDescent="0.3">
      <c r="A178" s="16">
        <v>45572</v>
      </c>
      <c r="B178" t="s">
        <v>422</v>
      </c>
      <c r="C178" t="s">
        <v>602</v>
      </c>
      <c r="D178" t="s">
        <v>418</v>
      </c>
      <c r="E178" t="s">
        <v>453</v>
      </c>
      <c r="F178" t="s">
        <v>566</v>
      </c>
      <c r="G178" t="s">
        <v>409</v>
      </c>
      <c r="H178">
        <v>80</v>
      </c>
      <c r="I178">
        <v>982</v>
      </c>
      <c r="J178">
        <v>1224</v>
      </c>
      <c r="K178">
        <v>78560</v>
      </c>
      <c r="L178">
        <v>97920</v>
      </c>
      <c r="M178">
        <v>19360</v>
      </c>
      <c r="N178" t="s">
        <v>410</v>
      </c>
    </row>
    <row r="179" spans="1:14" x14ac:dyDescent="0.3">
      <c r="A179" s="16">
        <v>45563</v>
      </c>
      <c r="B179" t="s">
        <v>431</v>
      </c>
      <c r="C179" t="s">
        <v>605</v>
      </c>
      <c r="D179" t="s">
        <v>406</v>
      </c>
      <c r="E179" t="s">
        <v>470</v>
      </c>
      <c r="F179" t="s">
        <v>433</v>
      </c>
      <c r="G179" t="s">
        <v>409</v>
      </c>
      <c r="H179">
        <v>15</v>
      </c>
      <c r="I179">
        <v>650</v>
      </c>
      <c r="J179">
        <v>1347</v>
      </c>
      <c r="K179">
        <v>9750</v>
      </c>
      <c r="L179">
        <v>20205</v>
      </c>
      <c r="M179">
        <v>10455</v>
      </c>
      <c r="N179" t="s">
        <v>410</v>
      </c>
    </row>
    <row r="180" spans="1:14" x14ac:dyDescent="0.3">
      <c r="A180" s="16">
        <v>45600</v>
      </c>
      <c r="B180" t="s">
        <v>411</v>
      </c>
      <c r="C180" t="s">
        <v>519</v>
      </c>
      <c r="D180" t="s">
        <v>413</v>
      </c>
      <c r="E180" t="s">
        <v>430</v>
      </c>
      <c r="F180" t="s">
        <v>424</v>
      </c>
      <c r="G180" t="s">
        <v>409</v>
      </c>
      <c r="H180">
        <v>28</v>
      </c>
      <c r="I180">
        <v>924</v>
      </c>
      <c r="J180">
        <v>847</v>
      </c>
      <c r="K180">
        <v>25872</v>
      </c>
      <c r="L180">
        <v>23716</v>
      </c>
      <c r="M180">
        <v>-2156</v>
      </c>
      <c r="N180" t="s">
        <v>421</v>
      </c>
    </row>
    <row r="181" spans="1:14" x14ac:dyDescent="0.3">
      <c r="A181" s="16">
        <v>45458</v>
      </c>
      <c r="B181" t="s">
        <v>404</v>
      </c>
      <c r="C181" t="s">
        <v>606</v>
      </c>
      <c r="D181" t="s">
        <v>406</v>
      </c>
      <c r="E181" t="s">
        <v>470</v>
      </c>
      <c r="F181" t="s">
        <v>424</v>
      </c>
      <c r="G181" t="s">
        <v>409</v>
      </c>
      <c r="H181">
        <v>20</v>
      </c>
      <c r="I181">
        <v>827</v>
      </c>
      <c r="J181">
        <v>816</v>
      </c>
      <c r="K181">
        <v>16540</v>
      </c>
      <c r="L181">
        <v>16320</v>
      </c>
      <c r="M181">
        <v>-220</v>
      </c>
      <c r="N181" t="s">
        <v>421</v>
      </c>
    </row>
    <row r="182" spans="1:14" x14ac:dyDescent="0.3">
      <c r="A182" s="16">
        <v>45629</v>
      </c>
      <c r="B182" t="s">
        <v>416</v>
      </c>
      <c r="C182" t="s">
        <v>607</v>
      </c>
      <c r="D182" t="s">
        <v>413</v>
      </c>
      <c r="E182" t="s">
        <v>444</v>
      </c>
      <c r="F182" t="s">
        <v>454</v>
      </c>
      <c r="G182" t="s">
        <v>428</v>
      </c>
      <c r="H182">
        <v>29</v>
      </c>
      <c r="I182">
        <v>639</v>
      </c>
      <c r="J182">
        <v>1257</v>
      </c>
      <c r="K182">
        <v>18531</v>
      </c>
      <c r="L182">
        <v>36453</v>
      </c>
      <c r="M182">
        <v>17922</v>
      </c>
      <c r="N182" t="s">
        <v>410</v>
      </c>
    </row>
    <row r="183" spans="1:14" x14ac:dyDescent="0.3">
      <c r="A183" s="16">
        <v>45585</v>
      </c>
      <c r="B183" t="s">
        <v>422</v>
      </c>
      <c r="C183" t="s">
        <v>547</v>
      </c>
      <c r="D183" t="s">
        <v>406</v>
      </c>
      <c r="E183" t="s">
        <v>407</v>
      </c>
      <c r="F183" t="s">
        <v>433</v>
      </c>
      <c r="G183" t="s">
        <v>409</v>
      </c>
      <c r="H183">
        <v>16</v>
      </c>
      <c r="I183">
        <v>846</v>
      </c>
      <c r="J183">
        <v>1375</v>
      </c>
      <c r="K183">
        <v>13536</v>
      </c>
      <c r="L183">
        <v>22000</v>
      </c>
      <c r="M183">
        <v>8464</v>
      </c>
      <c r="N183" t="s">
        <v>410</v>
      </c>
    </row>
    <row r="184" spans="1:14" x14ac:dyDescent="0.3">
      <c r="A184" s="16">
        <v>45582</v>
      </c>
      <c r="B184" t="s">
        <v>422</v>
      </c>
      <c r="C184" t="s">
        <v>608</v>
      </c>
      <c r="D184" t="s">
        <v>406</v>
      </c>
      <c r="E184" t="s">
        <v>407</v>
      </c>
      <c r="F184" t="s">
        <v>478</v>
      </c>
      <c r="G184" t="s">
        <v>428</v>
      </c>
      <c r="H184">
        <v>15</v>
      </c>
      <c r="I184">
        <v>563</v>
      </c>
      <c r="J184">
        <v>1069</v>
      </c>
      <c r="K184">
        <v>8445</v>
      </c>
      <c r="L184">
        <v>16035</v>
      </c>
      <c r="M184">
        <v>7590</v>
      </c>
      <c r="N184" t="s">
        <v>410</v>
      </c>
    </row>
    <row r="185" spans="1:14" x14ac:dyDescent="0.3">
      <c r="A185" s="16">
        <v>45526</v>
      </c>
      <c r="B185" t="s">
        <v>434</v>
      </c>
      <c r="C185" t="s">
        <v>609</v>
      </c>
      <c r="D185" t="s">
        <v>413</v>
      </c>
      <c r="E185" t="s">
        <v>444</v>
      </c>
      <c r="F185" t="s">
        <v>426</v>
      </c>
      <c r="G185" t="s">
        <v>409</v>
      </c>
      <c r="H185">
        <v>29</v>
      </c>
      <c r="I185">
        <v>818</v>
      </c>
      <c r="J185">
        <v>999</v>
      </c>
      <c r="K185">
        <v>23722</v>
      </c>
      <c r="L185">
        <v>28971</v>
      </c>
      <c r="M185">
        <v>5249</v>
      </c>
      <c r="N185" t="s">
        <v>410</v>
      </c>
    </row>
    <row r="186" spans="1:14" x14ac:dyDescent="0.3">
      <c r="A186" s="16">
        <v>45474</v>
      </c>
      <c r="B186" t="s">
        <v>482</v>
      </c>
      <c r="C186" t="s">
        <v>610</v>
      </c>
      <c r="D186" t="s">
        <v>406</v>
      </c>
      <c r="E186" t="s">
        <v>407</v>
      </c>
      <c r="F186" t="s">
        <v>433</v>
      </c>
      <c r="G186" t="s">
        <v>409</v>
      </c>
      <c r="H186">
        <v>10</v>
      </c>
      <c r="I186">
        <v>719</v>
      </c>
      <c r="J186">
        <v>862</v>
      </c>
      <c r="K186">
        <v>7190</v>
      </c>
      <c r="L186">
        <v>8620</v>
      </c>
      <c r="M186">
        <v>1430</v>
      </c>
      <c r="N186" t="s">
        <v>410</v>
      </c>
    </row>
    <row r="187" spans="1:14" x14ac:dyDescent="0.3">
      <c r="A187" s="16">
        <v>45686</v>
      </c>
      <c r="B187" t="s">
        <v>462</v>
      </c>
      <c r="C187" t="s">
        <v>611</v>
      </c>
      <c r="D187" t="s">
        <v>406</v>
      </c>
      <c r="E187" t="s">
        <v>407</v>
      </c>
      <c r="F187" t="s">
        <v>433</v>
      </c>
      <c r="G187" t="s">
        <v>428</v>
      </c>
      <c r="H187">
        <v>20</v>
      </c>
      <c r="I187">
        <v>735</v>
      </c>
      <c r="J187">
        <v>1277</v>
      </c>
      <c r="K187">
        <v>14700</v>
      </c>
      <c r="L187">
        <v>25540</v>
      </c>
      <c r="M187">
        <v>10840</v>
      </c>
      <c r="N187" t="s">
        <v>410</v>
      </c>
    </row>
    <row r="188" spans="1:14" x14ac:dyDescent="0.3">
      <c r="A188" s="16">
        <v>45672</v>
      </c>
      <c r="B188" t="s">
        <v>462</v>
      </c>
      <c r="C188" t="s">
        <v>612</v>
      </c>
      <c r="D188" t="s">
        <v>418</v>
      </c>
      <c r="E188" t="s">
        <v>419</v>
      </c>
      <c r="F188" t="s">
        <v>433</v>
      </c>
      <c r="G188" t="s">
        <v>428</v>
      </c>
      <c r="H188">
        <v>66</v>
      </c>
      <c r="I188">
        <v>831</v>
      </c>
      <c r="J188">
        <v>787</v>
      </c>
      <c r="K188">
        <v>54846</v>
      </c>
      <c r="L188">
        <v>51942</v>
      </c>
      <c r="M188">
        <v>-2904</v>
      </c>
      <c r="N188" t="s">
        <v>421</v>
      </c>
    </row>
    <row r="189" spans="1:14" x14ac:dyDescent="0.3">
      <c r="A189" s="16">
        <v>45675</v>
      </c>
      <c r="B189" t="s">
        <v>462</v>
      </c>
      <c r="C189" t="s">
        <v>613</v>
      </c>
      <c r="D189" t="s">
        <v>418</v>
      </c>
      <c r="E189" t="s">
        <v>419</v>
      </c>
      <c r="F189" t="s">
        <v>451</v>
      </c>
      <c r="G189" t="s">
        <v>409</v>
      </c>
      <c r="H189">
        <v>57</v>
      </c>
      <c r="I189">
        <v>566</v>
      </c>
      <c r="J189">
        <v>830</v>
      </c>
      <c r="K189">
        <v>32262</v>
      </c>
      <c r="L189">
        <v>47310</v>
      </c>
      <c r="M189">
        <v>15048</v>
      </c>
      <c r="N189" t="s">
        <v>410</v>
      </c>
    </row>
    <row r="190" spans="1:14" x14ac:dyDescent="0.3">
      <c r="A190" s="16">
        <v>45492</v>
      </c>
      <c r="B190" t="s">
        <v>482</v>
      </c>
      <c r="C190" t="s">
        <v>565</v>
      </c>
      <c r="D190" t="s">
        <v>413</v>
      </c>
      <c r="E190" t="s">
        <v>444</v>
      </c>
      <c r="F190" t="s">
        <v>566</v>
      </c>
      <c r="G190" t="s">
        <v>409</v>
      </c>
      <c r="H190">
        <v>28</v>
      </c>
      <c r="I190">
        <v>866</v>
      </c>
      <c r="J190">
        <v>1080</v>
      </c>
      <c r="K190">
        <v>24248</v>
      </c>
      <c r="L190">
        <v>30240</v>
      </c>
      <c r="M190">
        <v>5992</v>
      </c>
      <c r="N190" t="s">
        <v>410</v>
      </c>
    </row>
    <row r="191" spans="1:14" x14ac:dyDescent="0.3">
      <c r="A191" s="16">
        <v>45385</v>
      </c>
      <c r="B191" t="s">
        <v>449</v>
      </c>
      <c r="C191" t="s">
        <v>614</v>
      </c>
      <c r="D191" t="s">
        <v>413</v>
      </c>
      <c r="E191" t="s">
        <v>494</v>
      </c>
      <c r="F191" t="s">
        <v>424</v>
      </c>
      <c r="G191" t="s">
        <v>428</v>
      </c>
      <c r="H191">
        <v>23</v>
      </c>
      <c r="I191">
        <v>753</v>
      </c>
      <c r="J191">
        <v>987</v>
      </c>
      <c r="K191">
        <v>17319</v>
      </c>
      <c r="L191">
        <v>22701</v>
      </c>
      <c r="M191">
        <v>5382</v>
      </c>
      <c r="N191" t="s">
        <v>410</v>
      </c>
    </row>
    <row r="192" spans="1:14" x14ac:dyDescent="0.3">
      <c r="A192" s="16">
        <v>45482</v>
      </c>
      <c r="B192" t="s">
        <v>482</v>
      </c>
      <c r="C192" t="s">
        <v>615</v>
      </c>
      <c r="D192" t="s">
        <v>406</v>
      </c>
      <c r="E192" t="s">
        <v>407</v>
      </c>
      <c r="F192" t="s">
        <v>408</v>
      </c>
      <c r="G192" t="s">
        <v>428</v>
      </c>
      <c r="H192">
        <v>19</v>
      </c>
      <c r="I192">
        <v>536</v>
      </c>
      <c r="J192">
        <v>927</v>
      </c>
      <c r="K192">
        <v>10184</v>
      </c>
      <c r="L192">
        <v>17613</v>
      </c>
      <c r="M192">
        <v>7429</v>
      </c>
      <c r="N192" t="s">
        <v>410</v>
      </c>
    </row>
    <row r="193" spans="1:14" x14ac:dyDescent="0.3">
      <c r="A193" s="16">
        <v>45425</v>
      </c>
      <c r="B193" t="s">
        <v>437</v>
      </c>
      <c r="C193" t="s">
        <v>616</v>
      </c>
      <c r="D193" t="s">
        <v>413</v>
      </c>
      <c r="E193" t="s">
        <v>444</v>
      </c>
      <c r="F193" t="s">
        <v>424</v>
      </c>
      <c r="G193" t="s">
        <v>409</v>
      </c>
      <c r="H193">
        <v>23</v>
      </c>
      <c r="I193">
        <v>811</v>
      </c>
      <c r="J193">
        <v>1142</v>
      </c>
      <c r="K193">
        <v>18653</v>
      </c>
      <c r="L193">
        <v>26266</v>
      </c>
      <c r="M193">
        <v>7613</v>
      </c>
      <c r="N193" t="s">
        <v>410</v>
      </c>
    </row>
    <row r="194" spans="1:14" x14ac:dyDescent="0.3">
      <c r="A194" s="16">
        <v>45635</v>
      </c>
      <c r="B194" t="s">
        <v>416</v>
      </c>
      <c r="C194" t="s">
        <v>617</v>
      </c>
      <c r="D194" t="s">
        <v>413</v>
      </c>
      <c r="E194" t="s">
        <v>444</v>
      </c>
      <c r="F194" t="s">
        <v>442</v>
      </c>
      <c r="G194" t="s">
        <v>428</v>
      </c>
      <c r="H194">
        <v>24</v>
      </c>
      <c r="I194">
        <v>787</v>
      </c>
      <c r="J194">
        <v>1122</v>
      </c>
      <c r="K194">
        <v>18888</v>
      </c>
      <c r="L194">
        <v>26928</v>
      </c>
      <c r="M194">
        <v>8040</v>
      </c>
      <c r="N194" t="s">
        <v>410</v>
      </c>
    </row>
    <row r="195" spans="1:14" x14ac:dyDescent="0.3">
      <c r="A195" s="16">
        <v>45663</v>
      </c>
      <c r="B195" t="s">
        <v>462</v>
      </c>
      <c r="C195" t="s">
        <v>618</v>
      </c>
      <c r="D195" t="s">
        <v>406</v>
      </c>
      <c r="E195" t="s">
        <v>470</v>
      </c>
      <c r="F195" t="s">
        <v>439</v>
      </c>
      <c r="G195" t="s">
        <v>409</v>
      </c>
      <c r="H195">
        <v>10</v>
      </c>
      <c r="I195">
        <v>774</v>
      </c>
      <c r="J195">
        <v>1472</v>
      </c>
      <c r="K195">
        <v>7740</v>
      </c>
      <c r="L195">
        <v>14720</v>
      </c>
      <c r="M195">
        <v>6980</v>
      </c>
      <c r="N195" t="s">
        <v>410</v>
      </c>
    </row>
    <row r="196" spans="1:14" x14ac:dyDescent="0.3">
      <c r="A196" s="16">
        <v>45481</v>
      </c>
      <c r="B196" t="s">
        <v>482</v>
      </c>
      <c r="C196" t="s">
        <v>619</v>
      </c>
      <c r="D196" t="s">
        <v>406</v>
      </c>
      <c r="E196" t="s">
        <v>407</v>
      </c>
      <c r="F196" t="s">
        <v>445</v>
      </c>
      <c r="G196" t="s">
        <v>428</v>
      </c>
      <c r="H196">
        <v>14</v>
      </c>
      <c r="I196">
        <v>782</v>
      </c>
      <c r="J196">
        <v>835</v>
      </c>
      <c r="K196">
        <v>10948</v>
      </c>
      <c r="L196">
        <v>11690</v>
      </c>
      <c r="M196">
        <v>742</v>
      </c>
      <c r="N196" t="s">
        <v>410</v>
      </c>
    </row>
    <row r="197" spans="1:14" x14ac:dyDescent="0.3">
      <c r="A197" s="16">
        <v>45616</v>
      </c>
      <c r="B197" t="s">
        <v>411</v>
      </c>
      <c r="C197" t="s">
        <v>596</v>
      </c>
      <c r="D197" t="s">
        <v>413</v>
      </c>
      <c r="E197" t="s">
        <v>414</v>
      </c>
      <c r="F197" t="s">
        <v>433</v>
      </c>
      <c r="G197" t="s">
        <v>409</v>
      </c>
      <c r="H197">
        <v>25</v>
      </c>
      <c r="I197">
        <v>547</v>
      </c>
      <c r="J197">
        <v>1342</v>
      </c>
      <c r="K197">
        <v>13675</v>
      </c>
      <c r="L197">
        <v>33550</v>
      </c>
      <c r="M197">
        <v>19875</v>
      </c>
      <c r="N197" t="s">
        <v>410</v>
      </c>
    </row>
    <row r="198" spans="1:14" x14ac:dyDescent="0.3">
      <c r="A198" s="16">
        <v>45487</v>
      </c>
      <c r="B198" t="s">
        <v>482</v>
      </c>
      <c r="C198" t="s">
        <v>571</v>
      </c>
      <c r="D198" t="s">
        <v>413</v>
      </c>
      <c r="E198" t="s">
        <v>444</v>
      </c>
      <c r="F198" t="s">
        <v>454</v>
      </c>
      <c r="G198" t="s">
        <v>428</v>
      </c>
      <c r="H198">
        <v>22</v>
      </c>
      <c r="I198">
        <v>877</v>
      </c>
      <c r="J198">
        <v>1120</v>
      </c>
      <c r="K198">
        <v>19294</v>
      </c>
      <c r="L198">
        <v>24640</v>
      </c>
      <c r="M198">
        <v>5346</v>
      </c>
      <c r="N198" t="s">
        <v>410</v>
      </c>
    </row>
    <row r="199" spans="1:14" x14ac:dyDescent="0.3">
      <c r="A199" s="16">
        <v>45700</v>
      </c>
      <c r="B199" t="s">
        <v>459</v>
      </c>
      <c r="C199" t="s">
        <v>620</v>
      </c>
      <c r="D199" t="s">
        <v>418</v>
      </c>
      <c r="E199" t="s">
        <v>453</v>
      </c>
      <c r="F199" t="s">
        <v>433</v>
      </c>
      <c r="G199" t="s">
        <v>409</v>
      </c>
      <c r="H199">
        <v>80</v>
      </c>
      <c r="I199">
        <v>636</v>
      </c>
      <c r="J199">
        <v>1259</v>
      </c>
      <c r="K199">
        <v>50880</v>
      </c>
      <c r="L199">
        <v>100720</v>
      </c>
      <c r="M199">
        <v>49840</v>
      </c>
      <c r="N199" t="s">
        <v>410</v>
      </c>
    </row>
    <row r="200" spans="1:14" x14ac:dyDescent="0.3">
      <c r="A200" s="16">
        <v>45454</v>
      </c>
      <c r="B200" t="s">
        <v>404</v>
      </c>
      <c r="C200" t="s">
        <v>621</v>
      </c>
      <c r="D200" t="s">
        <v>406</v>
      </c>
      <c r="E200" t="s">
        <v>470</v>
      </c>
      <c r="F200" t="s">
        <v>510</v>
      </c>
      <c r="G200" t="s">
        <v>409</v>
      </c>
      <c r="H200">
        <v>11</v>
      </c>
      <c r="I200">
        <v>601</v>
      </c>
      <c r="J200">
        <v>1323</v>
      </c>
      <c r="K200">
        <v>6611</v>
      </c>
      <c r="L200">
        <v>14553</v>
      </c>
      <c r="M200">
        <v>7942</v>
      </c>
      <c r="N200" t="s">
        <v>410</v>
      </c>
    </row>
    <row r="201" spans="1:14" x14ac:dyDescent="0.3">
      <c r="A201" s="16">
        <v>45626</v>
      </c>
      <c r="B201" t="s">
        <v>411</v>
      </c>
      <c r="C201" t="s">
        <v>499</v>
      </c>
      <c r="D201" t="s">
        <v>413</v>
      </c>
      <c r="E201" t="s">
        <v>444</v>
      </c>
      <c r="F201" t="s">
        <v>433</v>
      </c>
      <c r="G201" t="s">
        <v>409</v>
      </c>
      <c r="H201">
        <v>22</v>
      </c>
      <c r="I201">
        <v>606</v>
      </c>
      <c r="J201">
        <v>1459</v>
      </c>
      <c r="K201">
        <v>13332</v>
      </c>
      <c r="L201">
        <v>32098</v>
      </c>
      <c r="M201">
        <v>18766</v>
      </c>
      <c r="N201" t="s">
        <v>410</v>
      </c>
    </row>
    <row r="202" spans="1:14" x14ac:dyDescent="0.3">
      <c r="A202" s="16">
        <v>45684</v>
      </c>
      <c r="B202" t="s">
        <v>462</v>
      </c>
      <c r="C202" t="s">
        <v>622</v>
      </c>
      <c r="D202" t="s">
        <v>406</v>
      </c>
      <c r="E202" t="s">
        <v>407</v>
      </c>
      <c r="F202" t="s">
        <v>465</v>
      </c>
      <c r="G202" t="s">
        <v>428</v>
      </c>
      <c r="H202">
        <v>16</v>
      </c>
      <c r="I202">
        <v>731</v>
      </c>
      <c r="J202">
        <v>1296</v>
      </c>
      <c r="K202">
        <v>11696</v>
      </c>
      <c r="L202">
        <v>20736</v>
      </c>
      <c r="M202">
        <v>9040</v>
      </c>
      <c r="N202" t="s">
        <v>410</v>
      </c>
    </row>
    <row r="203" spans="1:14" x14ac:dyDescent="0.3">
      <c r="A203" s="16">
        <v>45387</v>
      </c>
      <c r="B203" t="s">
        <v>449</v>
      </c>
      <c r="C203" t="s">
        <v>623</v>
      </c>
      <c r="D203" t="s">
        <v>418</v>
      </c>
      <c r="E203" t="s">
        <v>441</v>
      </c>
      <c r="F203" t="s">
        <v>478</v>
      </c>
      <c r="G203" t="s">
        <v>428</v>
      </c>
      <c r="H203">
        <v>65</v>
      </c>
      <c r="I203">
        <v>816</v>
      </c>
      <c r="J203">
        <v>1347</v>
      </c>
      <c r="K203">
        <v>53040</v>
      </c>
      <c r="L203">
        <v>87555</v>
      </c>
      <c r="M203">
        <v>34515</v>
      </c>
      <c r="N203" t="s">
        <v>410</v>
      </c>
    </row>
    <row r="204" spans="1:14" x14ac:dyDescent="0.3">
      <c r="A204" s="16">
        <v>45543</v>
      </c>
      <c r="B204" t="s">
        <v>431</v>
      </c>
      <c r="C204" t="s">
        <v>624</v>
      </c>
      <c r="D204" t="s">
        <v>406</v>
      </c>
      <c r="E204" t="s">
        <v>407</v>
      </c>
      <c r="F204" t="s">
        <v>542</v>
      </c>
      <c r="G204" t="s">
        <v>428</v>
      </c>
      <c r="H204">
        <v>12</v>
      </c>
      <c r="I204">
        <v>561</v>
      </c>
      <c r="J204">
        <v>1162</v>
      </c>
      <c r="K204">
        <v>6732</v>
      </c>
      <c r="L204">
        <v>13944</v>
      </c>
      <c r="M204">
        <v>7212</v>
      </c>
      <c r="N204" t="s">
        <v>410</v>
      </c>
    </row>
    <row r="205" spans="1:14" x14ac:dyDescent="0.3">
      <c r="A205" s="16">
        <v>45676</v>
      </c>
      <c r="B205" t="s">
        <v>462</v>
      </c>
      <c r="C205" t="s">
        <v>600</v>
      </c>
      <c r="D205" t="s">
        <v>418</v>
      </c>
      <c r="E205" t="s">
        <v>419</v>
      </c>
      <c r="F205" t="s">
        <v>566</v>
      </c>
      <c r="G205" t="s">
        <v>409</v>
      </c>
      <c r="H205">
        <v>93</v>
      </c>
      <c r="I205">
        <v>887</v>
      </c>
      <c r="J205">
        <v>993</v>
      </c>
      <c r="K205">
        <v>82491</v>
      </c>
      <c r="L205">
        <v>92349</v>
      </c>
      <c r="M205">
        <v>9858</v>
      </c>
      <c r="N205" t="s">
        <v>410</v>
      </c>
    </row>
    <row r="206" spans="1:14" x14ac:dyDescent="0.3">
      <c r="A206" s="16">
        <v>45439</v>
      </c>
      <c r="B206" t="s">
        <v>437</v>
      </c>
      <c r="C206" t="s">
        <v>557</v>
      </c>
      <c r="D206" t="s">
        <v>418</v>
      </c>
      <c r="E206" t="s">
        <v>453</v>
      </c>
      <c r="F206" t="s">
        <v>532</v>
      </c>
      <c r="G206" t="s">
        <v>409</v>
      </c>
      <c r="H206">
        <v>100</v>
      </c>
      <c r="I206">
        <v>795</v>
      </c>
      <c r="J206">
        <v>1136</v>
      </c>
      <c r="K206">
        <v>79500</v>
      </c>
      <c r="L206">
        <v>113600</v>
      </c>
      <c r="M206">
        <v>34100</v>
      </c>
      <c r="N206" t="s">
        <v>410</v>
      </c>
    </row>
    <row r="207" spans="1:14" x14ac:dyDescent="0.3">
      <c r="A207" s="16">
        <v>45666</v>
      </c>
      <c r="B207" t="s">
        <v>462</v>
      </c>
      <c r="C207" t="s">
        <v>625</v>
      </c>
      <c r="D207" t="s">
        <v>418</v>
      </c>
      <c r="E207" t="s">
        <v>453</v>
      </c>
      <c r="F207" t="s">
        <v>408</v>
      </c>
      <c r="G207" t="s">
        <v>428</v>
      </c>
      <c r="H207">
        <v>100</v>
      </c>
      <c r="I207">
        <v>667</v>
      </c>
      <c r="J207">
        <v>1109</v>
      </c>
      <c r="K207">
        <v>66700</v>
      </c>
      <c r="L207">
        <v>110900</v>
      </c>
      <c r="M207">
        <v>44200</v>
      </c>
      <c r="N207" t="s">
        <v>410</v>
      </c>
    </row>
    <row r="208" spans="1:14" x14ac:dyDescent="0.3">
      <c r="A208" s="16">
        <v>45545</v>
      </c>
      <c r="B208" t="s">
        <v>431</v>
      </c>
      <c r="C208" t="s">
        <v>626</v>
      </c>
      <c r="D208" t="s">
        <v>406</v>
      </c>
      <c r="E208" t="s">
        <v>407</v>
      </c>
      <c r="F208" t="s">
        <v>424</v>
      </c>
      <c r="G208" t="s">
        <v>428</v>
      </c>
      <c r="H208">
        <v>19</v>
      </c>
      <c r="I208">
        <v>630</v>
      </c>
      <c r="J208">
        <v>882</v>
      </c>
      <c r="K208">
        <v>11970</v>
      </c>
      <c r="L208">
        <v>16758</v>
      </c>
      <c r="M208">
        <v>4788</v>
      </c>
      <c r="N208" t="s">
        <v>410</v>
      </c>
    </row>
    <row r="209" spans="1:14" x14ac:dyDescent="0.3">
      <c r="A209" s="16">
        <v>45501</v>
      </c>
      <c r="B209" t="s">
        <v>482</v>
      </c>
      <c r="C209" t="s">
        <v>627</v>
      </c>
      <c r="D209" t="s">
        <v>418</v>
      </c>
      <c r="E209" t="s">
        <v>453</v>
      </c>
      <c r="F209" t="s">
        <v>424</v>
      </c>
      <c r="G209" t="s">
        <v>409</v>
      </c>
      <c r="H209">
        <v>63</v>
      </c>
      <c r="I209">
        <v>952</v>
      </c>
      <c r="J209">
        <v>824</v>
      </c>
      <c r="K209">
        <v>59976</v>
      </c>
      <c r="L209">
        <v>51912</v>
      </c>
      <c r="M209">
        <v>-8064</v>
      </c>
      <c r="N209" t="s">
        <v>421</v>
      </c>
    </row>
    <row r="210" spans="1:14" x14ac:dyDescent="0.3">
      <c r="A210" s="16">
        <v>45683</v>
      </c>
      <c r="B210" t="s">
        <v>462</v>
      </c>
      <c r="C210" t="s">
        <v>567</v>
      </c>
      <c r="D210" t="s">
        <v>406</v>
      </c>
      <c r="E210" t="s">
        <v>407</v>
      </c>
      <c r="F210" t="s">
        <v>532</v>
      </c>
      <c r="G210" t="s">
        <v>409</v>
      </c>
      <c r="H210">
        <v>17</v>
      </c>
      <c r="I210">
        <v>922</v>
      </c>
      <c r="J210">
        <v>899</v>
      </c>
      <c r="K210">
        <v>15674</v>
      </c>
      <c r="L210">
        <v>15283</v>
      </c>
      <c r="M210">
        <v>-391</v>
      </c>
      <c r="N210" t="s">
        <v>421</v>
      </c>
    </row>
    <row r="211" spans="1:14" x14ac:dyDescent="0.3">
      <c r="A211" s="16">
        <v>45507</v>
      </c>
      <c r="B211" t="s">
        <v>434</v>
      </c>
      <c r="C211" t="s">
        <v>628</v>
      </c>
      <c r="D211" t="s">
        <v>418</v>
      </c>
      <c r="E211" t="s">
        <v>419</v>
      </c>
      <c r="F211" t="s">
        <v>478</v>
      </c>
      <c r="G211" t="s">
        <v>428</v>
      </c>
      <c r="H211">
        <v>86</v>
      </c>
      <c r="I211">
        <v>540</v>
      </c>
      <c r="J211">
        <v>1460</v>
      </c>
      <c r="K211">
        <v>46440</v>
      </c>
      <c r="L211">
        <v>125560</v>
      </c>
      <c r="M211">
        <v>79120</v>
      </c>
      <c r="N211" t="s">
        <v>410</v>
      </c>
    </row>
    <row r="212" spans="1:14" x14ac:dyDescent="0.3">
      <c r="A212" s="16">
        <v>45392</v>
      </c>
      <c r="B212" t="s">
        <v>449</v>
      </c>
      <c r="C212" t="s">
        <v>629</v>
      </c>
      <c r="D212" t="s">
        <v>413</v>
      </c>
      <c r="E212" t="s">
        <v>430</v>
      </c>
      <c r="F212" t="s">
        <v>408</v>
      </c>
      <c r="G212" t="s">
        <v>409</v>
      </c>
      <c r="H212">
        <v>26</v>
      </c>
      <c r="I212">
        <v>808</v>
      </c>
      <c r="J212">
        <v>1135</v>
      </c>
      <c r="K212">
        <v>21008</v>
      </c>
      <c r="L212">
        <v>29510</v>
      </c>
      <c r="M212">
        <v>8502</v>
      </c>
      <c r="N212" t="s">
        <v>410</v>
      </c>
    </row>
    <row r="213" spans="1:14" x14ac:dyDescent="0.3">
      <c r="A213" s="16">
        <v>45615</v>
      </c>
      <c r="B213" t="s">
        <v>411</v>
      </c>
      <c r="C213" t="s">
        <v>630</v>
      </c>
      <c r="D213" t="s">
        <v>413</v>
      </c>
      <c r="E213" t="s">
        <v>414</v>
      </c>
      <c r="F213" t="s">
        <v>433</v>
      </c>
      <c r="G213" t="s">
        <v>409</v>
      </c>
      <c r="H213">
        <v>29</v>
      </c>
      <c r="I213">
        <v>520</v>
      </c>
      <c r="J213">
        <v>770</v>
      </c>
      <c r="K213">
        <v>15080</v>
      </c>
      <c r="L213">
        <v>22330</v>
      </c>
      <c r="M213">
        <v>7250</v>
      </c>
      <c r="N213" t="s">
        <v>410</v>
      </c>
    </row>
    <row r="214" spans="1:14" x14ac:dyDescent="0.3">
      <c r="A214" s="16">
        <v>45684</v>
      </c>
      <c r="B214" t="s">
        <v>462</v>
      </c>
      <c r="C214" t="s">
        <v>622</v>
      </c>
      <c r="D214" t="s">
        <v>406</v>
      </c>
      <c r="E214" t="s">
        <v>407</v>
      </c>
      <c r="F214" t="s">
        <v>465</v>
      </c>
      <c r="G214" t="s">
        <v>428</v>
      </c>
      <c r="H214">
        <v>19</v>
      </c>
      <c r="I214">
        <v>595</v>
      </c>
      <c r="J214">
        <v>1424</v>
      </c>
      <c r="K214">
        <v>11305</v>
      </c>
      <c r="L214">
        <v>27056</v>
      </c>
      <c r="M214">
        <v>15751</v>
      </c>
      <c r="N214" t="s">
        <v>410</v>
      </c>
    </row>
    <row r="215" spans="1:14" x14ac:dyDescent="0.3">
      <c r="A215" s="16">
        <v>45445</v>
      </c>
      <c r="B215" t="s">
        <v>404</v>
      </c>
      <c r="C215" t="s">
        <v>631</v>
      </c>
      <c r="D215" t="s">
        <v>418</v>
      </c>
      <c r="E215" t="s">
        <v>419</v>
      </c>
      <c r="F215" t="s">
        <v>426</v>
      </c>
      <c r="G215" t="s">
        <v>428</v>
      </c>
      <c r="H215">
        <v>74</v>
      </c>
      <c r="I215">
        <v>870</v>
      </c>
      <c r="J215">
        <v>1490</v>
      </c>
      <c r="K215">
        <v>64380</v>
      </c>
      <c r="L215">
        <v>110260</v>
      </c>
      <c r="M215">
        <v>45880</v>
      </c>
      <c r="N215" t="s">
        <v>410</v>
      </c>
    </row>
    <row r="216" spans="1:14" x14ac:dyDescent="0.3">
      <c r="A216" s="16">
        <v>45408</v>
      </c>
      <c r="B216" t="s">
        <v>449</v>
      </c>
      <c r="C216" t="s">
        <v>527</v>
      </c>
      <c r="D216" t="s">
        <v>413</v>
      </c>
      <c r="E216" t="s">
        <v>414</v>
      </c>
      <c r="F216" t="s">
        <v>433</v>
      </c>
      <c r="G216" t="s">
        <v>409</v>
      </c>
      <c r="H216">
        <v>29</v>
      </c>
      <c r="I216">
        <v>952</v>
      </c>
      <c r="J216">
        <v>1428</v>
      </c>
      <c r="K216">
        <v>27608</v>
      </c>
      <c r="L216">
        <v>41412</v>
      </c>
      <c r="M216">
        <v>13804</v>
      </c>
      <c r="N216" t="s">
        <v>410</v>
      </c>
    </row>
    <row r="217" spans="1:14" x14ac:dyDescent="0.3">
      <c r="A217" s="16">
        <v>45435</v>
      </c>
      <c r="B217" t="s">
        <v>437</v>
      </c>
      <c r="C217" t="s">
        <v>540</v>
      </c>
      <c r="D217" t="s">
        <v>418</v>
      </c>
      <c r="E217" t="s">
        <v>453</v>
      </c>
      <c r="F217" t="s">
        <v>451</v>
      </c>
      <c r="G217" t="s">
        <v>409</v>
      </c>
      <c r="H217">
        <v>72</v>
      </c>
      <c r="I217">
        <v>920</v>
      </c>
      <c r="J217">
        <v>753</v>
      </c>
      <c r="K217">
        <v>66240</v>
      </c>
      <c r="L217">
        <v>54216</v>
      </c>
      <c r="M217">
        <v>-12024</v>
      </c>
      <c r="N217" t="s">
        <v>421</v>
      </c>
    </row>
    <row r="218" spans="1:14" x14ac:dyDescent="0.3">
      <c r="A218" s="16">
        <v>45433</v>
      </c>
      <c r="B218" t="s">
        <v>437</v>
      </c>
      <c r="C218" t="s">
        <v>632</v>
      </c>
      <c r="D218" t="s">
        <v>418</v>
      </c>
      <c r="E218" t="s">
        <v>453</v>
      </c>
      <c r="F218" t="s">
        <v>433</v>
      </c>
      <c r="G218" t="s">
        <v>409</v>
      </c>
      <c r="H218">
        <v>96</v>
      </c>
      <c r="I218">
        <v>791</v>
      </c>
      <c r="J218">
        <v>931</v>
      </c>
      <c r="K218">
        <v>75936</v>
      </c>
      <c r="L218">
        <v>89376</v>
      </c>
      <c r="M218">
        <v>13440</v>
      </c>
      <c r="N218" t="s">
        <v>410</v>
      </c>
    </row>
    <row r="219" spans="1:14" x14ac:dyDescent="0.3">
      <c r="A219" s="16">
        <v>45391</v>
      </c>
      <c r="B219" t="s">
        <v>449</v>
      </c>
      <c r="C219" t="s">
        <v>633</v>
      </c>
      <c r="D219" t="s">
        <v>413</v>
      </c>
      <c r="E219" t="s">
        <v>430</v>
      </c>
      <c r="F219" t="s">
        <v>454</v>
      </c>
      <c r="G219" t="s">
        <v>409</v>
      </c>
      <c r="H219">
        <v>23</v>
      </c>
      <c r="I219">
        <v>852</v>
      </c>
      <c r="J219">
        <v>1480</v>
      </c>
      <c r="K219">
        <v>19596</v>
      </c>
      <c r="L219">
        <v>34040</v>
      </c>
      <c r="M219">
        <v>14444</v>
      </c>
      <c r="N219" t="s">
        <v>410</v>
      </c>
    </row>
    <row r="220" spans="1:14" x14ac:dyDescent="0.3">
      <c r="A220" s="16">
        <v>45455</v>
      </c>
      <c r="B220" t="s">
        <v>404</v>
      </c>
      <c r="C220" t="s">
        <v>634</v>
      </c>
      <c r="D220" t="s">
        <v>406</v>
      </c>
      <c r="E220" t="s">
        <v>470</v>
      </c>
      <c r="F220" t="s">
        <v>439</v>
      </c>
      <c r="G220" t="s">
        <v>409</v>
      </c>
      <c r="H220">
        <v>20</v>
      </c>
      <c r="I220">
        <v>857</v>
      </c>
      <c r="J220">
        <v>983</v>
      </c>
      <c r="K220">
        <v>17140</v>
      </c>
      <c r="L220">
        <v>19660</v>
      </c>
      <c r="M220">
        <v>2520</v>
      </c>
      <c r="N220" t="s">
        <v>410</v>
      </c>
    </row>
    <row r="221" spans="1:14" x14ac:dyDescent="0.3">
      <c r="A221" s="16">
        <v>45508</v>
      </c>
      <c r="B221" t="s">
        <v>434</v>
      </c>
      <c r="C221" t="s">
        <v>435</v>
      </c>
      <c r="D221" t="s">
        <v>418</v>
      </c>
      <c r="E221" t="s">
        <v>419</v>
      </c>
      <c r="F221" t="s">
        <v>436</v>
      </c>
      <c r="G221" t="s">
        <v>409</v>
      </c>
      <c r="H221">
        <v>71</v>
      </c>
      <c r="I221">
        <v>565</v>
      </c>
      <c r="J221">
        <v>807</v>
      </c>
      <c r="K221">
        <v>40115</v>
      </c>
      <c r="L221">
        <v>57297</v>
      </c>
      <c r="M221">
        <v>17182</v>
      </c>
      <c r="N221" t="s">
        <v>410</v>
      </c>
    </row>
    <row r="222" spans="1:14" x14ac:dyDescent="0.3">
      <c r="A222" s="16">
        <v>45594</v>
      </c>
      <c r="B222" t="s">
        <v>422</v>
      </c>
      <c r="C222" t="s">
        <v>635</v>
      </c>
      <c r="D222" t="s">
        <v>418</v>
      </c>
      <c r="E222" t="s">
        <v>441</v>
      </c>
      <c r="F222" t="s">
        <v>566</v>
      </c>
      <c r="G222" t="s">
        <v>409</v>
      </c>
      <c r="H222">
        <v>99</v>
      </c>
      <c r="I222">
        <v>880</v>
      </c>
      <c r="J222">
        <v>1318</v>
      </c>
      <c r="K222">
        <v>87120</v>
      </c>
      <c r="L222">
        <v>130482</v>
      </c>
      <c r="M222">
        <v>43362</v>
      </c>
      <c r="N222" t="s">
        <v>410</v>
      </c>
    </row>
    <row r="223" spans="1:14" x14ac:dyDescent="0.3">
      <c r="A223" s="16">
        <v>45534</v>
      </c>
      <c r="B223" t="s">
        <v>434</v>
      </c>
      <c r="C223" t="s">
        <v>523</v>
      </c>
      <c r="D223" t="s">
        <v>418</v>
      </c>
      <c r="E223" t="s">
        <v>453</v>
      </c>
      <c r="F223" t="s">
        <v>510</v>
      </c>
      <c r="G223" t="s">
        <v>428</v>
      </c>
      <c r="H223">
        <v>70</v>
      </c>
      <c r="I223">
        <v>751</v>
      </c>
      <c r="J223">
        <v>1026</v>
      </c>
      <c r="K223">
        <v>52570</v>
      </c>
      <c r="L223">
        <v>71820</v>
      </c>
      <c r="M223">
        <v>19250</v>
      </c>
      <c r="N223" t="s">
        <v>410</v>
      </c>
    </row>
    <row r="224" spans="1:14" x14ac:dyDescent="0.3">
      <c r="A224" s="16">
        <v>45634</v>
      </c>
      <c r="B224" t="s">
        <v>416</v>
      </c>
      <c r="C224" t="s">
        <v>636</v>
      </c>
      <c r="D224" t="s">
        <v>413</v>
      </c>
      <c r="E224" t="s">
        <v>444</v>
      </c>
      <c r="F224" t="s">
        <v>566</v>
      </c>
      <c r="G224" t="s">
        <v>428</v>
      </c>
      <c r="H224">
        <v>23</v>
      </c>
      <c r="I224">
        <v>771</v>
      </c>
      <c r="J224">
        <v>1430</v>
      </c>
      <c r="K224">
        <v>17733</v>
      </c>
      <c r="L224">
        <v>32890</v>
      </c>
      <c r="M224">
        <v>15157</v>
      </c>
      <c r="N224" t="s">
        <v>410</v>
      </c>
    </row>
    <row r="225" spans="1:14" x14ac:dyDescent="0.3">
      <c r="A225" s="16">
        <v>45432</v>
      </c>
      <c r="B225" t="s">
        <v>437</v>
      </c>
      <c r="C225" t="s">
        <v>530</v>
      </c>
      <c r="D225" t="s">
        <v>418</v>
      </c>
      <c r="E225" t="s">
        <v>453</v>
      </c>
      <c r="F225" t="s">
        <v>408</v>
      </c>
      <c r="G225" t="s">
        <v>428</v>
      </c>
      <c r="H225">
        <v>63</v>
      </c>
      <c r="I225">
        <v>929</v>
      </c>
      <c r="J225">
        <v>1320</v>
      </c>
      <c r="K225">
        <v>58527</v>
      </c>
      <c r="L225">
        <v>83160</v>
      </c>
      <c r="M225">
        <v>24633</v>
      </c>
      <c r="N225" t="s">
        <v>410</v>
      </c>
    </row>
    <row r="226" spans="1:14" x14ac:dyDescent="0.3">
      <c r="A226" s="16">
        <v>45690</v>
      </c>
      <c r="B226" t="s">
        <v>459</v>
      </c>
      <c r="C226" t="s">
        <v>637</v>
      </c>
      <c r="D226" t="s">
        <v>413</v>
      </c>
      <c r="E226" t="s">
        <v>444</v>
      </c>
      <c r="F226" t="s">
        <v>566</v>
      </c>
      <c r="G226" t="s">
        <v>409</v>
      </c>
      <c r="H226">
        <v>24</v>
      </c>
      <c r="I226">
        <v>580</v>
      </c>
      <c r="J226">
        <v>809</v>
      </c>
      <c r="K226">
        <v>13920</v>
      </c>
      <c r="L226">
        <v>19416</v>
      </c>
      <c r="M226">
        <v>5496</v>
      </c>
      <c r="N226" t="s">
        <v>410</v>
      </c>
    </row>
    <row r="227" spans="1:14" x14ac:dyDescent="0.3">
      <c r="A227" s="16">
        <v>45642</v>
      </c>
      <c r="B227" t="s">
        <v>416</v>
      </c>
      <c r="C227" t="s">
        <v>638</v>
      </c>
      <c r="D227" t="s">
        <v>418</v>
      </c>
      <c r="E227" t="s">
        <v>453</v>
      </c>
      <c r="F227" t="s">
        <v>433</v>
      </c>
      <c r="G227" t="s">
        <v>409</v>
      </c>
      <c r="H227">
        <v>56</v>
      </c>
      <c r="I227">
        <v>516</v>
      </c>
      <c r="J227">
        <v>1316</v>
      </c>
      <c r="K227">
        <v>28896</v>
      </c>
      <c r="L227">
        <v>73696</v>
      </c>
      <c r="M227">
        <v>44800</v>
      </c>
      <c r="N227" t="s">
        <v>410</v>
      </c>
    </row>
    <row r="228" spans="1:14" x14ac:dyDescent="0.3">
      <c r="A228" s="16">
        <v>45690</v>
      </c>
      <c r="B228" t="s">
        <v>459</v>
      </c>
      <c r="C228" t="s">
        <v>637</v>
      </c>
      <c r="D228" t="s">
        <v>413</v>
      </c>
      <c r="E228" t="s">
        <v>444</v>
      </c>
      <c r="F228" t="s">
        <v>566</v>
      </c>
      <c r="G228" t="s">
        <v>409</v>
      </c>
      <c r="H228">
        <v>26</v>
      </c>
      <c r="I228">
        <v>573</v>
      </c>
      <c r="J228">
        <v>1309</v>
      </c>
      <c r="K228">
        <v>14898</v>
      </c>
      <c r="L228">
        <v>34034</v>
      </c>
      <c r="M228">
        <v>19136</v>
      </c>
      <c r="N228" t="s">
        <v>410</v>
      </c>
    </row>
    <row r="229" spans="1:14" x14ac:dyDescent="0.3">
      <c r="A229" s="16">
        <v>45640</v>
      </c>
      <c r="B229" t="s">
        <v>416</v>
      </c>
      <c r="C229" t="s">
        <v>639</v>
      </c>
      <c r="D229" t="s">
        <v>418</v>
      </c>
      <c r="E229" t="s">
        <v>453</v>
      </c>
      <c r="F229" t="s">
        <v>408</v>
      </c>
      <c r="G229" t="s">
        <v>409</v>
      </c>
      <c r="H229">
        <v>80</v>
      </c>
      <c r="I229">
        <v>671</v>
      </c>
      <c r="J229">
        <v>1251</v>
      </c>
      <c r="K229">
        <v>53680</v>
      </c>
      <c r="L229">
        <v>100080</v>
      </c>
      <c r="M229">
        <v>46400</v>
      </c>
      <c r="N229" t="s">
        <v>410</v>
      </c>
    </row>
    <row r="230" spans="1:14" x14ac:dyDescent="0.3">
      <c r="A230" s="16">
        <v>45669</v>
      </c>
      <c r="B230" t="s">
        <v>462</v>
      </c>
      <c r="C230" t="s">
        <v>502</v>
      </c>
      <c r="D230" t="s">
        <v>418</v>
      </c>
      <c r="E230" t="s">
        <v>453</v>
      </c>
      <c r="F230" t="s">
        <v>426</v>
      </c>
      <c r="G230" t="s">
        <v>409</v>
      </c>
      <c r="H230">
        <v>86</v>
      </c>
      <c r="I230">
        <v>567</v>
      </c>
      <c r="J230">
        <v>1491</v>
      </c>
      <c r="K230">
        <v>48762</v>
      </c>
      <c r="L230">
        <v>128226</v>
      </c>
      <c r="M230">
        <v>79464</v>
      </c>
      <c r="N230" t="s">
        <v>410</v>
      </c>
    </row>
    <row r="231" spans="1:14" x14ac:dyDescent="0.3">
      <c r="A231" s="16">
        <v>45565</v>
      </c>
      <c r="B231" t="s">
        <v>431</v>
      </c>
      <c r="C231" t="s">
        <v>546</v>
      </c>
      <c r="D231" t="s">
        <v>406</v>
      </c>
      <c r="E231" t="s">
        <v>470</v>
      </c>
      <c r="F231" t="s">
        <v>426</v>
      </c>
      <c r="G231" t="s">
        <v>409</v>
      </c>
      <c r="H231">
        <v>12</v>
      </c>
      <c r="I231">
        <v>674</v>
      </c>
      <c r="J231">
        <v>1265</v>
      </c>
      <c r="K231">
        <v>8088</v>
      </c>
      <c r="L231">
        <v>15180</v>
      </c>
      <c r="M231">
        <v>7092</v>
      </c>
      <c r="N231" t="s">
        <v>410</v>
      </c>
    </row>
    <row r="232" spans="1:14" x14ac:dyDescent="0.3">
      <c r="A232" s="16">
        <v>45638</v>
      </c>
      <c r="B232" t="s">
        <v>416</v>
      </c>
      <c r="C232" t="s">
        <v>594</v>
      </c>
      <c r="D232" t="s">
        <v>418</v>
      </c>
      <c r="E232" t="s">
        <v>453</v>
      </c>
      <c r="F232" t="s">
        <v>504</v>
      </c>
      <c r="G232" t="s">
        <v>409</v>
      </c>
      <c r="H232">
        <v>83</v>
      </c>
      <c r="I232">
        <v>541</v>
      </c>
      <c r="J232">
        <v>1072</v>
      </c>
      <c r="K232">
        <v>44903</v>
      </c>
      <c r="L232">
        <v>88976</v>
      </c>
      <c r="M232">
        <v>44073</v>
      </c>
      <c r="N232" t="s">
        <v>410</v>
      </c>
    </row>
    <row r="233" spans="1:14" x14ac:dyDescent="0.3">
      <c r="A233" s="16">
        <v>45479</v>
      </c>
      <c r="B233" t="s">
        <v>482</v>
      </c>
      <c r="C233" t="s">
        <v>640</v>
      </c>
      <c r="D233" t="s">
        <v>406</v>
      </c>
      <c r="E233" t="s">
        <v>407</v>
      </c>
      <c r="F233" t="s">
        <v>532</v>
      </c>
      <c r="G233" t="s">
        <v>428</v>
      </c>
      <c r="H233">
        <v>20</v>
      </c>
      <c r="I233">
        <v>833</v>
      </c>
      <c r="J233">
        <v>877</v>
      </c>
      <c r="K233">
        <v>16660</v>
      </c>
      <c r="L233">
        <v>17540</v>
      </c>
      <c r="M233">
        <v>880</v>
      </c>
      <c r="N233" t="s">
        <v>410</v>
      </c>
    </row>
    <row r="234" spans="1:14" x14ac:dyDescent="0.3">
      <c r="A234" s="16">
        <v>45597</v>
      </c>
      <c r="B234" t="s">
        <v>411</v>
      </c>
      <c r="C234" t="s">
        <v>641</v>
      </c>
      <c r="D234" t="s">
        <v>413</v>
      </c>
      <c r="E234" t="s">
        <v>430</v>
      </c>
      <c r="F234" t="s">
        <v>439</v>
      </c>
      <c r="G234" t="s">
        <v>428</v>
      </c>
      <c r="H234">
        <v>30</v>
      </c>
      <c r="I234">
        <v>910</v>
      </c>
      <c r="J234">
        <v>1290</v>
      </c>
      <c r="K234">
        <v>27300</v>
      </c>
      <c r="L234">
        <v>38700</v>
      </c>
      <c r="M234">
        <v>11400</v>
      </c>
      <c r="N234" t="s">
        <v>410</v>
      </c>
    </row>
    <row r="235" spans="1:14" x14ac:dyDescent="0.3">
      <c r="A235" s="16">
        <v>45538</v>
      </c>
      <c r="B235" t="s">
        <v>431</v>
      </c>
      <c r="C235" t="s">
        <v>642</v>
      </c>
      <c r="D235" t="s">
        <v>418</v>
      </c>
      <c r="E235" t="s">
        <v>419</v>
      </c>
      <c r="F235" t="s">
        <v>424</v>
      </c>
      <c r="G235" t="s">
        <v>428</v>
      </c>
      <c r="H235">
        <v>52</v>
      </c>
      <c r="I235">
        <v>718</v>
      </c>
      <c r="J235">
        <v>919</v>
      </c>
      <c r="K235">
        <v>37336</v>
      </c>
      <c r="L235">
        <v>47788</v>
      </c>
      <c r="M235">
        <v>10452</v>
      </c>
      <c r="N235" t="s">
        <v>410</v>
      </c>
    </row>
    <row r="236" spans="1:14" x14ac:dyDescent="0.3">
      <c r="A236" s="16">
        <v>45502</v>
      </c>
      <c r="B236" t="s">
        <v>482</v>
      </c>
      <c r="C236" t="s">
        <v>643</v>
      </c>
      <c r="D236" t="s">
        <v>418</v>
      </c>
      <c r="E236" t="s">
        <v>453</v>
      </c>
      <c r="F236" t="s">
        <v>478</v>
      </c>
      <c r="G236" t="s">
        <v>409</v>
      </c>
      <c r="H236">
        <v>58</v>
      </c>
      <c r="I236">
        <v>799</v>
      </c>
      <c r="J236">
        <v>1273</v>
      </c>
      <c r="K236">
        <v>46342</v>
      </c>
      <c r="L236">
        <v>73834</v>
      </c>
      <c r="M236">
        <v>27492</v>
      </c>
      <c r="N236" t="s">
        <v>410</v>
      </c>
    </row>
    <row r="237" spans="1:14" x14ac:dyDescent="0.3">
      <c r="A237" s="16">
        <v>45652</v>
      </c>
      <c r="B237" t="s">
        <v>416</v>
      </c>
      <c r="C237" t="s">
        <v>524</v>
      </c>
      <c r="D237" t="s">
        <v>418</v>
      </c>
      <c r="E237" t="s">
        <v>419</v>
      </c>
      <c r="F237" t="s">
        <v>510</v>
      </c>
      <c r="G237" t="s">
        <v>409</v>
      </c>
      <c r="H237">
        <v>63</v>
      </c>
      <c r="I237">
        <v>746</v>
      </c>
      <c r="J237">
        <v>1075</v>
      </c>
      <c r="K237">
        <v>46998</v>
      </c>
      <c r="L237">
        <v>67725</v>
      </c>
      <c r="M237">
        <v>20727</v>
      </c>
      <c r="N237" t="s">
        <v>410</v>
      </c>
    </row>
    <row r="238" spans="1:14" x14ac:dyDescent="0.3">
      <c r="A238" s="16">
        <v>45560</v>
      </c>
      <c r="B238" t="s">
        <v>431</v>
      </c>
      <c r="C238" t="s">
        <v>644</v>
      </c>
      <c r="D238" t="s">
        <v>418</v>
      </c>
      <c r="E238" t="s">
        <v>419</v>
      </c>
      <c r="F238" t="s">
        <v>415</v>
      </c>
      <c r="G238" t="s">
        <v>428</v>
      </c>
      <c r="H238">
        <v>94</v>
      </c>
      <c r="I238">
        <v>874</v>
      </c>
      <c r="J238">
        <v>895</v>
      </c>
      <c r="K238">
        <v>82156</v>
      </c>
      <c r="L238">
        <v>84130</v>
      </c>
      <c r="M238">
        <v>1974</v>
      </c>
      <c r="N238" t="s">
        <v>410</v>
      </c>
    </row>
    <row r="239" spans="1:14" x14ac:dyDescent="0.3">
      <c r="A239" s="16">
        <v>45402</v>
      </c>
      <c r="B239" t="s">
        <v>449</v>
      </c>
      <c r="C239" t="s">
        <v>589</v>
      </c>
      <c r="D239" t="s">
        <v>418</v>
      </c>
      <c r="E239" t="s">
        <v>448</v>
      </c>
      <c r="F239" t="s">
        <v>408</v>
      </c>
      <c r="G239" t="s">
        <v>428</v>
      </c>
      <c r="H239">
        <v>76</v>
      </c>
      <c r="I239">
        <v>943</v>
      </c>
      <c r="J239">
        <v>1394</v>
      </c>
      <c r="K239">
        <v>71668</v>
      </c>
      <c r="L239">
        <v>105944</v>
      </c>
      <c r="M239">
        <v>34276</v>
      </c>
      <c r="N239" t="s">
        <v>410</v>
      </c>
    </row>
    <row r="240" spans="1:14" x14ac:dyDescent="0.3">
      <c r="A240" s="16">
        <v>45388</v>
      </c>
      <c r="B240" t="s">
        <v>449</v>
      </c>
      <c r="C240" t="s">
        <v>574</v>
      </c>
      <c r="D240" t="s">
        <v>418</v>
      </c>
      <c r="E240" t="s">
        <v>441</v>
      </c>
      <c r="F240" t="s">
        <v>436</v>
      </c>
      <c r="G240" t="s">
        <v>428</v>
      </c>
      <c r="H240">
        <v>83</v>
      </c>
      <c r="I240">
        <v>594</v>
      </c>
      <c r="J240">
        <v>852</v>
      </c>
      <c r="K240">
        <v>49302</v>
      </c>
      <c r="L240">
        <v>70716</v>
      </c>
      <c r="M240">
        <v>21414</v>
      </c>
      <c r="N240" t="s">
        <v>410</v>
      </c>
    </row>
    <row r="241" spans="1:14" x14ac:dyDescent="0.3">
      <c r="A241" s="16">
        <v>45427</v>
      </c>
      <c r="B241" t="s">
        <v>437</v>
      </c>
      <c r="C241" t="s">
        <v>645</v>
      </c>
      <c r="D241" t="s">
        <v>413</v>
      </c>
      <c r="E241" t="s">
        <v>444</v>
      </c>
      <c r="F241" t="s">
        <v>478</v>
      </c>
      <c r="G241" t="s">
        <v>409</v>
      </c>
      <c r="H241">
        <v>23</v>
      </c>
      <c r="I241">
        <v>972</v>
      </c>
      <c r="J241">
        <v>782</v>
      </c>
      <c r="K241">
        <v>22356</v>
      </c>
      <c r="L241">
        <v>17986</v>
      </c>
      <c r="M241">
        <v>-4370</v>
      </c>
      <c r="N241" t="s">
        <v>421</v>
      </c>
    </row>
    <row r="242" spans="1:14" x14ac:dyDescent="0.3">
      <c r="A242" s="16">
        <v>45526</v>
      </c>
      <c r="B242" t="s">
        <v>434</v>
      </c>
      <c r="C242" t="s">
        <v>609</v>
      </c>
      <c r="D242" t="s">
        <v>413</v>
      </c>
      <c r="E242" t="s">
        <v>444</v>
      </c>
      <c r="F242" t="s">
        <v>426</v>
      </c>
      <c r="G242" t="s">
        <v>409</v>
      </c>
      <c r="H242">
        <v>20</v>
      </c>
      <c r="I242">
        <v>997</v>
      </c>
      <c r="J242">
        <v>784</v>
      </c>
      <c r="K242">
        <v>19940</v>
      </c>
      <c r="L242">
        <v>15680</v>
      </c>
      <c r="M242">
        <v>-4260</v>
      </c>
      <c r="N242" t="s">
        <v>421</v>
      </c>
    </row>
    <row r="243" spans="1:14" x14ac:dyDescent="0.3">
      <c r="A243" s="16">
        <v>45401</v>
      </c>
      <c r="B243" t="s">
        <v>449</v>
      </c>
      <c r="C243" t="s">
        <v>598</v>
      </c>
      <c r="D243" t="s">
        <v>418</v>
      </c>
      <c r="E243" t="s">
        <v>448</v>
      </c>
      <c r="F243" t="s">
        <v>445</v>
      </c>
      <c r="G243" t="s">
        <v>409</v>
      </c>
      <c r="H243">
        <v>57</v>
      </c>
      <c r="I243">
        <v>548</v>
      </c>
      <c r="J243">
        <v>1306</v>
      </c>
      <c r="K243">
        <v>31236</v>
      </c>
      <c r="L243">
        <v>74442</v>
      </c>
      <c r="M243">
        <v>43206</v>
      </c>
      <c r="N243" t="s">
        <v>410</v>
      </c>
    </row>
    <row r="244" spans="1:14" x14ac:dyDescent="0.3">
      <c r="A244" s="16">
        <v>45570</v>
      </c>
      <c r="B244" t="s">
        <v>422</v>
      </c>
      <c r="C244" t="s">
        <v>646</v>
      </c>
      <c r="D244" t="s">
        <v>418</v>
      </c>
      <c r="E244" t="s">
        <v>453</v>
      </c>
      <c r="F244" t="s">
        <v>420</v>
      </c>
      <c r="G244" t="s">
        <v>409</v>
      </c>
      <c r="H244">
        <v>62</v>
      </c>
      <c r="I244">
        <v>641</v>
      </c>
      <c r="J244">
        <v>869</v>
      </c>
      <c r="K244">
        <v>39742</v>
      </c>
      <c r="L244">
        <v>53878</v>
      </c>
      <c r="M244">
        <v>14136</v>
      </c>
      <c r="N244" t="s">
        <v>410</v>
      </c>
    </row>
    <row r="245" spans="1:14" x14ac:dyDescent="0.3">
      <c r="A245" s="16">
        <v>45709</v>
      </c>
      <c r="B245" t="s">
        <v>459</v>
      </c>
      <c r="C245" t="s">
        <v>647</v>
      </c>
      <c r="D245" t="s">
        <v>418</v>
      </c>
      <c r="E245" t="s">
        <v>453</v>
      </c>
      <c r="F245" t="s">
        <v>566</v>
      </c>
      <c r="G245" t="s">
        <v>428</v>
      </c>
      <c r="H245">
        <v>100</v>
      </c>
      <c r="I245">
        <v>831</v>
      </c>
      <c r="J245">
        <v>1466</v>
      </c>
      <c r="K245">
        <v>83100</v>
      </c>
      <c r="L245">
        <v>146600</v>
      </c>
      <c r="M245">
        <v>63500</v>
      </c>
      <c r="N245" t="s">
        <v>410</v>
      </c>
    </row>
    <row r="246" spans="1:14" x14ac:dyDescent="0.3">
      <c r="A246" s="16">
        <v>45571</v>
      </c>
      <c r="B246" t="s">
        <v>422</v>
      </c>
      <c r="C246" t="s">
        <v>593</v>
      </c>
      <c r="D246" t="s">
        <v>418</v>
      </c>
      <c r="E246" t="s">
        <v>453</v>
      </c>
      <c r="F246" t="s">
        <v>451</v>
      </c>
      <c r="G246" t="s">
        <v>409</v>
      </c>
      <c r="H246">
        <v>52</v>
      </c>
      <c r="I246">
        <v>546</v>
      </c>
      <c r="J246">
        <v>1482</v>
      </c>
      <c r="K246">
        <v>28392</v>
      </c>
      <c r="L246">
        <v>77064</v>
      </c>
      <c r="M246">
        <v>48672</v>
      </c>
      <c r="N246" t="s">
        <v>410</v>
      </c>
    </row>
    <row r="247" spans="1:14" x14ac:dyDescent="0.3">
      <c r="A247" s="16">
        <v>45440</v>
      </c>
      <c r="B247" t="s">
        <v>437</v>
      </c>
      <c r="C247" t="s">
        <v>648</v>
      </c>
      <c r="D247" t="s">
        <v>418</v>
      </c>
      <c r="E247" t="s">
        <v>453</v>
      </c>
      <c r="F247" t="s">
        <v>415</v>
      </c>
      <c r="G247" t="s">
        <v>428</v>
      </c>
      <c r="H247">
        <v>88</v>
      </c>
      <c r="I247">
        <v>625</v>
      </c>
      <c r="J247">
        <v>1324</v>
      </c>
      <c r="K247">
        <v>55000</v>
      </c>
      <c r="L247">
        <v>116512</v>
      </c>
      <c r="M247">
        <v>61512</v>
      </c>
      <c r="N247" t="s">
        <v>410</v>
      </c>
    </row>
    <row r="248" spans="1:14" x14ac:dyDescent="0.3">
      <c r="A248" s="16">
        <v>45584</v>
      </c>
      <c r="B248" t="s">
        <v>422</v>
      </c>
      <c r="C248" t="s">
        <v>649</v>
      </c>
      <c r="D248" t="s">
        <v>406</v>
      </c>
      <c r="E248" t="s">
        <v>407</v>
      </c>
      <c r="F248" t="s">
        <v>408</v>
      </c>
      <c r="G248" t="s">
        <v>409</v>
      </c>
      <c r="H248">
        <v>18</v>
      </c>
      <c r="I248">
        <v>596</v>
      </c>
      <c r="J248">
        <v>817</v>
      </c>
      <c r="K248">
        <v>10728</v>
      </c>
      <c r="L248">
        <v>14706</v>
      </c>
      <c r="M248">
        <v>3978</v>
      </c>
      <c r="N248" t="s">
        <v>410</v>
      </c>
    </row>
    <row r="249" spans="1:14" x14ac:dyDescent="0.3">
      <c r="A249" s="16">
        <v>45466</v>
      </c>
      <c r="B249" t="s">
        <v>404</v>
      </c>
      <c r="C249" t="s">
        <v>591</v>
      </c>
      <c r="D249" t="s">
        <v>418</v>
      </c>
      <c r="E249" t="s">
        <v>419</v>
      </c>
      <c r="F249" t="s">
        <v>426</v>
      </c>
      <c r="G249" t="s">
        <v>409</v>
      </c>
      <c r="H249">
        <v>59</v>
      </c>
      <c r="I249">
        <v>506</v>
      </c>
      <c r="J249">
        <v>1498</v>
      </c>
      <c r="K249">
        <v>29854</v>
      </c>
      <c r="L249">
        <v>88382</v>
      </c>
      <c r="M249">
        <v>58528</v>
      </c>
      <c r="N249" t="s">
        <v>410</v>
      </c>
    </row>
    <row r="250" spans="1:14" x14ac:dyDescent="0.3">
      <c r="A250" s="16">
        <v>45575</v>
      </c>
      <c r="B250" t="s">
        <v>422</v>
      </c>
      <c r="C250" t="s">
        <v>564</v>
      </c>
      <c r="D250" t="s">
        <v>418</v>
      </c>
      <c r="E250" t="s">
        <v>419</v>
      </c>
      <c r="F250" t="s">
        <v>439</v>
      </c>
      <c r="G250" t="s">
        <v>409</v>
      </c>
      <c r="H250">
        <v>81</v>
      </c>
      <c r="I250">
        <v>709</v>
      </c>
      <c r="J250">
        <v>1180</v>
      </c>
      <c r="K250">
        <v>57429</v>
      </c>
      <c r="L250">
        <v>95580</v>
      </c>
      <c r="M250">
        <v>38151</v>
      </c>
      <c r="N250" t="s">
        <v>410</v>
      </c>
    </row>
    <row r="251" spans="1:14" x14ac:dyDescent="0.3">
      <c r="A251" s="16">
        <v>45442</v>
      </c>
      <c r="B251" t="s">
        <v>437</v>
      </c>
      <c r="C251" t="s">
        <v>501</v>
      </c>
      <c r="D251" t="s">
        <v>418</v>
      </c>
      <c r="E251" t="s">
        <v>453</v>
      </c>
      <c r="F251" t="s">
        <v>408</v>
      </c>
      <c r="G251" t="s">
        <v>428</v>
      </c>
      <c r="H251">
        <v>51</v>
      </c>
      <c r="I251">
        <v>876</v>
      </c>
      <c r="J251">
        <v>1252</v>
      </c>
      <c r="K251">
        <v>44676</v>
      </c>
      <c r="L251">
        <v>63852</v>
      </c>
      <c r="M251">
        <v>19176</v>
      </c>
      <c r="N251" t="s">
        <v>410</v>
      </c>
    </row>
    <row r="252" spans="1:14" x14ac:dyDescent="0.3">
      <c r="A252" s="16">
        <v>45578</v>
      </c>
      <c r="B252" t="s">
        <v>422</v>
      </c>
      <c r="C252" t="s">
        <v>650</v>
      </c>
      <c r="D252" t="s">
        <v>418</v>
      </c>
      <c r="E252" t="s">
        <v>419</v>
      </c>
      <c r="F252" t="s">
        <v>424</v>
      </c>
      <c r="G252" t="s">
        <v>428</v>
      </c>
      <c r="H252">
        <v>67</v>
      </c>
      <c r="I252">
        <v>711</v>
      </c>
      <c r="J252">
        <v>1280</v>
      </c>
      <c r="K252">
        <v>47637</v>
      </c>
      <c r="L252">
        <v>85760</v>
      </c>
      <c r="M252">
        <v>38123</v>
      </c>
      <c r="N252" t="s">
        <v>410</v>
      </c>
    </row>
    <row r="253" spans="1:14" x14ac:dyDescent="0.3">
      <c r="A253" s="16">
        <v>45625</v>
      </c>
      <c r="B253" t="s">
        <v>411</v>
      </c>
      <c r="C253" t="s">
        <v>651</v>
      </c>
      <c r="D253" t="s">
        <v>413</v>
      </c>
      <c r="E253" t="s">
        <v>444</v>
      </c>
      <c r="F253" t="s">
        <v>433</v>
      </c>
      <c r="G253" t="s">
        <v>409</v>
      </c>
      <c r="H253">
        <v>29</v>
      </c>
      <c r="I253">
        <v>621</v>
      </c>
      <c r="J253">
        <v>1485</v>
      </c>
      <c r="K253">
        <v>18009</v>
      </c>
      <c r="L253">
        <v>43065</v>
      </c>
      <c r="M253">
        <v>25056</v>
      </c>
      <c r="N253" t="s">
        <v>410</v>
      </c>
    </row>
    <row r="254" spans="1:14" x14ac:dyDescent="0.3">
      <c r="A254" s="16">
        <v>45694</v>
      </c>
      <c r="B254" t="s">
        <v>459</v>
      </c>
      <c r="C254" t="s">
        <v>595</v>
      </c>
      <c r="D254" t="s">
        <v>413</v>
      </c>
      <c r="E254" t="s">
        <v>444</v>
      </c>
      <c r="F254" t="s">
        <v>504</v>
      </c>
      <c r="G254" t="s">
        <v>428</v>
      </c>
      <c r="H254">
        <v>24</v>
      </c>
      <c r="I254">
        <v>642</v>
      </c>
      <c r="J254">
        <v>996</v>
      </c>
      <c r="K254">
        <v>15408</v>
      </c>
      <c r="L254">
        <v>23904</v>
      </c>
      <c r="M254">
        <v>8496</v>
      </c>
      <c r="N254" t="s">
        <v>410</v>
      </c>
    </row>
    <row r="255" spans="1:14" x14ac:dyDescent="0.3">
      <c r="A255" s="16">
        <v>45451</v>
      </c>
      <c r="B255" t="s">
        <v>404</v>
      </c>
      <c r="C255" t="s">
        <v>652</v>
      </c>
      <c r="D255" t="s">
        <v>418</v>
      </c>
      <c r="E255" t="s">
        <v>419</v>
      </c>
      <c r="F255" t="s">
        <v>451</v>
      </c>
      <c r="G255" t="s">
        <v>409</v>
      </c>
      <c r="H255">
        <v>76</v>
      </c>
      <c r="I255">
        <v>901</v>
      </c>
      <c r="J255">
        <v>1471</v>
      </c>
      <c r="K255">
        <v>68476</v>
      </c>
      <c r="L255">
        <v>111796</v>
      </c>
      <c r="M255">
        <v>43320</v>
      </c>
      <c r="N255" t="s">
        <v>410</v>
      </c>
    </row>
    <row r="256" spans="1:14" x14ac:dyDescent="0.3">
      <c r="A256" s="16">
        <v>45541</v>
      </c>
      <c r="B256" t="s">
        <v>431</v>
      </c>
      <c r="C256" t="s">
        <v>653</v>
      </c>
      <c r="D256" t="s">
        <v>418</v>
      </c>
      <c r="E256" t="s">
        <v>419</v>
      </c>
      <c r="F256" t="s">
        <v>424</v>
      </c>
      <c r="G256" t="s">
        <v>409</v>
      </c>
      <c r="H256">
        <v>93</v>
      </c>
      <c r="I256">
        <v>579</v>
      </c>
      <c r="J256">
        <v>1402</v>
      </c>
      <c r="K256">
        <v>53847</v>
      </c>
      <c r="L256">
        <v>130386</v>
      </c>
      <c r="M256">
        <v>76539</v>
      </c>
      <c r="N256" t="s">
        <v>410</v>
      </c>
    </row>
    <row r="257" spans="1:14" x14ac:dyDescent="0.3">
      <c r="A257" s="16">
        <v>45555</v>
      </c>
      <c r="B257" t="s">
        <v>431</v>
      </c>
      <c r="C257" t="s">
        <v>592</v>
      </c>
      <c r="D257" t="s">
        <v>418</v>
      </c>
      <c r="E257" t="s">
        <v>419</v>
      </c>
      <c r="F257" t="s">
        <v>451</v>
      </c>
      <c r="G257" t="s">
        <v>428</v>
      </c>
      <c r="H257">
        <v>63</v>
      </c>
      <c r="I257">
        <v>720</v>
      </c>
      <c r="J257">
        <v>1458</v>
      </c>
      <c r="K257">
        <v>45360</v>
      </c>
      <c r="L257">
        <v>91854</v>
      </c>
      <c r="M257">
        <v>46494</v>
      </c>
      <c r="N257" t="s">
        <v>410</v>
      </c>
    </row>
    <row r="258" spans="1:14" x14ac:dyDescent="0.3">
      <c r="A258" s="16">
        <v>45406</v>
      </c>
      <c r="B258" t="s">
        <v>449</v>
      </c>
      <c r="C258" t="s">
        <v>654</v>
      </c>
      <c r="D258" t="s">
        <v>413</v>
      </c>
      <c r="E258" t="s">
        <v>414</v>
      </c>
      <c r="F258" t="s">
        <v>426</v>
      </c>
      <c r="G258" t="s">
        <v>428</v>
      </c>
      <c r="H258">
        <v>20</v>
      </c>
      <c r="I258">
        <v>606</v>
      </c>
      <c r="J258">
        <v>806</v>
      </c>
      <c r="K258">
        <v>12120</v>
      </c>
      <c r="L258">
        <v>16120</v>
      </c>
      <c r="M258">
        <v>4000</v>
      </c>
      <c r="N258" t="s">
        <v>410</v>
      </c>
    </row>
    <row r="259" spans="1:14" x14ac:dyDescent="0.3">
      <c r="A259" s="16">
        <v>45409</v>
      </c>
      <c r="B259" t="s">
        <v>449</v>
      </c>
      <c r="C259" t="s">
        <v>655</v>
      </c>
      <c r="D259" t="s">
        <v>413</v>
      </c>
      <c r="E259" t="s">
        <v>414</v>
      </c>
      <c r="F259" t="s">
        <v>465</v>
      </c>
      <c r="G259" t="s">
        <v>409</v>
      </c>
      <c r="H259">
        <v>24</v>
      </c>
      <c r="I259">
        <v>877</v>
      </c>
      <c r="J259">
        <v>762</v>
      </c>
      <c r="K259">
        <v>21048</v>
      </c>
      <c r="L259">
        <v>18288</v>
      </c>
      <c r="M259">
        <v>-2760</v>
      </c>
      <c r="N259" t="s">
        <v>421</v>
      </c>
    </row>
    <row r="260" spans="1:14" x14ac:dyDescent="0.3">
      <c r="A260" s="16">
        <v>45617</v>
      </c>
      <c r="B260" t="s">
        <v>411</v>
      </c>
      <c r="C260" t="s">
        <v>656</v>
      </c>
      <c r="D260" t="s">
        <v>413</v>
      </c>
      <c r="E260" t="s">
        <v>414</v>
      </c>
      <c r="F260" t="s">
        <v>451</v>
      </c>
      <c r="G260" t="s">
        <v>428</v>
      </c>
      <c r="H260">
        <v>20</v>
      </c>
      <c r="I260">
        <v>737</v>
      </c>
      <c r="J260">
        <v>932</v>
      </c>
      <c r="K260">
        <v>14740</v>
      </c>
      <c r="L260">
        <v>18640</v>
      </c>
      <c r="M260">
        <v>3900</v>
      </c>
      <c r="N260" t="s">
        <v>410</v>
      </c>
    </row>
    <row r="261" spans="1:14" x14ac:dyDescent="0.3">
      <c r="A261" s="16">
        <v>45453</v>
      </c>
      <c r="B261" t="s">
        <v>404</v>
      </c>
      <c r="C261" t="s">
        <v>657</v>
      </c>
      <c r="D261" t="s">
        <v>418</v>
      </c>
      <c r="E261" t="s">
        <v>419</v>
      </c>
      <c r="F261" t="s">
        <v>442</v>
      </c>
      <c r="G261" t="s">
        <v>409</v>
      </c>
      <c r="H261">
        <v>72</v>
      </c>
      <c r="I261">
        <v>804</v>
      </c>
      <c r="J261">
        <v>833</v>
      </c>
      <c r="K261">
        <v>57888</v>
      </c>
      <c r="L261">
        <v>59976</v>
      </c>
      <c r="M261">
        <v>2088</v>
      </c>
      <c r="N261" t="s">
        <v>410</v>
      </c>
    </row>
    <row r="262" spans="1:14" x14ac:dyDescent="0.3">
      <c r="A262" s="16">
        <v>45641</v>
      </c>
      <c r="B262" t="s">
        <v>416</v>
      </c>
      <c r="C262" t="s">
        <v>658</v>
      </c>
      <c r="D262" t="s">
        <v>418</v>
      </c>
      <c r="E262" t="s">
        <v>453</v>
      </c>
      <c r="F262" t="s">
        <v>433</v>
      </c>
      <c r="G262" t="s">
        <v>409</v>
      </c>
      <c r="H262">
        <v>68</v>
      </c>
      <c r="I262">
        <v>815</v>
      </c>
      <c r="J262">
        <v>808</v>
      </c>
      <c r="K262">
        <v>55420</v>
      </c>
      <c r="L262">
        <v>54944</v>
      </c>
      <c r="M262">
        <v>-476</v>
      </c>
      <c r="N262" t="s">
        <v>421</v>
      </c>
    </row>
    <row r="263" spans="1:14" x14ac:dyDescent="0.3">
      <c r="A263" s="16">
        <v>45477</v>
      </c>
      <c r="B263" t="s">
        <v>482</v>
      </c>
      <c r="C263" t="s">
        <v>558</v>
      </c>
      <c r="D263" t="s">
        <v>406</v>
      </c>
      <c r="E263" t="s">
        <v>407</v>
      </c>
      <c r="F263" t="s">
        <v>451</v>
      </c>
      <c r="G263" t="s">
        <v>409</v>
      </c>
      <c r="H263">
        <v>14</v>
      </c>
      <c r="I263">
        <v>965</v>
      </c>
      <c r="J263">
        <v>1212</v>
      </c>
      <c r="K263">
        <v>13510</v>
      </c>
      <c r="L263">
        <v>16968</v>
      </c>
      <c r="M263">
        <v>3458</v>
      </c>
      <c r="N263" t="s">
        <v>410</v>
      </c>
    </row>
    <row r="264" spans="1:14" x14ac:dyDescent="0.3">
      <c r="A264" s="16">
        <v>45707</v>
      </c>
      <c r="B264" t="s">
        <v>459</v>
      </c>
      <c r="C264" t="s">
        <v>659</v>
      </c>
      <c r="D264" t="s">
        <v>418</v>
      </c>
      <c r="E264" t="s">
        <v>453</v>
      </c>
      <c r="F264" t="s">
        <v>420</v>
      </c>
      <c r="G264" t="s">
        <v>428</v>
      </c>
      <c r="H264">
        <v>95</v>
      </c>
      <c r="I264">
        <v>642</v>
      </c>
      <c r="J264">
        <v>796</v>
      </c>
      <c r="K264">
        <v>60990</v>
      </c>
      <c r="L264">
        <v>75620</v>
      </c>
      <c r="M264">
        <v>14630</v>
      </c>
      <c r="N264" t="s">
        <v>410</v>
      </c>
    </row>
    <row r="265" spans="1:14" x14ac:dyDescent="0.3">
      <c r="A265" s="16">
        <v>45385</v>
      </c>
      <c r="B265" t="s">
        <v>449</v>
      </c>
      <c r="C265" t="s">
        <v>614</v>
      </c>
      <c r="D265" t="s">
        <v>413</v>
      </c>
      <c r="E265" t="s">
        <v>494</v>
      </c>
      <c r="F265" t="s">
        <v>424</v>
      </c>
      <c r="G265" t="s">
        <v>428</v>
      </c>
      <c r="H265">
        <v>25</v>
      </c>
      <c r="I265">
        <v>980</v>
      </c>
      <c r="J265">
        <v>926</v>
      </c>
      <c r="K265">
        <v>24500</v>
      </c>
      <c r="L265">
        <v>23150</v>
      </c>
      <c r="M265">
        <v>-1350</v>
      </c>
      <c r="N265" t="s">
        <v>421</v>
      </c>
    </row>
    <row r="266" spans="1:14" x14ac:dyDescent="0.3">
      <c r="A266" s="16">
        <v>45641</v>
      </c>
      <c r="B266" t="s">
        <v>416</v>
      </c>
      <c r="C266" t="s">
        <v>658</v>
      </c>
      <c r="D266" t="s">
        <v>418</v>
      </c>
      <c r="E266" t="s">
        <v>453</v>
      </c>
      <c r="F266" t="s">
        <v>433</v>
      </c>
      <c r="G266" t="s">
        <v>409</v>
      </c>
      <c r="H266">
        <v>84</v>
      </c>
      <c r="I266">
        <v>516</v>
      </c>
      <c r="J266">
        <v>820</v>
      </c>
      <c r="K266">
        <v>43344</v>
      </c>
      <c r="L266">
        <v>68880</v>
      </c>
      <c r="M266">
        <v>25536</v>
      </c>
      <c r="N266" t="s">
        <v>410</v>
      </c>
    </row>
    <row r="267" spans="1:14" x14ac:dyDescent="0.3">
      <c r="A267" s="16">
        <v>45447</v>
      </c>
      <c r="B267" t="s">
        <v>404</v>
      </c>
      <c r="C267" t="s">
        <v>660</v>
      </c>
      <c r="D267" t="s">
        <v>418</v>
      </c>
      <c r="E267" t="s">
        <v>419</v>
      </c>
      <c r="F267" t="s">
        <v>454</v>
      </c>
      <c r="G267" t="s">
        <v>428</v>
      </c>
      <c r="H267">
        <v>93</v>
      </c>
      <c r="I267">
        <v>662</v>
      </c>
      <c r="J267">
        <v>1319</v>
      </c>
      <c r="K267">
        <v>61566</v>
      </c>
      <c r="L267">
        <v>122667</v>
      </c>
      <c r="M267">
        <v>61101</v>
      </c>
      <c r="N267" t="s">
        <v>410</v>
      </c>
    </row>
    <row r="268" spans="1:14" x14ac:dyDescent="0.3">
      <c r="A268" s="16">
        <v>45506</v>
      </c>
      <c r="B268" t="s">
        <v>434</v>
      </c>
      <c r="C268" t="s">
        <v>468</v>
      </c>
      <c r="D268" t="s">
        <v>418</v>
      </c>
      <c r="E268" t="s">
        <v>453</v>
      </c>
      <c r="F268" t="s">
        <v>426</v>
      </c>
      <c r="G268" t="s">
        <v>428</v>
      </c>
      <c r="H268">
        <v>84</v>
      </c>
      <c r="I268">
        <v>806</v>
      </c>
      <c r="J268">
        <v>1242</v>
      </c>
      <c r="K268">
        <v>67704</v>
      </c>
      <c r="L268">
        <v>104328</v>
      </c>
      <c r="M268">
        <v>36624</v>
      </c>
      <c r="N268" t="s">
        <v>410</v>
      </c>
    </row>
    <row r="269" spans="1:14" x14ac:dyDescent="0.3">
      <c r="A269" s="16">
        <v>45655</v>
      </c>
      <c r="B269" t="s">
        <v>416</v>
      </c>
      <c r="C269" t="s">
        <v>661</v>
      </c>
      <c r="D269" t="s">
        <v>418</v>
      </c>
      <c r="E269" t="s">
        <v>419</v>
      </c>
      <c r="F269" t="s">
        <v>424</v>
      </c>
      <c r="G269" t="s">
        <v>428</v>
      </c>
      <c r="H269">
        <v>51</v>
      </c>
      <c r="I269">
        <v>944</v>
      </c>
      <c r="J269">
        <v>1062</v>
      </c>
      <c r="K269">
        <v>48144</v>
      </c>
      <c r="L269">
        <v>54162</v>
      </c>
      <c r="M269">
        <v>6018</v>
      </c>
      <c r="N269" t="s">
        <v>410</v>
      </c>
    </row>
    <row r="270" spans="1:14" x14ac:dyDescent="0.3">
      <c r="A270" s="16">
        <v>45614</v>
      </c>
      <c r="B270" t="s">
        <v>411</v>
      </c>
      <c r="C270" t="s">
        <v>662</v>
      </c>
      <c r="D270" t="s">
        <v>413</v>
      </c>
      <c r="E270" t="s">
        <v>414</v>
      </c>
      <c r="F270" t="s">
        <v>408</v>
      </c>
      <c r="G270" t="s">
        <v>409</v>
      </c>
      <c r="H270">
        <v>26</v>
      </c>
      <c r="I270">
        <v>878</v>
      </c>
      <c r="J270">
        <v>1492</v>
      </c>
      <c r="K270">
        <v>22828</v>
      </c>
      <c r="L270">
        <v>38792</v>
      </c>
      <c r="M270">
        <v>15964</v>
      </c>
      <c r="N270" t="s">
        <v>410</v>
      </c>
    </row>
    <row r="271" spans="1:14" x14ac:dyDescent="0.3">
      <c r="A271" s="16">
        <v>45407</v>
      </c>
      <c r="B271" t="s">
        <v>449</v>
      </c>
      <c r="C271" t="s">
        <v>508</v>
      </c>
      <c r="D271" t="s">
        <v>413</v>
      </c>
      <c r="E271" t="s">
        <v>414</v>
      </c>
      <c r="F271" t="s">
        <v>454</v>
      </c>
      <c r="G271" t="s">
        <v>409</v>
      </c>
      <c r="H271">
        <v>26</v>
      </c>
      <c r="I271">
        <v>520</v>
      </c>
      <c r="J271">
        <v>1486</v>
      </c>
      <c r="K271">
        <v>13520</v>
      </c>
      <c r="L271">
        <v>38636</v>
      </c>
      <c r="M271">
        <v>25116</v>
      </c>
      <c r="N271" t="s">
        <v>410</v>
      </c>
    </row>
    <row r="272" spans="1:14" x14ac:dyDescent="0.3">
      <c r="A272" s="16">
        <v>45680</v>
      </c>
      <c r="B272" t="s">
        <v>462</v>
      </c>
      <c r="C272" t="s">
        <v>569</v>
      </c>
      <c r="D272" t="s">
        <v>406</v>
      </c>
      <c r="E272" t="s">
        <v>407</v>
      </c>
      <c r="F272" t="s">
        <v>504</v>
      </c>
      <c r="G272" t="s">
        <v>409</v>
      </c>
      <c r="H272">
        <v>18</v>
      </c>
      <c r="I272">
        <v>601</v>
      </c>
      <c r="J272">
        <v>1246</v>
      </c>
      <c r="K272">
        <v>10818</v>
      </c>
      <c r="L272">
        <v>22428</v>
      </c>
      <c r="M272">
        <v>11610</v>
      </c>
      <c r="N272" t="s">
        <v>410</v>
      </c>
    </row>
    <row r="273" spans="1:14" x14ac:dyDescent="0.3">
      <c r="A273" s="16">
        <v>45483</v>
      </c>
      <c r="B273" t="s">
        <v>482</v>
      </c>
      <c r="C273" t="s">
        <v>582</v>
      </c>
      <c r="D273" t="s">
        <v>406</v>
      </c>
      <c r="E273" t="s">
        <v>407</v>
      </c>
      <c r="F273" t="s">
        <v>433</v>
      </c>
      <c r="G273" t="s">
        <v>409</v>
      </c>
      <c r="H273">
        <v>17</v>
      </c>
      <c r="I273">
        <v>773</v>
      </c>
      <c r="J273">
        <v>1266</v>
      </c>
      <c r="K273">
        <v>13141</v>
      </c>
      <c r="L273">
        <v>21522</v>
      </c>
      <c r="M273">
        <v>8381</v>
      </c>
      <c r="N273" t="s">
        <v>410</v>
      </c>
    </row>
    <row r="274" spans="1:14" x14ac:dyDescent="0.3">
      <c r="A274" s="16">
        <v>45598</v>
      </c>
      <c r="B274" t="s">
        <v>411</v>
      </c>
      <c r="C274" t="s">
        <v>663</v>
      </c>
      <c r="D274" t="s">
        <v>413</v>
      </c>
      <c r="E274" t="s">
        <v>430</v>
      </c>
      <c r="F274" t="s">
        <v>504</v>
      </c>
      <c r="G274" t="s">
        <v>428</v>
      </c>
      <c r="H274">
        <v>25</v>
      </c>
      <c r="I274">
        <v>532</v>
      </c>
      <c r="J274">
        <v>1358</v>
      </c>
      <c r="K274">
        <v>13300</v>
      </c>
      <c r="L274">
        <v>33950</v>
      </c>
      <c r="M274">
        <v>20650</v>
      </c>
      <c r="N274" t="s">
        <v>410</v>
      </c>
    </row>
    <row r="275" spans="1:14" x14ac:dyDescent="0.3">
      <c r="A275" s="16">
        <v>45476</v>
      </c>
      <c r="B275" t="s">
        <v>482</v>
      </c>
      <c r="C275" t="s">
        <v>664</v>
      </c>
      <c r="D275" t="s">
        <v>406</v>
      </c>
      <c r="E275" t="s">
        <v>407</v>
      </c>
      <c r="F275" t="s">
        <v>532</v>
      </c>
      <c r="G275" t="s">
        <v>409</v>
      </c>
      <c r="H275">
        <v>16</v>
      </c>
      <c r="I275">
        <v>693</v>
      </c>
      <c r="J275">
        <v>1042</v>
      </c>
      <c r="K275">
        <v>11088</v>
      </c>
      <c r="L275">
        <v>16672</v>
      </c>
      <c r="M275">
        <v>5584</v>
      </c>
      <c r="N275" t="s">
        <v>410</v>
      </c>
    </row>
    <row r="276" spans="1:14" x14ac:dyDescent="0.3">
      <c r="A276" s="16">
        <v>45409</v>
      </c>
      <c r="B276" t="s">
        <v>449</v>
      </c>
      <c r="C276" t="s">
        <v>655</v>
      </c>
      <c r="D276" t="s">
        <v>413</v>
      </c>
      <c r="E276" t="s">
        <v>414</v>
      </c>
      <c r="F276" t="s">
        <v>465</v>
      </c>
      <c r="G276" t="s">
        <v>409</v>
      </c>
      <c r="H276">
        <v>26</v>
      </c>
      <c r="I276">
        <v>505</v>
      </c>
      <c r="J276">
        <v>1337</v>
      </c>
      <c r="K276">
        <v>13130</v>
      </c>
      <c r="L276">
        <v>34762</v>
      </c>
      <c r="M276">
        <v>21632</v>
      </c>
      <c r="N276" t="s">
        <v>410</v>
      </c>
    </row>
    <row r="277" spans="1:14" x14ac:dyDescent="0.3">
      <c r="A277" s="16">
        <v>45610</v>
      </c>
      <c r="B277" t="s">
        <v>411</v>
      </c>
      <c r="C277" t="s">
        <v>665</v>
      </c>
      <c r="D277" t="s">
        <v>413</v>
      </c>
      <c r="E277" t="s">
        <v>414</v>
      </c>
      <c r="F277" t="s">
        <v>436</v>
      </c>
      <c r="G277" t="s">
        <v>428</v>
      </c>
      <c r="H277">
        <v>23</v>
      </c>
      <c r="I277">
        <v>663</v>
      </c>
      <c r="J277">
        <v>1215</v>
      </c>
      <c r="K277">
        <v>15249</v>
      </c>
      <c r="L277">
        <v>27945</v>
      </c>
      <c r="M277">
        <v>12696</v>
      </c>
      <c r="N277" t="s">
        <v>410</v>
      </c>
    </row>
    <row r="278" spans="1:14" x14ac:dyDescent="0.3">
      <c r="A278" s="16">
        <v>45681</v>
      </c>
      <c r="B278" t="s">
        <v>462</v>
      </c>
      <c r="C278" t="s">
        <v>666</v>
      </c>
      <c r="D278" t="s">
        <v>406</v>
      </c>
      <c r="E278" t="s">
        <v>407</v>
      </c>
      <c r="F278" t="s">
        <v>424</v>
      </c>
      <c r="G278" t="s">
        <v>409</v>
      </c>
      <c r="H278">
        <v>17</v>
      </c>
      <c r="I278">
        <v>649</v>
      </c>
      <c r="J278">
        <v>1392</v>
      </c>
      <c r="K278">
        <v>11033</v>
      </c>
      <c r="L278">
        <v>23664</v>
      </c>
      <c r="M278">
        <v>12631</v>
      </c>
      <c r="N278" t="s">
        <v>410</v>
      </c>
    </row>
    <row r="279" spans="1:14" x14ac:dyDescent="0.3">
      <c r="A279" s="16">
        <v>45438</v>
      </c>
      <c r="B279" t="s">
        <v>437</v>
      </c>
      <c r="C279" t="s">
        <v>480</v>
      </c>
      <c r="D279" t="s">
        <v>418</v>
      </c>
      <c r="E279" t="s">
        <v>453</v>
      </c>
      <c r="F279" t="s">
        <v>472</v>
      </c>
      <c r="G279" t="s">
        <v>409</v>
      </c>
      <c r="H279">
        <v>75</v>
      </c>
      <c r="I279">
        <v>690</v>
      </c>
      <c r="J279">
        <v>817</v>
      </c>
      <c r="K279">
        <v>51750</v>
      </c>
      <c r="L279">
        <v>61275</v>
      </c>
      <c r="M279">
        <v>9525</v>
      </c>
      <c r="N279" t="s">
        <v>410</v>
      </c>
    </row>
    <row r="280" spans="1:14" x14ac:dyDescent="0.3">
      <c r="A280" s="16">
        <v>45620</v>
      </c>
      <c r="B280" t="s">
        <v>411</v>
      </c>
      <c r="C280" t="s">
        <v>667</v>
      </c>
      <c r="D280" t="s">
        <v>413</v>
      </c>
      <c r="E280" t="s">
        <v>414</v>
      </c>
      <c r="F280" t="s">
        <v>472</v>
      </c>
      <c r="G280" t="s">
        <v>428</v>
      </c>
      <c r="H280">
        <v>24</v>
      </c>
      <c r="I280">
        <v>839</v>
      </c>
      <c r="J280">
        <v>1092</v>
      </c>
      <c r="K280">
        <v>20136</v>
      </c>
      <c r="L280">
        <v>26208</v>
      </c>
      <c r="M280">
        <v>6072</v>
      </c>
      <c r="N280" t="s">
        <v>410</v>
      </c>
    </row>
    <row r="281" spans="1:14" x14ac:dyDescent="0.3">
      <c r="A281" s="16">
        <v>45402</v>
      </c>
      <c r="B281" t="s">
        <v>449</v>
      </c>
      <c r="C281" t="s">
        <v>589</v>
      </c>
      <c r="D281" t="s">
        <v>418</v>
      </c>
      <c r="E281" t="s">
        <v>448</v>
      </c>
      <c r="F281" t="s">
        <v>408</v>
      </c>
      <c r="G281" t="s">
        <v>428</v>
      </c>
      <c r="H281">
        <v>84</v>
      </c>
      <c r="I281">
        <v>702</v>
      </c>
      <c r="J281">
        <v>787</v>
      </c>
      <c r="K281">
        <v>58968</v>
      </c>
      <c r="L281">
        <v>66108</v>
      </c>
      <c r="M281">
        <v>7140</v>
      </c>
      <c r="N281" t="s">
        <v>410</v>
      </c>
    </row>
    <row r="282" spans="1:14" x14ac:dyDescent="0.3">
      <c r="A282" s="16">
        <v>45517</v>
      </c>
      <c r="B282" t="s">
        <v>434</v>
      </c>
      <c r="C282" t="s">
        <v>603</v>
      </c>
      <c r="D282" t="s">
        <v>413</v>
      </c>
      <c r="E282" t="s">
        <v>444</v>
      </c>
      <c r="F282" t="s">
        <v>451</v>
      </c>
      <c r="G282" t="s">
        <v>428</v>
      </c>
      <c r="H282">
        <v>26</v>
      </c>
      <c r="I282">
        <v>847</v>
      </c>
      <c r="J282">
        <v>1116</v>
      </c>
      <c r="K282">
        <v>22022</v>
      </c>
      <c r="L282">
        <v>29016</v>
      </c>
      <c r="M282">
        <v>6994</v>
      </c>
      <c r="N282" t="s">
        <v>410</v>
      </c>
    </row>
    <row r="283" spans="1:14" x14ac:dyDescent="0.3">
      <c r="A283" s="16">
        <v>45706</v>
      </c>
      <c r="B283" t="s">
        <v>459</v>
      </c>
      <c r="C283" t="s">
        <v>668</v>
      </c>
      <c r="D283" t="s">
        <v>418</v>
      </c>
      <c r="E283" t="s">
        <v>453</v>
      </c>
      <c r="F283" t="s">
        <v>465</v>
      </c>
      <c r="G283" t="s">
        <v>428</v>
      </c>
      <c r="H283">
        <v>78</v>
      </c>
      <c r="I283">
        <v>511</v>
      </c>
      <c r="J283">
        <v>1368</v>
      </c>
      <c r="K283">
        <v>39858</v>
      </c>
      <c r="L283">
        <v>106704</v>
      </c>
      <c r="M283">
        <v>66846</v>
      </c>
      <c r="N283" t="s">
        <v>410</v>
      </c>
    </row>
    <row r="284" spans="1:14" x14ac:dyDescent="0.3">
      <c r="A284" s="16">
        <v>45470</v>
      </c>
      <c r="B284" t="s">
        <v>404</v>
      </c>
      <c r="C284" t="s">
        <v>577</v>
      </c>
      <c r="D284" t="s">
        <v>418</v>
      </c>
      <c r="E284" t="s">
        <v>419</v>
      </c>
      <c r="F284" t="s">
        <v>451</v>
      </c>
      <c r="G284" t="s">
        <v>428</v>
      </c>
      <c r="H284">
        <v>96</v>
      </c>
      <c r="I284">
        <v>512</v>
      </c>
      <c r="J284">
        <v>970</v>
      </c>
      <c r="K284">
        <v>49152</v>
      </c>
      <c r="L284">
        <v>93120</v>
      </c>
      <c r="M284">
        <v>43968</v>
      </c>
      <c r="N284" t="s">
        <v>410</v>
      </c>
    </row>
    <row r="285" spans="1:14" x14ac:dyDescent="0.3">
      <c r="A285" s="16">
        <v>45549</v>
      </c>
      <c r="B285" t="s">
        <v>431</v>
      </c>
      <c r="C285" t="s">
        <v>549</v>
      </c>
      <c r="D285" t="s">
        <v>406</v>
      </c>
      <c r="E285" t="s">
        <v>407</v>
      </c>
      <c r="F285" t="s">
        <v>408</v>
      </c>
      <c r="G285" t="s">
        <v>409</v>
      </c>
      <c r="H285">
        <v>14</v>
      </c>
      <c r="I285">
        <v>857</v>
      </c>
      <c r="J285">
        <v>767</v>
      </c>
      <c r="K285">
        <v>11998</v>
      </c>
      <c r="L285">
        <v>10738</v>
      </c>
      <c r="M285">
        <v>-1260</v>
      </c>
      <c r="N285" t="s">
        <v>421</v>
      </c>
    </row>
    <row r="286" spans="1:14" x14ac:dyDescent="0.3">
      <c r="A286" s="16">
        <v>45639</v>
      </c>
      <c r="B286" t="s">
        <v>416</v>
      </c>
      <c r="C286" t="s">
        <v>669</v>
      </c>
      <c r="D286" t="s">
        <v>418</v>
      </c>
      <c r="E286" t="s">
        <v>453</v>
      </c>
      <c r="F286" t="s">
        <v>424</v>
      </c>
      <c r="G286" t="s">
        <v>409</v>
      </c>
      <c r="H286">
        <v>89</v>
      </c>
      <c r="I286">
        <v>545</v>
      </c>
      <c r="J286">
        <v>978</v>
      </c>
      <c r="K286">
        <v>48505</v>
      </c>
      <c r="L286">
        <v>87042</v>
      </c>
      <c r="M286">
        <v>38537</v>
      </c>
      <c r="N286" t="s">
        <v>410</v>
      </c>
    </row>
    <row r="287" spans="1:14" x14ac:dyDescent="0.3">
      <c r="A287" s="16">
        <v>45685</v>
      </c>
      <c r="B287" t="s">
        <v>462</v>
      </c>
      <c r="C287" t="s">
        <v>670</v>
      </c>
      <c r="D287" t="s">
        <v>406</v>
      </c>
      <c r="E287" t="s">
        <v>407</v>
      </c>
      <c r="F287" t="s">
        <v>424</v>
      </c>
      <c r="G287" t="s">
        <v>428</v>
      </c>
      <c r="H287">
        <v>17</v>
      </c>
      <c r="I287">
        <v>593</v>
      </c>
      <c r="J287">
        <v>895</v>
      </c>
      <c r="K287">
        <v>10081</v>
      </c>
      <c r="L287">
        <v>15215</v>
      </c>
      <c r="M287">
        <v>5134</v>
      </c>
      <c r="N287" t="s">
        <v>410</v>
      </c>
    </row>
    <row r="288" spans="1:14" x14ac:dyDescent="0.3">
      <c r="A288" s="16">
        <v>45449</v>
      </c>
      <c r="B288" t="s">
        <v>404</v>
      </c>
      <c r="C288" t="s">
        <v>671</v>
      </c>
      <c r="D288" t="s">
        <v>418</v>
      </c>
      <c r="E288" t="s">
        <v>419</v>
      </c>
      <c r="F288" t="s">
        <v>465</v>
      </c>
      <c r="G288" t="s">
        <v>409</v>
      </c>
      <c r="H288">
        <v>84</v>
      </c>
      <c r="I288">
        <v>739</v>
      </c>
      <c r="J288">
        <v>1161</v>
      </c>
      <c r="K288">
        <v>62076</v>
      </c>
      <c r="L288">
        <v>97524</v>
      </c>
      <c r="M288">
        <v>35448</v>
      </c>
      <c r="N288" t="s">
        <v>410</v>
      </c>
    </row>
    <row r="289" spans="1:14" x14ac:dyDescent="0.3">
      <c r="A289" s="16">
        <v>45429</v>
      </c>
      <c r="B289" t="s">
        <v>437</v>
      </c>
      <c r="C289" t="s">
        <v>473</v>
      </c>
      <c r="D289" t="s">
        <v>413</v>
      </c>
      <c r="E289" t="s">
        <v>444</v>
      </c>
      <c r="F289" t="s">
        <v>408</v>
      </c>
      <c r="G289" t="s">
        <v>428</v>
      </c>
      <c r="H289">
        <v>27</v>
      </c>
      <c r="I289">
        <v>913</v>
      </c>
      <c r="J289">
        <v>1197</v>
      </c>
      <c r="K289">
        <v>24651</v>
      </c>
      <c r="L289">
        <v>32319</v>
      </c>
      <c r="M289">
        <v>7668</v>
      </c>
      <c r="N289" t="s">
        <v>410</v>
      </c>
    </row>
    <row r="290" spans="1:14" x14ac:dyDescent="0.3">
      <c r="A290" s="16">
        <v>45390</v>
      </c>
      <c r="B290" t="s">
        <v>449</v>
      </c>
      <c r="C290" t="s">
        <v>450</v>
      </c>
      <c r="D290" t="s">
        <v>418</v>
      </c>
      <c r="E290" t="s">
        <v>441</v>
      </c>
      <c r="F290" t="s">
        <v>451</v>
      </c>
      <c r="G290" t="s">
        <v>428</v>
      </c>
      <c r="H290">
        <v>70</v>
      </c>
      <c r="I290">
        <v>878</v>
      </c>
      <c r="J290">
        <v>844</v>
      </c>
      <c r="K290">
        <v>61460</v>
      </c>
      <c r="L290">
        <v>59080</v>
      </c>
      <c r="M290">
        <v>-2380</v>
      </c>
      <c r="N290" t="s">
        <v>421</v>
      </c>
    </row>
    <row r="291" spans="1:14" x14ac:dyDescent="0.3">
      <c r="A291" s="16">
        <v>45443</v>
      </c>
      <c r="B291" t="s">
        <v>437</v>
      </c>
      <c r="C291" t="s">
        <v>543</v>
      </c>
      <c r="D291" t="s">
        <v>418</v>
      </c>
      <c r="E291" t="s">
        <v>419</v>
      </c>
      <c r="F291" t="s">
        <v>433</v>
      </c>
      <c r="G291" t="s">
        <v>428</v>
      </c>
      <c r="H291">
        <v>88</v>
      </c>
      <c r="I291">
        <v>977</v>
      </c>
      <c r="J291">
        <v>1402</v>
      </c>
      <c r="K291">
        <v>85976</v>
      </c>
      <c r="L291">
        <v>123376</v>
      </c>
      <c r="M291">
        <v>37400</v>
      </c>
      <c r="N291" t="s">
        <v>410</v>
      </c>
    </row>
    <row r="292" spans="1:14" x14ac:dyDescent="0.3">
      <c r="A292" s="16">
        <v>45524</v>
      </c>
      <c r="B292" t="s">
        <v>434</v>
      </c>
      <c r="C292" t="s">
        <v>569</v>
      </c>
      <c r="D292" t="s">
        <v>413</v>
      </c>
      <c r="E292" t="s">
        <v>444</v>
      </c>
      <c r="F292" t="s">
        <v>433</v>
      </c>
      <c r="G292" t="s">
        <v>409</v>
      </c>
      <c r="H292">
        <v>26</v>
      </c>
      <c r="I292">
        <v>999</v>
      </c>
      <c r="J292">
        <v>1112</v>
      </c>
      <c r="K292">
        <v>25974</v>
      </c>
      <c r="L292">
        <v>28912</v>
      </c>
      <c r="M292">
        <v>2938</v>
      </c>
      <c r="N292" t="s">
        <v>410</v>
      </c>
    </row>
    <row r="293" spans="1:14" x14ac:dyDescent="0.3">
      <c r="A293" s="16">
        <v>45638</v>
      </c>
      <c r="B293" t="s">
        <v>416</v>
      </c>
      <c r="C293" t="s">
        <v>594</v>
      </c>
      <c r="D293" t="s">
        <v>418</v>
      </c>
      <c r="E293" t="s">
        <v>453</v>
      </c>
      <c r="F293" t="s">
        <v>504</v>
      </c>
      <c r="G293" t="s">
        <v>409</v>
      </c>
      <c r="H293">
        <v>74</v>
      </c>
      <c r="I293">
        <v>922</v>
      </c>
      <c r="J293">
        <v>970</v>
      </c>
      <c r="K293">
        <v>68228</v>
      </c>
      <c r="L293">
        <v>71780</v>
      </c>
      <c r="M293">
        <v>3552</v>
      </c>
      <c r="N293" t="s">
        <v>410</v>
      </c>
    </row>
    <row r="294" spans="1:14" x14ac:dyDescent="0.3">
      <c r="A294" s="16">
        <v>45440</v>
      </c>
      <c r="B294" t="s">
        <v>437</v>
      </c>
      <c r="C294" t="s">
        <v>648</v>
      </c>
      <c r="D294" t="s">
        <v>418</v>
      </c>
      <c r="E294" t="s">
        <v>453</v>
      </c>
      <c r="F294" t="s">
        <v>415</v>
      </c>
      <c r="G294" t="s">
        <v>428</v>
      </c>
      <c r="H294">
        <v>85</v>
      </c>
      <c r="I294">
        <v>845</v>
      </c>
      <c r="J294">
        <v>1155</v>
      </c>
      <c r="K294">
        <v>71825</v>
      </c>
      <c r="L294">
        <v>98175</v>
      </c>
      <c r="M294">
        <v>26350</v>
      </c>
      <c r="N294" t="s">
        <v>410</v>
      </c>
    </row>
    <row r="295" spans="1:14" x14ac:dyDescent="0.3">
      <c r="A295" s="16">
        <v>45436</v>
      </c>
      <c r="B295" t="s">
        <v>437</v>
      </c>
      <c r="C295" t="s">
        <v>672</v>
      </c>
      <c r="D295" t="s">
        <v>418</v>
      </c>
      <c r="E295" t="s">
        <v>453</v>
      </c>
      <c r="F295" t="s">
        <v>532</v>
      </c>
      <c r="G295" t="s">
        <v>409</v>
      </c>
      <c r="H295">
        <v>71</v>
      </c>
      <c r="I295">
        <v>653</v>
      </c>
      <c r="J295">
        <v>963</v>
      </c>
      <c r="K295">
        <v>46363</v>
      </c>
      <c r="L295">
        <v>68373</v>
      </c>
      <c r="M295">
        <v>22010</v>
      </c>
      <c r="N295" t="s">
        <v>410</v>
      </c>
    </row>
    <row r="296" spans="1:14" x14ac:dyDescent="0.3">
      <c r="A296" s="16">
        <v>45510</v>
      </c>
      <c r="B296" t="s">
        <v>434</v>
      </c>
      <c r="C296" t="s">
        <v>673</v>
      </c>
      <c r="D296" t="s">
        <v>406</v>
      </c>
      <c r="E296" t="s">
        <v>407</v>
      </c>
      <c r="F296" t="s">
        <v>451</v>
      </c>
      <c r="G296" t="s">
        <v>409</v>
      </c>
      <c r="H296">
        <v>11</v>
      </c>
      <c r="I296">
        <v>830</v>
      </c>
      <c r="J296">
        <v>1386</v>
      </c>
      <c r="K296">
        <v>9130</v>
      </c>
      <c r="L296">
        <v>15246</v>
      </c>
      <c r="M296">
        <v>6116</v>
      </c>
      <c r="N296" t="s">
        <v>410</v>
      </c>
    </row>
    <row r="297" spans="1:14" x14ac:dyDescent="0.3">
      <c r="A297" s="16">
        <v>45655</v>
      </c>
      <c r="B297" t="s">
        <v>416</v>
      </c>
      <c r="C297" t="s">
        <v>661</v>
      </c>
      <c r="D297" t="s">
        <v>418</v>
      </c>
      <c r="E297" t="s">
        <v>419</v>
      </c>
      <c r="F297" t="s">
        <v>424</v>
      </c>
      <c r="G297" t="s">
        <v>428</v>
      </c>
      <c r="H297">
        <v>91</v>
      </c>
      <c r="I297">
        <v>805</v>
      </c>
      <c r="J297">
        <v>1361</v>
      </c>
      <c r="K297">
        <v>73255</v>
      </c>
      <c r="L297">
        <v>123851</v>
      </c>
      <c r="M297">
        <v>50596</v>
      </c>
      <c r="N297" t="s">
        <v>410</v>
      </c>
    </row>
    <row r="298" spans="1:14" x14ac:dyDescent="0.3">
      <c r="A298" s="16">
        <v>45410</v>
      </c>
      <c r="B298" t="s">
        <v>449</v>
      </c>
      <c r="C298" t="s">
        <v>674</v>
      </c>
      <c r="D298" t="s">
        <v>413</v>
      </c>
      <c r="E298" t="s">
        <v>414</v>
      </c>
      <c r="F298" t="s">
        <v>420</v>
      </c>
      <c r="G298" t="s">
        <v>409</v>
      </c>
      <c r="H298">
        <v>28</v>
      </c>
      <c r="I298">
        <v>814</v>
      </c>
      <c r="J298">
        <v>1343</v>
      </c>
      <c r="K298">
        <v>22792</v>
      </c>
      <c r="L298">
        <v>37604</v>
      </c>
      <c r="M298">
        <v>14812</v>
      </c>
      <c r="N298" t="s">
        <v>410</v>
      </c>
    </row>
    <row r="299" spans="1:14" x14ac:dyDescent="0.3">
      <c r="A299" s="16">
        <v>45428</v>
      </c>
      <c r="B299" t="s">
        <v>437</v>
      </c>
      <c r="C299" t="s">
        <v>675</v>
      </c>
      <c r="D299" t="s">
        <v>413</v>
      </c>
      <c r="E299" t="s">
        <v>444</v>
      </c>
      <c r="F299" t="s">
        <v>436</v>
      </c>
      <c r="G299" t="s">
        <v>428</v>
      </c>
      <c r="H299">
        <v>30</v>
      </c>
      <c r="I299">
        <v>616</v>
      </c>
      <c r="J299">
        <v>804</v>
      </c>
      <c r="K299">
        <v>18480</v>
      </c>
      <c r="L299">
        <v>24120</v>
      </c>
      <c r="M299">
        <v>5640</v>
      </c>
      <c r="N299" t="s">
        <v>410</v>
      </c>
    </row>
    <row r="300" spans="1:14" x14ac:dyDescent="0.3">
      <c r="A300" s="16">
        <v>45644</v>
      </c>
      <c r="B300" t="s">
        <v>416</v>
      </c>
      <c r="C300" t="s">
        <v>485</v>
      </c>
      <c r="D300" t="s">
        <v>418</v>
      </c>
      <c r="E300" t="s">
        <v>453</v>
      </c>
      <c r="F300" t="s">
        <v>426</v>
      </c>
      <c r="G300" t="s">
        <v>409</v>
      </c>
      <c r="H300">
        <v>53</v>
      </c>
      <c r="I300">
        <v>962</v>
      </c>
      <c r="J300">
        <v>1442</v>
      </c>
      <c r="K300">
        <v>50986</v>
      </c>
      <c r="L300">
        <v>76426</v>
      </c>
      <c r="M300">
        <v>25440</v>
      </c>
      <c r="N300" t="s">
        <v>410</v>
      </c>
    </row>
    <row r="301" spans="1:14" x14ac:dyDescent="0.3">
      <c r="A301" s="16">
        <v>45430</v>
      </c>
      <c r="B301" t="s">
        <v>437</v>
      </c>
      <c r="C301" t="s">
        <v>676</v>
      </c>
      <c r="D301" t="s">
        <v>413</v>
      </c>
      <c r="E301" t="s">
        <v>444</v>
      </c>
      <c r="F301" t="s">
        <v>451</v>
      </c>
      <c r="G301" t="s">
        <v>428</v>
      </c>
      <c r="H301">
        <v>23</v>
      </c>
      <c r="I301">
        <v>875</v>
      </c>
      <c r="J301">
        <v>843</v>
      </c>
      <c r="K301">
        <v>20125</v>
      </c>
      <c r="L301">
        <v>19389</v>
      </c>
      <c r="M301">
        <v>-736</v>
      </c>
      <c r="N301" t="s">
        <v>421</v>
      </c>
    </row>
    <row r="302" spans="1:14" x14ac:dyDescent="0.3">
      <c r="A302" s="16">
        <v>45398</v>
      </c>
      <c r="B302" t="s">
        <v>449</v>
      </c>
      <c r="C302" t="s">
        <v>471</v>
      </c>
      <c r="D302" t="s">
        <v>418</v>
      </c>
      <c r="E302" t="s">
        <v>448</v>
      </c>
      <c r="F302" t="s">
        <v>472</v>
      </c>
      <c r="G302" t="s">
        <v>409</v>
      </c>
      <c r="H302">
        <v>68</v>
      </c>
      <c r="I302">
        <v>575</v>
      </c>
      <c r="J302">
        <v>1242</v>
      </c>
      <c r="K302">
        <v>39100</v>
      </c>
      <c r="L302">
        <v>84456</v>
      </c>
      <c r="M302">
        <v>45356</v>
      </c>
      <c r="N302" t="s">
        <v>410</v>
      </c>
    </row>
    <row r="303" spans="1:14" x14ac:dyDescent="0.3">
      <c r="A303" s="16">
        <v>45453</v>
      </c>
      <c r="B303" t="s">
        <v>404</v>
      </c>
      <c r="C303" t="s">
        <v>657</v>
      </c>
      <c r="D303" t="s">
        <v>418</v>
      </c>
      <c r="E303" t="s">
        <v>419</v>
      </c>
      <c r="F303" t="s">
        <v>442</v>
      </c>
      <c r="G303" t="s">
        <v>409</v>
      </c>
      <c r="H303">
        <v>68</v>
      </c>
      <c r="I303">
        <v>651</v>
      </c>
      <c r="J303">
        <v>1061</v>
      </c>
      <c r="K303">
        <v>44268</v>
      </c>
      <c r="L303">
        <v>72148</v>
      </c>
      <c r="M303">
        <v>27880</v>
      </c>
      <c r="N303" t="s">
        <v>410</v>
      </c>
    </row>
    <row r="304" spans="1:14" x14ac:dyDescent="0.3">
      <c r="A304" s="16">
        <v>45680</v>
      </c>
      <c r="B304" t="s">
        <v>462</v>
      </c>
      <c r="C304" t="s">
        <v>569</v>
      </c>
      <c r="D304" t="s">
        <v>406</v>
      </c>
      <c r="E304" t="s">
        <v>407</v>
      </c>
      <c r="F304" t="s">
        <v>504</v>
      </c>
      <c r="G304" t="s">
        <v>409</v>
      </c>
      <c r="H304">
        <v>18</v>
      </c>
      <c r="I304">
        <v>963</v>
      </c>
      <c r="J304">
        <v>1178</v>
      </c>
      <c r="K304">
        <v>17334</v>
      </c>
      <c r="L304">
        <v>21204</v>
      </c>
      <c r="M304">
        <v>3870</v>
      </c>
      <c r="N304" t="s">
        <v>410</v>
      </c>
    </row>
    <row r="305" spans="1:14" x14ac:dyDescent="0.3">
      <c r="A305" s="16">
        <v>45403</v>
      </c>
      <c r="B305" t="s">
        <v>449</v>
      </c>
      <c r="C305" t="s">
        <v>578</v>
      </c>
      <c r="D305" t="s">
        <v>418</v>
      </c>
      <c r="E305" t="s">
        <v>448</v>
      </c>
      <c r="F305" t="s">
        <v>433</v>
      </c>
      <c r="G305" t="s">
        <v>428</v>
      </c>
      <c r="H305">
        <v>85</v>
      </c>
      <c r="I305">
        <v>505</v>
      </c>
      <c r="J305">
        <v>1435</v>
      </c>
      <c r="K305">
        <v>42925</v>
      </c>
      <c r="L305">
        <v>121975</v>
      </c>
      <c r="M305">
        <v>79050</v>
      </c>
      <c r="N305" t="s">
        <v>410</v>
      </c>
    </row>
    <row r="306" spans="1:14" x14ac:dyDescent="0.3">
      <c r="A306" s="16">
        <v>45639</v>
      </c>
      <c r="B306" t="s">
        <v>416</v>
      </c>
      <c r="C306" t="s">
        <v>669</v>
      </c>
      <c r="D306" t="s">
        <v>418</v>
      </c>
      <c r="E306" t="s">
        <v>453</v>
      </c>
      <c r="F306" t="s">
        <v>424</v>
      </c>
      <c r="G306" t="s">
        <v>409</v>
      </c>
      <c r="H306">
        <v>54</v>
      </c>
      <c r="I306">
        <v>702</v>
      </c>
      <c r="J306">
        <v>930</v>
      </c>
      <c r="K306">
        <v>37908</v>
      </c>
      <c r="L306">
        <v>50220</v>
      </c>
      <c r="M306">
        <v>12312</v>
      </c>
      <c r="N306" t="s">
        <v>410</v>
      </c>
    </row>
    <row r="307" spans="1:14" x14ac:dyDescent="0.3">
      <c r="A307" s="16">
        <v>45485</v>
      </c>
      <c r="B307" t="s">
        <v>482</v>
      </c>
      <c r="C307" t="s">
        <v>677</v>
      </c>
      <c r="D307" t="s">
        <v>413</v>
      </c>
      <c r="E307" t="s">
        <v>444</v>
      </c>
      <c r="F307" t="s">
        <v>426</v>
      </c>
      <c r="G307" t="s">
        <v>428</v>
      </c>
      <c r="H307">
        <v>23</v>
      </c>
      <c r="I307">
        <v>589</v>
      </c>
      <c r="J307">
        <v>982</v>
      </c>
      <c r="K307">
        <v>13547</v>
      </c>
      <c r="L307">
        <v>22586</v>
      </c>
      <c r="M307">
        <v>9039</v>
      </c>
      <c r="N307" t="s">
        <v>410</v>
      </c>
    </row>
    <row r="308" spans="1:14" x14ac:dyDescent="0.3">
      <c r="A308" s="16">
        <v>45619</v>
      </c>
      <c r="B308" t="s">
        <v>411</v>
      </c>
      <c r="C308" t="s">
        <v>678</v>
      </c>
      <c r="D308" t="s">
        <v>413</v>
      </c>
      <c r="E308" t="s">
        <v>414</v>
      </c>
      <c r="F308" t="s">
        <v>451</v>
      </c>
      <c r="G308" t="s">
        <v>428</v>
      </c>
      <c r="H308">
        <v>28</v>
      </c>
      <c r="I308">
        <v>858</v>
      </c>
      <c r="J308">
        <v>1113</v>
      </c>
      <c r="K308">
        <v>24024</v>
      </c>
      <c r="L308">
        <v>31164</v>
      </c>
      <c r="M308">
        <v>7140</v>
      </c>
      <c r="N308" t="s">
        <v>410</v>
      </c>
    </row>
    <row r="309" spans="1:14" x14ac:dyDescent="0.3">
      <c r="A309" s="16">
        <v>45542</v>
      </c>
      <c r="B309" t="s">
        <v>431</v>
      </c>
      <c r="C309" t="s">
        <v>489</v>
      </c>
      <c r="D309" t="s">
        <v>418</v>
      </c>
      <c r="E309" t="s">
        <v>419</v>
      </c>
      <c r="F309" t="s">
        <v>478</v>
      </c>
      <c r="G309" t="s">
        <v>428</v>
      </c>
      <c r="H309">
        <v>56</v>
      </c>
      <c r="I309">
        <v>724</v>
      </c>
      <c r="J309">
        <v>1391</v>
      </c>
      <c r="K309">
        <v>40544</v>
      </c>
      <c r="L309">
        <v>77896</v>
      </c>
      <c r="M309">
        <v>37352</v>
      </c>
      <c r="N309" t="s">
        <v>410</v>
      </c>
    </row>
    <row r="310" spans="1:14" x14ac:dyDescent="0.3">
      <c r="A310" s="16">
        <v>45633</v>
      </c>
      <c r="B310" t="s">
        <v>416</v>
      </c>
      <c r="C310" t="s">
        <v>679</v>
      </c>
      <c r="D310" t="s">
        <v>413</v>
      </c>
      <c r="E310" t="s">
        <v>444</v>
      </c>
      <c r="F310" t="s">
        <v>451</v>
      </c>
      <c r="G310" t="s">
        <v>409</v>
      </c>
      <c r="H310">
        <v>20</v>
      </c>
      <c r="I310">
        <v>976</v>
      </c>
      <c r="J310">
        <v>905</v>
      </c>
      <c r="K310">
        <v>19520</v>
      </c>
      <c r="L310">
        <v>18100</v>
      </c>
      <c r="M310">
        <v>-1420</v>
      </c>
      <c r="N310" t="s">
        <v>421</v>
      </c>
    </row>
    <row r="311" spans="1:14" x14ac:dyDescent="0.3">
      <c r="A311" s="16">
        <v>45434</v>
      </c>
      <c r="B311" t="s">
        <v>437</v>
      </c>
      <c r="C311" t="s">
        <v>680</v>
      </c>
      <c r="D311" t="s">
        <v>418</v>
      </c>
      <c r="E311" t="s">
        <v>453</v>
      </c>
      <c r="F311" t="s">
        <v>433</v>
      </c>
      <c r="G311" t="s">
        <v>409</v>
      </c>
      <c r="H311">
        <v>62</v>
      </c>
      <c r="I311">
        <v>623</v>
      </c>
      <c r="J311">
        <v>1253</v>
      </c>
      <c r="K311">
        <v>38626</v>
      </c>
      <c r="L311">
        <v>77686</v>
      </c>
      <c r="M311">
        <v>39060</v>
      </c>
      <c r="N311" t="s">
        <v>410</v>
      </c>
    </row>
    <row r="312" spans="1:14" x14ac:dyDescent="0.3">
      <c r="A312" s="16">
        <v>45391</v>
      </c>
      <c r="B312" t="s">
        <v>449</v>
      </c>
      <c r="C312" t="s">
        <v>633</v>
      </c>
      <c r="D312" t="s">
        <v>413</v>
      </c>
      <c r="E312" t="s">
        <v>430</v>
      </c>
      <c r="F312" t="s">
        <v>454</v>
      </c>
      <c r="G312" t="s">
        <v>409</v>
      </c>
      <c r="H312">
        <v>21</v>
      </c>
      <c r="I312">
        <v>879</v>
      </c>
      <c r="J312">
        <v>1019</v>
      </c>
      <c r="K312">
        <v>18459</v>
      </c>
      <c r="L312">
        <v>21399</v>
      </c>
      <c r="M312">
        <v>2940</v>
      </c>
      <c r="N312" t="s">
        <v>410</v>
      </c>
    </row>
    <row r="313" spans="1:14" x14ac:dyDescent="0.3">
      <c r="A313" s="16">
        <v>45672</v>
      </c>
      <c r="B313" t="s">
        <v>462</v>
      </c>
      <c r="C313" t="s">
        <v>612</v>
      </c>
      <c r="D313" t="s">
        <v>418</v>
      </c>
      <c r="E313" t="s">
        <v>419</v>
      </c>
      <c r="F313" t="s">
        <v>433</v>
      </c>
      <c r="G313" t="s">
        <v>428</v>
      </c>
      <c r="H313">
        <v>98</v>
      </c>
      <c r="I313">
        <v>950</v>
      </c>
      <c r="J313">
        <v>1426</v>
      </c>
      <c r="K313">
        <v>93100</v>
      </c>
      <c r="L313">
        <v>139748</v>
      </c>
      <c r="M313">
        <v>46648</v>
      </c>
      <c r="N313" t="s">
        <v>410</v>
      </c>
    </row>
    <row r="314" spans="1:14" x14ac:dyDescent="0.3">
      <c r="A314" s="16">
        <v>45467</v>
      </c>
      <c r="B314" t="s">
        <v>404</v>
      </c>
      <c r="C314" t="s">
        <v>528</v>
      </c>
      <c r="D314" t="s">
        <v>418</v>
      </c>
      <c r="E314" t="s">
        <v>419</v>
      </c>
      <c r="F314" t="s">
        <v>478</v>
      </c>
      <c r="G314" t="s">
        <v>428</v>
      </c>
      <c r="H314">
        <v>76</v>
      </c>
      <c r="I314">
        <v>624</v>
      </c>
      <c r="J314">
        <v>899</v>
      </c>
      <c r="K314">
        <v>47424</v>
      </c>
      <c r="L314">
        <v>68324</v>
      </c>
      <c r="M314">
        <v>20900</v>
      </c>
      <c r="N314" t="s">
        <v>410</v>
      </c>
    </row>
    <row r="315" spans="1:14" x14ac:dyDescent="0.3">
      <c r="A315" s="16">
        <v>45673</v>
      </c>
      <c r="B315" t="s">
        <v>462</v>
      </c>
      <c r="C315" t="s">
        <v>522</v>
      </c>
      <c r="D315" t="s">
        <v>418</v>
      </c>
      <c r="E315" t="s">
        <v>419</v>
      </c>
      <c r="F315" t="s">
        <v>465</v>
      </c>
      <c r="G315" t="s">
        <v>428</v>
      </c>
      <c r="H315">
        <v>72</v>
      </c>
      <c r="I315">
        <v>608</v>
      </c>
      <c r="J315">
        <v>1209</v>
      </c>
      <c r="K315">
        <v>43776</v>
      </c>
      <c r="L315">
        <v>87048</v>
      </c>
      <c r="M315">
        <v>43272</v>
      </c>
      <c r="N315" t="s">
        <v>410</v>
      </c>
    </row>
    <row r="316" spans="1:14" x14ac:dyDescent="0.3">
      <c r="A316" s="16">
        <v>45504</v>
      </c>
      <c r="B316" t="s">
        <v>482</v>
      </c>
      <c r="C316" t="s">
        <v>681</v>
      </c>
      <c r="D316" t="s">
        <v>418</v>
      </c>
      <c r="E316" t="s">
        <v>453</v>
      </c>
      <c r="F316" t="s">
        <v>451</v>
      </c>
      <c r="G316" t="s">
        <v>428</v>
      </c>
      <c r="H316">
        <v>88</v>
      </c>
      <c r="I316">
        <v>691</v>
      </c>
      <c r="J316">
        <v>1394</v>
      </c>
      <c r="K316">
        <v>60808</v>
      </c>
      <c r="L316">
        <v>122672</v>
      </c>
      <c r="M316">
        <v>61864</v>
      </c>
      <c r="N316" t="s">
        <v>410</v>
      </c>
    </row>
    <row r="317" spans="1:14" x14ac:dyDescent="0.3">
      <c r="A317" s="16">
        <v>45512</v>
      </c>
      <c r="B317" t="s">
        <v>434</v>
      </c>
      <c r="C317" t="s">
        <v>568</v>
      </c>
      <c r="D317" t="s">
        <v>406</v>
      </c>
      <c r="E317" t="s">
        <v>407</v>
      </c>
      <c r="F317" t="s">
        <v>408</v>
      </c>
      <c r="G317" t="s">
        <v>409</v>
      </c>
      <c r="H317">
        <v>10</v>
      </c>
      <c r="I317">
        <v>812</v>
      </c>
      <c r="J317">
        <v>1112</v>
      </c>
      <c r="K317">
        <v>8120</v>
      </c>
      <c r="L317">
        <v>11120</v>
      </c>
      <c r="M317">
        <v>3000</v>
      </c>
      <c r="N317" t="s">
        <v>410</v>
      </c>
    </row>
    <row r="318" spans="1:14" x14ac:dyDescent="0.3">
      <c r="A318" s="16">
        <v>45511</v>
      </c>
      <c r="B318" t="s">
        <v>434</v>
      </c>
      <c r="C318" t="s">
        <v>533</v>
      </c>
      <c r="D318" t="s">
        <v>406</v>
      </c>
      <c r="E318" t="s">
        <v>407</v>
      </c>
      <c r="F318" t="s">
        <v>454</v>
      </c>
      <c r="G318" t="s">
        <v>409</v>
      </c>
      <c r="H318">
        <v>11</v>
      </c>
      <c r="I318">
        <v>930</v>
      </c>
      <c r="J318">
        <v>876</v>
      </c>
      <c r="K318">
        <v>10230</v>
      </c>
      <c r="L318">
        <v>9636</v>
      </c>
      <c r="M318">
        <v>-594</v>
      </c>
      <c r="N318" t="s">
        <v>421</v>
      </c>
    </row>
    <row r="319" spans="1:14" x14ac:dyDescent="0.3">
      <c r="A319" s="16">
        <v>45504</v>
      </c>
      <c r="B319" t="s">
        <v>482</v>
      </c>
      <c r="C319" t="s">
        <v>681</v>
      </c>
      <c r="D319" t="s">
        <v>418</v>
      </c>
      <c r="E319" t="s">
        <v>453</v>
      </c>
      <c r="F319" t="s">
        <v>451</v>
      </c>
      <c r="G319" t="s">
        <v>428</v>
      </c>
      <c r="H319">
        <v>63</v>
      </c>
      <c r="I319">
        <v>547</v>
      </c>
      <c r="J319">
        <v>1150</v>
      </c>
      <c r="K319">
        <v>34461</v>
      </c>
      <c r="L319">
        <v>72450</v>
      </c>
      <c r="M319">
        <v>37989</v>
      </c>
      <c r="N319" t="s">
        <v>410</v>
      </c>
    </row>
    <row r="320" spans="1:14" x14ac:dyDescent="0.3">
      <c r="A320" s="16">
        <v>45387</v>
      </c>
      <c r="B320" t="s">
        <v>449</v>
      </c>
      <c r="C320" t="s">
        <v>623</v>
      </c>
      <c r="D320" t="s">
        <v>418</v>
      </c>
      <c r="E320" t="s">
        <v>441</v>
      </c>
      <c r="F320" t="s">
        <v>478</v>
      </c>
      <c r="G320" t="s">
        <v>428</v>
      </c>
      <c r="H320">
        <v>74</v>
      </c>
      <c r="I320">
        <v>743</v>
      </c>
      <c r="J320">
        <v>1265</v>
      </c>
      <c r="K320">
        <v>54982</v>
      </c>
      <c r="L320">
        <v>93610</v>
      </c>
      <c r="M320">
        <v>38628</v>
      </c>
      <c r="N320" t="s">
        <v>410</v>
      </c>
    </row>
    <row r="321" spans="1:14" x14ac:dyDescent="0.3">
      <c r="A321" s="16">
        <v>45538</v>
      </c>
      <c r="B321" t="s">
        <v>431</v>
      </c>
      <c r="C321" t="s">
        <v>642</v>
      </c>
      <c r="D321" t="s">
        <v>418</v>
      </c>
      <c r="E321" t="s">
        <v>419</v>
      </c>
      <c r="F321" t="s">
        <v>424</v>
      </c>
      <c r="G321" t="s">
        <v>428</v>
      </c>
      <c r="H321">
        <v>89</v>
      </c>
      <c r="I321">
        <v>703</v>
      </c>
      <c r="J321">
        <v>795</v>
      </c>
      <c r="K321">
        <v>62567</v>
      </c>
      <c r="L321">
        <v>70755</v>
      </c>
      <c r="M321">
        <v>8188</v>
      </c>
      <c r="N321" t="s">
        <v>410</v>
      </c>
    </row>
    <row r="322" spans="1:14" x14ac:dyDescent="0.3">
      <c r="A322" s="16">
        <v>45686</v>
      </c>
      <c r="B322" t="s">
        <v>462</v>
      </c>
      <c r="C322" t="s">
        <v>611</v>
      </c>
      <c r="D322" t="s">
        <v>406</v>
      </c>
      <c r="E322" t="s">
        <v>407</v>
      </c>
      <c r="F322" t="s">
        <v>433</v>
      </c>
      <c r="G322" t="s">
        <v>428</v>
      </c>
      <c r="H322">
        <v>13</v>
      </c>
      <c r="I322">
        <v>615</v>
      </c>
      <c r="J322">
        <v>1010</v>
      </c>
      <c r="K322">
        <v>7995</v>
      </c>
      <c r="L322">
        <v>13130</v>
      </c>
      <c r="M322">
        <v>5135</v>
      </c>
      <c r="N322" t="s">
        <v>410</v>
      </c>
    </row>
    <row r="323" spans="1:14" x14ac:dyDescent="0.3">
      <c r="A323" s="16">
        <v>45574</v>
      </c>
      <c r="B323" t="s">
        <v>422</v>
      </c>
      <c r="C323" t="s">
        <v>682</v>
      </c>
      <c r="D323" t="s">
        <v>418</v>
      </c>
      <c r="E323" t="s">
        <v>419</v>
      </c>
      <c r="F323" t="s">
        <v>510</v>
      </c>
      <c r="G323" t="s">
        <v>409</v>
      </c>
      <c r="H323">
        <v>85</v>
      </c>
      <c r="I323">
        <v>541</v>
      </c>
      <c r="J323">
        <v>1331</v>
      </c>
      <c r="K323">
        <v>45985</v>
      </c>
      <c r="L323">
        <v>113135</v>
      </c>
      <c r="M323">
        <v>67150</v>
      </c>
      <c r="N323" t="s">
        <v>410</v>
      </c>
    </row>
    <row r="324" spans="1:14" x14ac:dyDescent="0.3">
      <c r="A324" s="16">
        <v>45447</v>
      </c>
      <c r="B324" t="s">
        <v>404</v>
      </c>
      <c r="C324" t="s">
        <v>660</v>
      </c>
      <c r="D324" t="s">
        <v>418</v>
      </c>
      <c r="E324" t="s">
        <v>419</v>
      </c>
      <c r="F324" t="s">
        <v>454</v>
      </c>
      <c r="G324" t="s">
        <v>428</v>
      </c>
      <c r="H324">
        <v>99</v>
      </c>
      <c r="I324">
        <v>649</v>
      </c>
      <c r="J324">
        <v>1415</v>
      </c>
      <c r="K324">
        <v>64251</v>
      </c>
      <c r="L324">
        <v>140085</v>
      </c>
      <c r="M324">
        <v>75834</v>
      </c>
      <c r="N324" t="s">
        <v>410</v>
      </c>
    </row>
    <row r="325" spans="1:14" x14ac:dyDescent="0.3">
      <c r="A325" s="16">
        <v>45517</v>
      </c>
      <c r="B325" t="s">
        <v>434</v>
      </c>
      <c r="C325" t="s">
        <v>603</v>
      </c>
      <c r="D325" t="s">
        <v>413</v>
      </c>
      <c r="E325" t="s">
        <v>444</v>
      </c>
      <c r="F325" t="s">
        <v>451</v>
      </c>
      <c r="G325" t="s">
        <v>428</v>
      </c>
      <c r="H325">
        <v>26</v>
      </c>
      <c r="I325">
        <v>715</v>
      </c>
      <c r="J325">
        <v>1113</v>
      </c>
      <c r="K325">
        <v>18590</v>
      </c>
      <c r="L325">
        <v>28938</v>
      </c>
      <c r="M325">
        <v>10348</v>
      </c>
      <c r="N325" t="s">
        <v>410</v>
      </c>
    </row>
    <row r="326" spans="1:14" x14ac:dyDescent="0.3">
      <c r="A326" s="16">
        <v>45646</v>
      </c>
      <c r="B326" t="s">
        <v>416</v>
      </c>
      <c r="C326" t="s">
        <v>576</v>
      </c>
      <c r="D326" t="s">
        <v>418</v>
      </c>
      <c r="E326" t="s">
        <v>453</v>
      </c>
      <c r="F326" t="s">
        <v>433</v>
      </c>
      <c r="G326" t="s">
        <v>409</v>
      </c>
      <c r="H326">
        <v>67</v>
      </c>
      <c r="I326">
        <v>898</v>
      </c>
      <c r="J326">
        <v>1133</v>
      </c>
      <c r="K326">
        <v>60166</v>
      </c>
      <c r="L326">
        <v>75911</v>
      </c>
      <c r="M326">
        <v>15745</v>
      </c>
      <c r="N326" t="s">
        <v>410</v>
      </c>
    </row>
    <row r="327" spans="1:14" x14ac:dyDescent="0.3">
      <c r="A327" s="16">
        <v>45404</v>
      </c>
      <c r="B327" t="s">
        <v>449</v>
      </c>
      <c r="C327" t="s">
        <v>683</v>
      </c>
      <c r="D327" t="s">
        <v>413</v>
      </c>
      <c r="E327" t="s">
        <v>414</v>
      </c>
      <c r="F327" t="s">
        <v>433</v>
      </c>
      <c r="G327" t="s">
        <v>428</v>
      </c>
      <c r="H327">
        <v>20</v>
      </c>
      <c r="I327">
        <v>664</v>
      </c>
      <c r="J327">
        <v>924</v>
      </c>
      <c r="K327">
        <v>13280</v>
      </c>
      <c r="L327">
        <v>18480</v>
      </c>
      <c r="M327">
        <v>5200</v>
      </c>
      <c r="N327" t="s">
        <v>410</v>
      </c>
    </row>
    <row r="328" spans="1:14" x14ac:dyDescent="0.3">
      <c r="A328" s="16">
        <v>45598</v>
      </c>
      <c r="B328" t="s">
        <v>411</v>
      </c>
      <c r="C328" t="s">
        <v>663</v>
      </c>
      <c r="D328" t="s">
        <v>413</v>
      </c>
      <c r="E328" t="s">
        <v>430</v>
      </c>
      <c r="F328" t="s">
        <v>504</v>
      </c>
      <c r="G328" t="s">
        <v>428</v>
      </c>
      <c r="H328">
        <v>29</v>
      </c>
      <c r="I328">
        <v>510</v>
      </c>
      <c r="J328">
        <v>1131</v>
      </c>
      <c r="K328">
        <v>14790</v>
      </c>
      <c r="L328">
        <v>32799</v>
      </c>
      <c r="M328">
        <v>18009</v>
      </c>
      <c r="N328" t="s">
        <v>410</v>
      </c>
    </row>
    <row r="329" spans="1:14" x14ac:dyDescent="0.3">
      <c r="A329" s="16">
        <v>45667</v>
      </c>
      <c r="B329" t="s">
        <v>462</v>
      </c>
      <c r="C329" t="s">
        <v>684</v>
      </c>
      <c r="D329" t="s">
        <v>418</v>
      </c>
      <c r="E329" t="s">
        <v>453</v>
      </c>
      <c r="F329" t="s">
        <v>433</v>
      </c>
      <c r="G329" t="s">
        <v>428</v>
      </c>
      <c r="H329">
        <v>65</v>
      </c>
      <c r="I329">
        <v>875</v>
      </c>
      <c r="J329">
        <v>1361</v>
      </c>
      <c r="K329">
        <v>56875</v>
      </c>
      <c r="L329">
        <v>88465</v>
      </c>
      <c r="M329">
        <v>31590</v>
      </c>
      <c r="N329" t="s">
        <v>410</v>
      </c>
    </row>
    <row r="330" spans="1:14" x14ac:dyDescent="0.3">
      <c r="A330" s="16">
        <v>45479</v>
      </c>
      <c r="B330" t="s">
        <v>482</v>
      </c>
      <c r="C330" t="s">
        <v>640</v>
      </c>
      <c r="D330" t="s">
        <v>406</v>
      </c>
      <c r="E330" t="s">
        <v>407</v>
      </c>
      <c r="F330" t="s">
        <v>532</v>
      </c>
      <c r="G330" t="s">
        <v>428</v>
      </c>
      <c r="H330">
        <v>16</v>
      </c>
      <c r="I330">
        <v>734</v>
      </c>
      <c r="J330">
        <v>1330</v>
      </c>
      <c r="K330">
        <v>11744</v>
      </c>
      <c r="L330">
        <v>21280</v>
      </c>
      <c r="M330">
        <v>9536</v>
      </c>
      <c r="N330" t="s">
        <v>410</v>
      </c>
    </row>
    <row r="331" spans="1:14" x14ac:dyDescent="0.3">
      <c r="A331" s="16">
        <v>45393</v>
      </c>
      <c r="B331" t="s">
        <v>449</v>
      </c>
      <c r="C331" t="s">
        <v>467</v>
      </c>
      <c r="D331" t="s">
        <v>413</v>
      </c>
      <c r="E331" t="s">
        <v>430</v>
      </c>
      <c r="F331" t="s">
        <v>433</v>
      </c>
      <c r="G331" t="s">
        <v>409</v>
      </c>
      <c r="H331">
        <v>21</v>
      </c>
      <c r="I331">
        <v>829</v>
      </c>
      <c r="J331">
        <v>950</v>
      </c>
      <c r="K331">
        <v>17409</v>
      </c>
      <c r="L331">
        <v>19950</v>
      </c>
      <c r="M331">
        <v>2541</v>
      </c>
      <c r="N331" t="s">
        <v>410</v>
      </c>
    </row>
    <row r="332" spans="1:14" x14ac:dyDescent="0.3">
      <c r="A332" s="16">
        <v>45588</v>
      </c>
      <c r="B332" t="s">
        <v>422</v>
      </c>
      <c r="C332" t="s">
        <v>555</v>
      </c>
      <c r="D332" t="s">
        <v>413</v>
      </c>
      <c r="E332" t="s">
        <v>430</v>
      </c>
      <c r="F332" t="s">
        <v>426</v>
      </c>
      <c r="G332" t="s">
        <v>409</v>
      </c>
      <c r="H332">
        <v>26</v>
      </c>
      <c r="I332">
        <v>674</v>
      </c>
      <c r="J332">
        <v>857</v>
      </c>
      <c r="K332">
        <v>17524</v>
      </c>
      <c r="L332">
        <v>22282</v>
      </c>
      <c r="M332">
        <v>4758</v>
      </c>
      <c r="N332" t="s">
        <v>410</v>
      </c>
    </row>
    <row r="333" spans="1:14" x14ac:dyDescent="0.3">
      <c r="A333" s="16">
        <v>45457</v>
      </c>
      <c r="B333" t="s">
        <v>404</v>
      </c>
      <c r="C333" t="s">
        <v>685</v>
      </c>
      <c r="D333" t="s">
        <v>406</v>
      </c>
      <c r="E333" t="s">
        <v>470</v>
      </c>
      <c r="F333" t="s">
        <v>424</v>
      </c>
      <c r="G333" t="s">
        <v>409</v>
      </c>
      <c r="H333">
        <v>17</v>
      </c>
      <c r="I333">
        <v>750</v>
      </c>
      <c r="J333">
        <v>793</v>
      </c>
      <c r="K333">
        <v>12750</v>
      </c>
      <c r="L333">
        <v>13481</v>
      </c>
      <c r="M333">
        <v>731</v>
      </c>
      <c r="N333" t="s">
        <v>410</v>
      </c>
    </row>
    <row r="334" spans="1:14" x14ac:dyDescent="0.3">
      <c r="A334" s="16">
        <v>45536</v>
      </c>
      <c r="B334" t="s">
        <v>431</v>
      </c>
      <c r="C334" t="s">
        <v>686</v>
      </c>
      <c r="D334" t="s">
        <v>418</v>
      </c>
      <c r="E334" t="s">
        <v>453</v>
      </c>
      <c r="F334" t="s">
        <v>504</v>
      </c>
      <c r="G334" t="s">
        <v>428</v>
      </c>
      <c r="H334">
        <v>68</v>
      </c>
      <c r="I334">
        <v>881</v>
      </c>
      <c r="J334">
        <v>1266</v>
      </c>
      <c r="K334">
        <v>59908</v>
      </c>
      <c r="L334">
        <v>86088</v>
      </c>
      <c r="M334">
        <v>26180</v>
      </c>
      <c r="N334" t="s">
        <v>410</v>
      </c>
    </row>
    <row r="335" spans="1:14" x14ac:dyDescent="0.3">
      <c r="A335" s="16">
        <v>45541</v>
      </c>
      <c r="B335" t="s">
        <v>431</v>
      </c>
      <c r="C335" t="s">
        <v>653</v>
      </c>
      <c r="D335" t="s">
        <v>418</v>
      </c>
      <c r="E335" t="s">
        <v>419</v>
      </c>
      <c r="F335" t="s">
        <v>424</v>
      </c>
      <c r="G335" t="s">
        <v>409</v>
      </c>
      <c r="H335">
        <v>54</v>
      </c>
      <c r="I335">
        <v>762</v>
      </c>
      <c r="J335">
        <v>1186</v>
      </c>
      <c r="K335">
        <v>41148</v>
      </c>
      <c r="L335">
        <v>64044</v>
      </c>
      <c r="M335">
        <v>22896</v>
      </c>
      <c r="N335" t="s">
        <v>410</v>
      </c>
    </row>
    <row r="336" spans="1:14" x14ac:dyDescent="0.3">
      <c r="A336" s="16">
        <v>45691</v>
      </c>
      <c r="B336" t="s">
        <v>459</v>
      </c>
      <c r="C336" t="s">
        <v>486</v>
      </c>
      <c r="D336" t="s">
        <v>413</v>
      </c>
      <c r="E336" t="s">
        <v>444</v>
      </c>
      <c r="F336" t="s">
        <v>442</v>
      </c>
      <c r="G336" t="s">
        <v>409</v>
      </c>
      <c r="H336">
        <v>30</v>
      </c>
      <c r="I336">
        <v>946</v>
      </c>
      <c r="J336">
        <v>1089</v>
      </c>
      <c r="K336">
        <v>28380</v>
      </c>
      <c r="L336">
        <v>32670</v>
      </c>
      <c r="M336">
        <v>4290</v>
      </c>
      <c r="N336" t="s">
        <v>410</v>
      </c>
    </row>
    <row r="337" spans="1:14" x14ac:dyDescent="0.3">
      <c r="A337" s="16">
        <v>45445</v>
      </c>
      <c r="B337" t="s">
        <v>404</v>
      </c>
      <c r="C337" t="s">
        <v>631</v>
      </c>
      <c r="D337" t="s">
        <v>418</v>
      </c>
      <c r="E337" t="s">
        <v>419</v>
      </c>
      <c r="F337" t="s">
        <v>426</v>
      </c>
      <c r="G337" t="s">
        <v>428</v>
      </c>
      <c r="H337">
        <v>80</v>
      </c>
      <c r="I337">
        <v>678</v>
      </c>
      <c r="J337">
        <v>1016</v>
      </c>
      <c r="K337">
        <v>54240</v>
      </c>
      <c r="L337">
        <v>81280</v>
      </c>
      <c r="M337">
        <v>27040</v>
      </c>
      <c r="N337" t="s">
        <v>410</v>
      </c>
    </row>
    <row r="338" spans="1:14" x14ac:dyDescent="0.3">
      <c r="A338" s="16">
        <v>45620</v>
      </c>
      <c r="B338" t="s">
        <v>411</v>
      </c>
      <c r="C338" t="s">
        <v>667</v>
      </c>
      <c r="D338" t="s">
        <v>413</v>
      </c>
      <c r="E338" t="s">
        <v>414</v>
      </c>
      <c r="F338" t="s">
        <v>472</v>
      </c>
      <c r="G338" t="s">
        <v>428</v>
      </c>
      <c r="H338">
        <v>24</v>
      </c>
      <c r="I338">
        <v>736</v>
      </c>
      <c r="J338">
        <v>1406</v>
      </c>
      <c r="K338">
        <v>17664</v>
      </c>
      <c r="L338">
        <v>33744</v>
      </c>
      <c r="M338">
        <v>16080</v>
      </c>
      <c r="N338" t="s">
        <v>410</v>
      </c>
    </row>
    <row r="339" spans="1:14" x14ac:dyDescent="0.3">
      <c r="A339" s="16">
        <v>45712</v>
      </c>
      <c r="B339" t="s">
        <v>459</v>
      </c>
      <c r="C339" t="s">
        <v>687</v>
      </c>
      <c r="D339" t="s">
        <v>418</v>
      </c>
      <c r="E339" t="s">
        <v>419</v>
      </c>
      <c r="F339" t="s">
        <v>439</v>
      </c>
      <c r="G339" t="s">
        <v>428</v>
      </c>
      <c r="H339">
        <v>61</v>
      </c>
      <c r="I339">
        <v>565</v>
      </c>
      <c r="J339">
        <v>1212</v>
      </c>
      <c r="K339">
        <v>34465</v>
      </c>
      <c r="L339">
        <v>73932</v>
      </c>
      <c r="M339">
        <v>39467</v>
      </c>
      <c r="N339" t="s">
        <v>410</v>
      </c>
    </row>
    <row r="340" spans="1:14" x14ac:dyDescent="0.3">
      <c r="A340" s="16">
        <v>45640</v>
      </c>
      <c r="B340" t="s">
        <v>416</v>
      </c>
      <c r="C340" t="s">
        <v>639</v>
      </c>
      <c r="D340" t="s">
        <v>418</v>
      </c>
      <c r="E340" t="s">
        <v>453</v>
      </c>
      <c r="F340" t="s">
        <v>408</v>
      </c>
      <c r="G340" t="s">
        <v>409</v>
      </c>
      <c r="H340">
        <v>59</v>
      </c>
      <c r="I340">
        <v>834</v>
      </c>
      <c r="J340">
        <v>951</v>
      </c>
      <c r="K340">
        <v>49206</v>
      </c>
      <c r="L340">
        <v>56109</v>
      </c>
      <c r="M340">
        <v>6903</v>
      </c>
      <c r="N340" t="s">
        <v>410</v>
      </c>
    </row>
    <row r="341" spans="1:14" x14ac:dyDescent="0.3">
      <c r="A341" s="16">
        <v>45627</v>
      </c>
      <c r="B341" t="s">
        <v>416</v>
      </c>
      <c r="C341" t="s">
        <v>476</v>
      </c>
      <c r="D341" t="s">
        <v>413</v>
      </c>
      <c r="E341" t="s">
        <v>444</v>
      </c>
      <c r="F341" t="s">
        <v>426</v>
      </c>
      <c r="G341" t="s">
        <v>409</v>
      </c>
      <c r="H341">
        <v>30</v>
      </c>
      <c r="I341">
        <v>857</v>
      </c>
      <c r="J341">
        <v>1455</v>
      </c>
      <c r="K341">
        <v>25710</v>
      </c>
      <c r="L341">
        <v>43650</v>
      </c>
      <c r="M341">
        <v>17940</v>
      </c>
      <c r="N341" t="s">
        <v>410</v>
      </c>
    </row>
    <row r="342" spans="1:14" x14ac:dyDescent="0.3">
      <c r="A342" s="16">
        <v>45391</v>
      </c>
      <c r="B342" t="s">
        <v>449</v>
      </c>
      <c r="C342" t="s">
        <v>633</v>
      </c>
      <c r="D342" t="s">
        <v>413</v>
      </c>
      <c r="E342" t="s">
        <v>430</v>
      </c>
      <c r="F342" t="s">
        <v>454</v>
      </c>
      <c r="G342" t="s">
        <v>409</v>
      </c>
      <c r="H342">
        <v>30</v>
      </c>
      <c r="I342">
        <v>520</v>
      </c>
      <c r="J342">
        <v>1251</v>
      </c>
      <c r="K342">
        <v>15600</v>
      </c>
      <c r="L342">
        <v>37530</v>
      </c>
      <c r="M342">
        <v>21930</v>
      </c>
      <c r="N342" t="s">
        <v>410</v>
      </c>
    </row>
    <row r="343" spans="1:14" x14ac:dyDescent="0.3">
      <c r="A343" s="16">
        <v>45487</v>
      </c>
      <c r="B343" t="s">
        <v>482</v>
      </c>
      <c r="C343" t="s">
        <v>571</v>
      </c>
      <c r="D343" t="s">
        <v>413</v>
      </c>
      <c r="E343" t="s">
        <v>444</v>
      </c>
      <c r="F343" t="s">
        <v>454</v>
      </c>
      <c r="G343" t="s">
        <v>428</v>
      </c>
      <c r="H343">
        <v>21</v>
      </c>
      <c r="I343">
        <v>915</v>
      </c>
      <c r="J343">
        <v>1442</v>
      </c>
      <c r="K343">
        <v>19215</v>
      </c>
      <c r="L343">
        <v>30282</v>
      </c>
      <c r="M343">
        <v>11067</v>
      </c>
      <c r="N343" t="s">
        <v>410</v>
      </c>
    </row>
    <row r="344" spans="1:14" x14ac:dyDescent="0.3">
      <c r="A344" s="16">
        <v>45608</v>
      </c>
      <c r="B344" t="s">
        <v>411</v>
      </c>
      <c r="C344" t="s">
        <v>455</v>
      </c>
      <c r="D344" t="s">
        <v>418</v>
      </c>
      <c r="E344" t="s">
        <v>448</v>
      </c>
      <c r="F344" t="s">
        <v>426</v>
      </c>
      <c r="G344" t="s">
        <v>409</v>
      </c>
      <c r="H344">
        <v>96</v>
      </c>
      <c r="I344">
        <v>674</v>
      </c>
      <c r="J344">
        <v>1178</v>
      </c>
      <c r="K344">
        <v>64704</v>
      </c>
      <c r="L344">
        <v>113088</v>
      </c>
      <c r="M344">
        <v>48384</v>
      </c>
      <c r="N344" t="s">
        <v>410</v>
      </c>
    </row>
    <row r="345" spans="1:14" x14ac:dyDescent="0.3">
      <c r="A345" s="16">
        <v>45537</v>
      </c>
      <c r="B345" t="s">
        <v>431</v>
      </c>
      <c r="C345" t="s">
        <v>688</v>
      </c>
      <c r="D345" t="s">
        <v>418</v>
      </c>
      <c r="E345" t="s">
        <v>419</v>
      </c>
      <c r="F345" t="s">
        <v>424</v>
      </c>
      <c r="G345" t="s">
        <v>428</v>
      </c>
      <c r="H345">
        <v>55</v>
      </c>
      <c r="I345">
        <v>639</v>
      </c>
      <c r="J345">
        <v>1311</v>
      </c>
      <c r="K345">
        <v>35145</v>
      </c>
      <c r="L345">
        <v>72105</v>
      </c>
      <c r="M345">
        <v>36960</v>
      </c>
      <c r="N345" t="s">
        <v>410</v>
      </c>
    </row>
    <row r="346" spans="1:14" x14ac:dyDescent="0.3">
      <c r="A346" s="16">
        <v>45449</v>
      </c>
      <c r="B346" t="s">
        <v>404</v>
      </c>
      <c r="C346" t="s">
        <v>671</v>
      </c>
      <c r="D346" t="s">
        <v>418</v>
      </c>
      <c r="E346" t="s">
        <v>419</v>
      </c>
      <c r="F346" t="s">
        <v>465</v>
      </c>
      <c r="G346" t="s">
        <v>409</v>
      </c>
      <c r="H346">
        <v>57</v>
      </c>
      <c r="I346">
        <v>793</v>
      </c>
      <c r="J346">
        <v>761</v>
      </c>
      <c r="K346">
        <v>45201</v>
      </c>
      <c r="L346">
        <v>43377</v>
      </c>
      <c r="M346">
        <v>-1824</v>
      </c>
      <c r="N346" t="s">
        <v>421</v>
      </c>
    </row>
    <row r="347" spans="1:14" x14ac:dyDescent="0.3">
      <c r="A347" s="16">
        <v>45416</v>
      </c>
      <c r="B347" t="s">
        <v>437</v>
      </c>
      <c r="C347" t="s">
        <v>689</v>
      </c>
      <c r="D347" t="s">
        <v>413</v>
      </c>
      <c r="E347" t="s">
        <v>414</v>
      </c>
      <c r="F347" t="s">
        <v>504</v>
      </c>
      <c r="G347" t="s">
        <v>428</v>
      </c>
      <c r="H347">
        <v>20</v>
      </c>
      <c r="I347">
        <v>908</v>
      </c>
      <c r="J347">
        <v>1130</v>
      </c>
      <c r="K347">
        <v>18160</v>
      </c>
      <c r="L347">
        <v>22600</v>
      </c>
      <c r="M347">
        <v>4440</v>
      </c>
      <c r="N347" t="s">
        <v>410</v>
      </c>
    </row>
    <row r="348" spans="1:14" x14ac:dyDescent="0.3">
      <c r="A348" s="16">
        <v>45546</v>
      </c>
      <c r="B348" t="s">
        <v>431</v>
      </c>
      <c r="C348" t="s">
        <v>457</v>
      </c>
      <c r="D348" t="s">
        <v>406</v>
      </c>
      <c r="E348" t="s">
        <v>407</v>
      </c>
      <c r="F348" t="s">
        <v>426</v>
      </c>
      <c r="G348" t="s">
        <v>428</v>
      </c>
      <c r="H348">
        <v>10</v>
      </c>
      <c r="I348">
        <v>701</v>
      </c>
      <c r="J348">
        <v>1384</v>
      </c>
      <c r="K348">
        <v>7010</v>
      </c>
      <c r="L348">
        <v>13840</v>
      </c>
      <c r="M348">
        <v>6830</v>
      </c>
      <c r="N348" t="s">
        <v>410</v>
      </c>
    </row>
    <row r="349" spans="1:14" x14ac:dyDescent="0.3">
      <c r="A349" s="16">
        <v>45478</v>
      </c>
      <c r="B349" t="s">
        <v>482</v>
      </c>
      <c r="C349" t="s">
        <v>690</v>
      </c>
      <c r="D349" t="s">
        <v>406</v>
      </c>
      <c r="E349" t="s">
        <v>407</v>
      </c>
      <c r="F349" t="s">
        <v>472</v>
      </c>
      <c r="G349" t="s">
        <v>409</v>
      </c>
      <c r="H349">
        <v>20</v>
      </c>
      <c r="I349">
        <v>960</v>
      </c>
      <c r="J349">
        <v>1170</v>
      </c>
      <c r="K349">
        <v>19200</v>
      </c>
      <c r="L349">
        <v>23400</v>
      </c>
      <c r="M349">
        <v>4200</v>
      </c>
      <c r="N349" t="s">
        <v>410</v>
      </c>
    </row>
    <row r="350" spans="1:14" x14ac:dyDescent="0.3">
      <c r="A350" s="16">
        <v>45463</v>
      </c>
      <c r="B350" t="s">
        <v>404</v>
      </c>
      <c r="C350" t="s">
        <v>691</v>
      </c>
      <c r="D350" t="s">
        <v>418</v>
      </c>
      <c r="E350" t="s">
        <v>453</v>
      </c>
      <c r="F350" t="s">
        <v>542</v>
      </c>
      <c r="G350" t="s">
        <v>428</v>
      </c>
      <c r="H350">
        <v>66</v>
      </c>
      <c r="I350">
        <v>771</v>
      </c>
      <c r="J350">
        <v>1419</v>
      </c>
      <c r="K350">
        <v>50886</v>
      </c>
      <c r="L350">
        <v>93654</v>
      </c>
      <c r="M350">
        <v>42768</v>
      </c>
      <c r="N350" t="s">
        <v>410</v>
      </c>
    </row>
    <row r="351" spans="1:14" x14ac:dyDescent="0.3">
      <c r="A351" s="16">
        <v>45695</v>
      </c>
      <c r="B351" t="s">
        <v>459</v>
      </c>
      <c r="C351" t="s">
        <v>692</v>
      </c>
      <c r="D351" t="s">
        <v>413</v>
      </c>
      <c r="E351" t="s">
        <v>444</v>
      </c>
      <c r="F351" t="s">
        <v>424</v>
      </c>
      <c r="G351" t="s">
        <v>428</v>
      </c>
      <c r="H351">
        <v>29</v>
      </c>
      <c r="I351">
        <v>598</v>
      </c>
      <c r="J351">
        <v>923</v>
      </c>
      <c r="K351">
        <v>17342</v>
      </c>
      <c r="L351">
        <v>26767</v>
      </c>
      <c r="M351">
        <v>9425</v>
      </c>
      <c r="N351" t="s">
        <v>410</v>
      </c>
    </row>
    <row r="352" spans="1:14" x14ac:dyDescent="0.3">
      <c r="A352" s="16">
        <v>45383</v>
      </c>
      <c r="B352" t="s">
        <v>449</v>
      </c>
      <c r="C352" t="s">
        <v>693</v>
      </c>
      <c r="D352" t="s">
        <v>413</v>
      </c>
      <c r="E352" t="s">
        <v>430</v>
      </c>
      <c r="F352" t="s">
        <v>542</v>
      </c>
      <c r="G352" t="s">
        <v>428</v>
      </c>
      <c r="H352">
        <v>28</v>
      </c>
      <c r="I352">
        <v>826</v>
      </c>
      <c r="J352">
        <v>929</v>
      </c>
      <c r="K352">
        <v>23128</v>
      </c>
      <c r="L352">
        <v>26012</v>
      </c>
      <c r="M352">
        <v>2884</v>
      </c>
      <c r="N352" t="s">
        <v>410</v>
      </c>
    </row>
    <row r="353" spans="1:14" x14ac:dyDescent="0.3">
      <c r="A353" s="16">
        <v>45538</v>
      </c>
      <c r="B353" t="s">
        <v>431</v>
      </c>
      <c r="C353" t="s">
        <v>642</v>
      </c>
      <c r="D353" t="s">
        <v>418</v>
      </c>
      <c r="E353" t="s">
        <v>419</v>
      </c>
      <c r="F353" t="s">
        <v>424</v>
      </c>
      <c r="G353" t="s">
        <v>428</v>
      </c>
      <c r="H353">
        <v>84</v>
      </c>
      <c r="I353">
        <v>522</v>
      </c>
      <c r="J353">
        <v>929</v>
      </c>
      <c r="K353">
        <v>43848</v>
      </c>
      <c r="L353">
        <v>78036</v>
      </c>
      <c r="M353">
        <v>34188</v>
      </c>
      <c r="N353" t="s">
        <v>410</v>
      </c>
    </row>
    <row r="354" spans="1:14" x14ac:dyDescent="0.3">
      <c r="A354" s="16">
        <v>45497</v>
      </c>
      <c r="B354" t="s">
        <v>482</v>
      </c>
      <c r="C354" t="s">
        <v>483</v>
      </c>
      <c r="D354" t="s">
        <v>418</v>
      </c>
      <c r="E354" t="s">
        <v>453</v>
      </c>
      <c r="F354" t="s">
        <v>424</v>
      </c>
      <c r="G354" t="s">
        <v>409</v>
      </c>
      <c r="H354">
        <v>85</v>
      </c>
      <c r="I354">
        <v>641</v>
      </c>
      <c r="J354">
        <v>892</v>
      </c>
      <c r="K354">
        <v>54485</v>
      </c>
      <c r="L354">
        <v>75820</v>
      </c>
      <c r="M354">
        <v>21335</v>
      </c>
      <c r="N354" t="s">
        <v>410</v>
      </c>
    </row>
    <row r="355" spans="1:14" x14ac:dyDescent="0.3">
      <c r="A355" s="16">
        <v>45459</v>
      </c>
      <c r="B355" t="s">
        <v>404</v>
      </c>
      <c r="C355" t="s">
        <v>694</v>
      </c>
      <c r="D355" t="s">
        <v>406</v>
      </c>
      <c r="E355" t="s">
        <v>470</v>
      </c>
      <c r="F355" t="s">
        <v>532</v>
      </c>
      <c r="G355" t="s">
        <v>428</v>
      </c>
      <c r="H355">
        <v>17</v>
      </c>
      <c r="I355">
        <v>787</v>
      </c>
      <c r="J355">
        <v>1108</v>
      </c>
      <c r="K355">
        <v>13379</v>
      </c>
      <c r="L355">
        <v>18836</v>
      </c>
      <c r="M355">
        <v>5457</v>
      </c>
      <c r="N355" t="s">
        <v>410</v>
      </c>
    </row>
    <row r="356" spans="1:14" x14ac:dyDescent="0.3">
      <c r="A356" s="16">
        <v>45594</v>
      </c>
      <c r="B356" t="s">
        <v>422</v>
      </c>
      <c r="C356" t="s">
        <v>635</v>
      </c>
      <c r="D356" t="s">
        <v>418</v>
      </c>
      <c r="E356" t="s">
        <v>441</v>
      </c>
      <c r="F356" t="s">
        <v>566</v>
      </c>
      <c r="G356" t="s">
        <v>409</v>
      </c>
      <c r="H356">
        <v>66</v>
      </c>
      <c r="I356">
        <v>701</v>
      </c>
      <c r="J356">
        <v>1204</v>
      </c>
      <c r="K356">
        <v>46266</v>
      </c>
      <c r="L356">
        <v>79464</v>
      </c>
      <c r="M356">
        <v>33198</v>
      </c>
      <c r="N356" t="s">
        <v>410</v>
      </c>
    </row>
    <row r="357" spans="1:14" x14ac:dyDescent="0.3">
      <c r="A357" s="16">
        <v>45605</v>
      </c>
      <c r="B357" t="s">
        <v>411</v>
      </c>
      <c r="C357" t="s">
        <v>695</v>
      </c>
      <c r="D357" t="s">
        <v>418</v>
      </c>
      <c r="E357" t="s">
        <v>448</v>
      </c>
      <c r="F357" t="s">
        <v>542</v>
      </c>
      <c r="G357" t="s">
        <v>409</v>
      </c>
      <c r="H357">
        <v>83</v>
      </c>
      <c r="I357">
        <v>569</v>
      </c>
      <c r="J357">
        <v>1232</v>
      </c>
      <c r="K357">
        <v>47227</v>
      </c>
      <c r="L357">
        <v>102256</v>
      </c>
      <c r="M357">
        <v>55029</v>
      </c>
      <c r="N357" t="s">
        <v>410</v>
      </c>
    </row>
    <row r="358" spans="1:14" x14ac:dyDescent="0.3">
      <c r="A358" s="16">
        <v>45512</v>
      </c>
      <c r="B358" t="s">
        <v>434</v>
      </c>
      <c r="C358" t="s">
        <v>568</v>
      </c>
      <c r="D358" t="s">
        <v>406</v>
      </c>
      <c r="E358" t="s">
        <v>407</v>
      </c>
      <c r="F358" t="s">
        <v>408</v>
      </c>
      <c r="G358" t="s">
        <v>409</v>
      </c>
      <c r="H358">
        <v>10</v>
      </c>
      <c r="I358">
        <v>863</v>
      </c>
      <c r="J358">
        <v>1386</v>
      </c>
      <c r="K358">
        <v>8630</v>
      </c>
      <c r="L358">
        <v>13860</v>
      </c>
      <c r="M358">
        <v>5230</v>
      </c>
      <c r="N358" t="s">
        <v>410</v>
      </c>
    </row>
    <row r="359" spans="1:14" x14ac:dyDescent="0.3">
      <c r="A359" s="16">
        <v>45473</v>
      </c>
      <c r="B359" t="s">
        <v>404</v>
      </c>
      <c r="C359" t="s">
        <v>529</v>
      </c>
      <c r="D359" t="s">
        <v>406</v>
      </c>
      <c r="E359" t="s">
        <v>407</v>
      </c>
      <c r="F359" t="s">
        <v>433</v>
      </c>
      <c r="G359" t="s">
        <v>409</v>
      </c>
      <c r="H359">
        <v>16</v>
      </c>
      <c r="I359">
        <v>911</v>
      </c>
      <c r="J359">
        <v>1299</v>
      </c>
      <c r="K359">
        <v>14576</v>
      </c>
      <c r="L359">
        <v>20784</v>
      </c>
      <c r="M359">
        <v>6208</v>
      </c>
      <c r="N359" t="s">
        <v>410</v>
      </c>
    </row>
    <row r="360" spans="1:14" x14ac:dyDescent="0.3">
      <c r="A360" s="16">
        <v>45406</v>
      </c>
      <c r="B360" t="s">
        <v>449</v>
      </c>
      <c r="C360" t="s">
        <v>654</v>
      </c>
      <c r="D360" t="s">
        <v>413</v>
      </c>
      <c r="E360" t="s">
        <v>414</v>
      </c>
      <c r="F360" t="s">
        <v>426</v>
      </c>
      <c r="G360" t="s">
        <v>428</v>
      </c>
      <c r="H360">
        <v>26</v>
      </c>
      <c r="I360">
        <v>608</v>
      </c>
      <c r="J360">
        <v>1125</v>
      </c>
      <c r="K360">
        <v>15808</v>
      </c>
      <c r="L360">
        <v>29250</v>
      </c>
      <c r="M360">
        <v>13442</v>
      </c>
      <c r="N360" t="s">
        <v>410</v>
      </c>
    </row>
    <row r="361" spans="1:14" x14ac:dyDescent="0.3">
      <c r="A361" s="16">
        <v>45547</v>
      </c>
      <c r="B361" t="s">
        <v>431</v>
      </c>
      <c r="C361" t="s">
        <v>696</v>
      </c>
      <c r="D361" t="s">
        <v>406</v>
      </c>
      <c r="E361" t="s">
        <v>407</v>
      </c>
      <c r="F361" t="s">
        <v>478</v>
      </c>
      <c r="G361" t="s">
        <v>409</v>
      </c>
      <c r="H361">
        <v>12</v>
      </c>
      <c r="I361">
        <v>707</v>
      </c>
      <c r="J361">
        <v>1203</v>
      </c>
      <c r="K361">
        <v>8484</v>
      </c>
      <c r="L361">
        <v>14436</v>
      </c>
      <c r="M361">
        <v>5952</v>
      </c>
      <c r="N361" t="s">
        <v>410</v>
      </c>
    </row>
    <row r="362" spans="1:14" x14ac:dyDescent="0.3">
      <c r="A362" s="16">
        <v>45423</v>
      </c>
      <c r="B362" t="s">
        <v>437</v>
      </c>
      <c r="C362" t="s">
        <v>697</v>
      </c>
      <c r="D362" t="s">
        <v>413</v>
      </c>
      <c r="E362" t="s">
        <v>444</v>
      </c>
      <c r="F362" t="s">
        <v>542</v>
      </c>
      <c r="G362" t="s">
        <v>409</v>
      </c>
      <c r="H362">
        <v>25</v>
      </c>
      <c r="I362">
        <v>517</v>
      </c>
      <c r="J362">
        <v>939</v>
      </c>
      <c r="K362">
        <v>12925</v>
      </c>
      <c r="L362">
        <v>23475</v>
      </c>
      <c r="M362">
        <v>10550</v>
      </c>
      <c r="N362" t="s">
        <v>410</v>
      </c>
    </row>
    <row r="363" spans="1:14" x14ac:dyDescent="0.3">
      <c r="A363" s="16">
        <v>45609</v>
      </c>
      <c r="B363" t="s">
        <v>411</v>
      </c>
      <c r="C363" t="s">
        <v>698</v>
      </c>
      <c r="D363" t="s">
        <v>413</v>
      </c>
      <c r="E363" t="s">
        <v>414</v>
      </c>
      <c r="F363" t="s">
        <v>478</v>
      </c>
      <c r="G363" t="s">
        <v>428</v>
      </c>
      <c r="H363">
        <v>25</v>
      </c>
      <c r="I363">
        <v>709</v>
      </c>
      <c r="J363">
        <v>1386</v>
      </c>
      <c r="K363">
        <v>17725</v>
      </c>
      <c r="L363">
        <v>34650</v>
      </c>
      <c r="M363">
        <v>16925</v>
      </c>
      <c r="N363" t="s">
        <v>410</v>
      </c>
    </row>
    <row r="364" spans="1:14" x14ac:dyDescent="0.3">
      <c r="A364" s="16">
        <v>45678</v>
      </c>
      <c r="B364" t="s">
        <v>462</v>
      </c>
      <c r="C364" t="s">
        <v>521</v>
      </c>
      <c r="D364" t="s">
        <v>406</v>
      </c>
      <c r="E364" t="s">
        <v>407</v>
      </c>
      <c r="F364" t="s">
        <v>510</v>
      </c>
      <c r="G364" t="s">
        <v>409</v>
      </c>
      <c r="H364">
        <v>20</v>
      </c>
      <c r="I364">
        <v>749</v>
      </c>
      <c r="J364">
        <v>753</v>
      </c>
      <c r="K364">
        <v>14980</v>
      </c>
      <c r="L364">
        <v>15060</v>
      </c>
      <c r="M364">
        <v>80</v>
      </c>
      <c r="N364" t="s">
        <v>410</v>
      </c>
    </row>
    <row r="365" spans="1:14" x14ac:dyDescent="0.3">
      <c r="A365" s="16">
        <v>45415</v>
      </c>
      <c r="B365" t="s">
        <v>437</v>
      </c>
      <c r="C365" t="s">
        <v>438</v>
      </c>
      <c r="D365" t="s">
        <v>413</v>
      </c>
      <c r="E365" t="s">
        <v>414</v>
      </c>
      <c r="F365" t="s">
        <v>439</v>
      </c>
      <c r="G365" t="s">
        <v>428</v>
      </c>
      <c r="H365">
        <v>20</v>
      </c>
      <c r="I365">
        <v>812</v>
      </c>
      <c r="J365">
        <v>1248</v>
      </c>
      <c r="K365">
        <v>16240</v>
      </c>
      <c r="L365">
        <v>24960</v>
      </c>
      <c r="M365">
        <v>8720</v>
      </c>
      <c r="N365" t="s">
        <v>410</v>
      </c>
    </row>
    <row r="366" spans="1:14" x14ac:dyDescent="0.3">
      <c r="A366" s="16">
        <v>45627</v>
      </c>
      <c r="B366" t="s">
        <v>416</v>
      </c>
      <c r="C366" t="s">
        <v>476</v>
      </c>
      <c r="D366" t="s">
        <v>413</v>
      </c>
      <c r="E366" t="s">
        <v>444</v>
      </c>
      <c r="F366" t="s">
        <v>426</v>
      </c>
      <c r="G366" t="s">
        <v>409</v>
      </c>
      <c r="H366">
        <v>28</v>
      </c>
      <c r="I366">
        <v>798</v>
      </c>
      <c r="J366">
        <v>1131</v>
      </c>
      <c r="K366">
        <v>22344</v>
      </c>
      <c r="L366">
        <v>31668</v>
      </c>
      <c r="M366">
        <v>9324</v>
      </c>
      <c r="N366" t="s">
        <v>410</v>
      </c>
    </row>
    <row r="367" spans="1:14" x14ac:dyDescent="0.3">
      <c r="A367" s="16">
        <v>45468</v>
      </c>
      <c r="B367" t="s">
        <v>404</v>
      </c>
      <c r="C367" t="s">
        <v>458</v>
      </c>
      <c r="D367" t="s">
        <v>418</v>
      </c>
      <c r="E367" t="s">
        <v>419</v>
      </c>
      <c r="F367" t="s">
        <v>436</v>
      </c>
      <c r="G367" t="s">
        <v>428</v>
      </c>
      <c r="H367">
        <v>76</v>
      </c>
      <c r="I367">
        <v>602</v>
      </c>
      <c r="J367">
        <v>1356</v>
      </c>
      <c r="K367">
        <v>45752</v>
      </c>
      <c r="L367">
        <v>103056</v>
      </c>
      <c r="M367">
        <v>57304</v>
      </c>
      <c r="N367" t="s">
        <v>410</v>
      </c>
    </row>
    <row r="368" spans="1:14" x14ac:dyDescent="0.3">
      <c r="A368" s="16">
        <v>45533</v>
      </c>
      <c r="B368" t="s">
        <v>434</v>
      </c>
      <c r="C368" t="s">
        <v>699</v>
      </c>
      <c r="D368" t="s">
        <v>418</v>
      </c>
      <c r="E368" t="s">
        <v>453</v>
      </c>
      <c r="F368" t="s">
        <v>442</v>
      </c>
      <c r="G368" t="s">
        <v>409</v>
      </c>
      <c r="H368">
        <v>73</v>
      </c>
      <c r="I368">
        <v>783</v>
      </c>
      <c r="J368">
        <v>903</v>
      </c>
      <c r="K368">
        <v>57159</v>
      </c>
      <c r="L368">
        <v>65919</v>
      </c>
      <c r="M368">
        <v>8760</v>
      </c>
      <c r="N368" t="s">
        <v>410</v>
      </c>
    </row>
    <row r="369" spans="1:14" x14ac:dyDescent="0.3">
      <c r="A369" s="16">
        <v>45625</v>
      </c>
      <c r="B369" t="s">
        <v>411</v>
      </c>
      <c r="C369" t="s">
        <v>651</v>
      </c>
      <c r="D369" t="s">
        <v>413</v>
      </c>
      <c r="E369" t="s">
        <v>444</v>
      </c>
      <c r="F369" t="s">
        <v>433</v>
      </c>
      <c r="G369" t="s">
        <v>409</v>
      </c>
      <c r="H369">
        <v>26</v>
      </c>
      <c r="I369">
        <v>520</v>
      </c>
      <c r="J369">
        <v>1261</v>
      </c>
      <c r="K369">
        <v>13520</v>
      </c>
      <c r="L369">
        <v>32786</v>
      </c>
      <c r="M369">
        <v>19266</v>
      </c>
      <c r="N369" t="s">
        <v>410</v>
      </c>
    </row>
    <row r="370" spans="1:14" x14ac:dyDescent="0.3">
      <c r="A370" s="16">
        <v>45448</v>
      </c>
      <c r="B370" t="s">
        <v>404</v>
      </c>
      <c r="C370" t="s">
        <v>700</v>
      </c>
      <c r="D370" t="s">
        <v>418</v>
      </c>
      <c r="E370" t="s">
        <v>419</v>
      </c>
      <c r="F370" t="s">
        <v>433</v>
      </c>
      <c r="G370" t="s">
        <v>428</v>
      </c>
      <c r="H370">
        <v>51</v>
      </c>
      <c r="I370">
        <v>744</v>
      </c>
      <c r="J370">
        <v>782</v>
      </c>
      <c r="K370">
        <v>37944</v>
      </c>
      <c r="L370">
        <v>39882</v>
      </c>
      <c r="M370">
        <v>1938</v>
      </c>
      <c r="N370" t="s">
        <v>410</v>
      </c>
    </row>
    <row r="371" spans="1:14" x14ac:dyDescent="0.3">
      <c r="A371" s="16">
        <v>45602</v>
      </c>
      <c r="B371" t="s">
        <v>411</v>
      </c>
      <c r="C371" t="s">
        <v>701</v>
      </c>
      <c r="D371" t="s">
        <v>418</v>
      </c>
      <c r="E371" t="s">
        <v>448</v>
      </c>
      <c r="F371" t="s">
        <v>465</v>
      </c>
      <c r="G371" t="s">
        <v>409</v>
      </c>
      <c r="H371">
        <v>74</v>
      </c>
      <c r="I371">
        <v>636</v>
      </c>
      <c r="J371">
        <v>955</v>
      </c>
      <c r="K371">
        <v>47064</v>
      </c>
      <c r="L371">
        <v>70670</v>
      </c>
      <c r="M371">
        <v>23606</v>
      </c>
      <c r="N371" t="s">
        <v>410</v>
      </c>
    </row>
    <row r="372" spans="1:14" x14ac:dyDescent="0.3">
      <c r="A372" s="16">
        <v>45495</v>
      </c>
      <c r="B372" t="s">
        <v>482</v>
      </c>
      <c r="C372" t="s">
        <v>515</v>
      </c>
      <c r="D372" t="s">
        <v>418</v>
      </c>
      <c r="E372" t="s">
        <v>453</v>
      </c>
      <c r="F372" t="s">
        <v>439</v>
      </c>
      <c r="G372" t="s">
        <v>409</v>
      </c>
      <c r="H372">
        <v>58</v>
      </c>
      <c r="I372">
        <v>898</v>
      </c>
      <c r="J372">
        <v>1068</v>
      </c>
      <c r="K372">
        <v>52084</v>
      </c>
      <c r="L372">
        <v>61944</v>
      </c>
      <c r="M372">
        <v>9860</v>
      </c>
      <c r="N372" t="s">
        <v>410</v>
      </c>
    </row>
    <row r="373" spans="1:14" x14ac:dyDescent="0.3">
      <c r="A373" s="16">
        <v>45589</v>
      </c>
      <c r="B373" t="s">
        <v>422</v>
      </c>
      <c r="C373" t="s">
        <v>702</v>
      </c>
      <c r="D373" t="s">
        <v>413</v>
      </c>
      <c r="E373" t="s">
        <v>494</v>
      </c>
      <c r="F373" t="s">
        <v>454</v>
      </c>
      <c r="G373" t="s">
        <v>409</v>
      </c>
      <c r="H373">
        <v>21</v>
      </c>
      <c r="I373">
        <v>541</v>
      </c>
      <c r="J373">
        <v>1339</v>
      </c>
      <c r="K373">
        <v>11361</v>
      </c>
      <c r="L373">
        <v>28119</v>
      </c>
      <c r="M373">
        <v>16758</v>
      </c>
      <c r="N373" t="s">
        <v>410</v>
      </c>
    </row>
    <row r="374" spans="1:14" x14ac:dyDescent="0.3">
      <c r="A374" s="16">
        <v>45451</v>
      </c>
      <c r="B374" t="s">
        <v>404</v>
      </c>
      <c r="C374" t="s">
        <v>652</v>
      </c>
      <c r="D374" t="s">
        <v>418</v>
      </c>
      <c r="E374" t="s">
        <v>419</v>
      </c>
      <c r="F374" t="s">
        <v>451</v>
      </c>
      <c r="G374" t="s">
        <v>409</v>
      </c>
      <c r="H374">
        <v>59</v>
      </c>
      <c r="I374">
        <v>862</v>
      </c>
      <c r="J374">
        <v>1233</v>
      </c>
      <c r="K374">
        <v>50858</v>
      </c>
      <c r="L374">
        <v>72747</v>
      </c>
      <c r="M374">
        <v>21889</v>
      </c>
      <c r="N374" t="s">
        <v>410</v>
      </c>
    </row>
    <row r="375" spans="1:14" x14ac:dyDescent="0.3">
      <c r="A375" s="16">
        <v>45502</v>
      </c>
      <c r="B375" t="s">
        <v>482</v>
      </c>
      <c r="C375" t="s">
        <v>643</v>
      </c>
      <c r="D375" t="s">
        <v>418</v>
      </c>
      <c r="E375" t="s">
        <v>453</v>
      </c>
      <c r="F375" t="s">
        <v>478</v>
      </c>
      <c r="G375" t="s">
        <v>409</v>
      </c>
      <c r="H375">
        <v>74</v>
      </c>
      <c r="I375">
        <v>691</v>
      </c>
      <c r="J375">
        <v>871</v>
      </c>
      <c r="K375">
        <v>51134</v>
      </c>
      <c r="L375">
        <v>64454</v>
      </c>
      <c r="M375">
        <v>13320</v>
      </c>
      <c r="N375" t="s">
        <v>410</v>
      </c>
    </row>
    <row r="376" spans="1:14" x14ac:dyDescent="0.3">
      <c r="A376" s="16">
        <v>45701</v>
      </c>
      <c r="B376" t="s">
        <v>459</v>
      </c>
      <c r="C376" t="s">
        <v>703</v>
      </c>
      <c r="D376" t="s">
        <v>418</v>
      </c>
      <c r="E376" t="s">
        <v>453</v>
      </c>
      <c r="F376" t="s">
        <v>433</v>
      </c>
      <c r="G376" t="s">
        <v>409</v>
      </c>
      <c r="H376">
        <v>87</v>
      </c>
      <c r="I376">
        <v>714</v>
      </c>
      <c r="J376">
        <v>926</v>
      </c>
      <c r="K376">
        <v>62118</v>
      </c>
      <c r="L376">
        <v>80562</v>
      </c>
      <c r="M376">
        <v>18444</v>
      </c>
      <c r="N376" t="s">
        <v>410</v>
      </c>
    </row>
    <row r="377" spans="1:14" x14ac:dyDescent="0.3">
      <c r="A377" s="16">
        <v>45710</v>
      </c>
      <c r="B377" t="s">
        <v>459</v>
      </c>
      <c r="C377" t="s">
        <v>575</v>
      </c>
      <c r="D377" t="s">
        <v>418</v>
      </c>
      <c r="E377" t="s">
        <v>453</v>
      </c>
      <c r="F377" t="s">
        <v>442</v>
      </c>
      <c r="G377" t="s">
        <v>428</v>
      </c>
      <c r="H377">
        <v>61</v>
      </c>
      <c r="I377">
        <v>545</v>
      </c>
      <c r="J377">
        <v>915</v>
      </c>
      <c r="K377">
        <v>33245</v>
      </c>
      <c r="L377">
        <v>55815</v>
      </c>
      <c r="M377">
        <v>22570</v>
      </c>
      <c r="N377" t="s">
        <v>410</v>
      </c>
    </row>
    <row r="378" spans="1:14" x14ac:dyDescent="0.3">
      <c r="A378" s="16">
        <v>45548</v>
      </c>
      <c r="B378" t="s">
        <v>431</v>
      </c>
      <c r="C378" t="s">
        <v>704</v>
      </c>
      <c r="D378" t="s">
        <v>406</v>
      </c>
      <c r="E378" t="s">
        <v>407</v>
      </c>
      <c r="F378" t="s">
        <v>436</v>
      </c>
      <c r="G378" t="s">
        <v>409</v>
      </c>
      <c r="H378">
        <v>13</v>
      </c>
      <c r="I378">
        <v>515</v>
      </c>
      <c r="J378">
        <v>1095</v>
      </c>
      <c r="K378">
        <v>6695</v>
      </c>
      <c r="L378">
        <v>14235</v>
      </c>
      <c r="M378">
        <v>7540</v>
      </c>
      <c r="N378" t="s">
        <v>410</v>
      </c>
    </row>
    <row r="379" spans="1:14" x14ac:dyDescent="0.3">
      <c r="A379" s="16">
        <v>45478</v>
      </c>
      <c r="B379" t="s">
        <v>482</v>
      </c>
      <c r="C379" t="s">
        <v>690</v>
      </c>
      <c r="D379" t="s">
        <v>406</v>
      </c>
      <c r="E379" t="s">
        <v>407</v>
      </c>
      <c r="F379" t="s">
        <v>472</v>
      </c>
      <c r="G379" t="s">
        <v>409</v>
      </c>
      <c r="H379">
        <v>12</v>
      </c>
      <c r="I379">
        <v>913</v>
      </c>
      <c r="J379">
        <v>1170</v>
      </c>
      <c r="K379">
        <v>10956</v>
      </c>
      <c r="L379">
        <v>14040</v>
      </c>
      <c r="M379">
        <v>3084</v>
      </c>
      <c r="N379" t="s">
        <v>410</v>
      </c>
    </row>
    <row r="380" spans="1:14" x14ac:dyDescent="0.3">
      <c r="A380" s="16">
        <v>45586</v>
      </c>
      <c r="B380" t="s">
        <v>422</v>
      </c>
      <c r="C380" t="s">
        <v>588</v>
      </c>
      <c r="D380" t="s">
        <v>406</v>
      </c>
      <c r="E380" t="s">
        <v>407</v>
      </c>
      <c r="F380" t="s">
        <v>433</v>
      </c>
      <c r="G380" t="s">
        <v>409</v>
      </c>
      <c r="H380">
        <v>14</v>
      </c>
      <c r="I380">
        <v>913</v>
      </c>
      <c r="J380">
        <v>1155</v>
      </c>
      <c r="K380">
        <v>12782</v>
      </c>
      <c r="L380">
        <v>16170</v>
      </c>
      <c r="M380">
        <v>3388</v>
      </c>
      <c r="N380" t="s">
        <v>410</v>
      </c>
    </row>
    <row r="381" spans="1:14" x14ac:dyDescent="0.3">
      <c r="A381" s="16">
        <v>45606</v>
      </c>
      <c r="B381" t="s">
        <v>411</v>
      </c>
      <c r="C381" t="s">
        <v>579</v>
      </c>
      <c r="D381" t="s">
        <v>418</v>
      </c>
      <c r="E381" t="s">
        <v>448</v>
      </c>
      <c r="F381" t="s">
        <v>451</v>
      </c>
      <c r="G381" t="s">
        <v>409</v>
      </c>
      <c r="H381">
        <v>86</v>
      </c>
      <c r="I381">
        <v>593</v>
      </c>
      <c r="J381">
        <v>1425</v>
      </c>
      <c r="K381">
        <v>50998</v>
      </c>
      <c r="L381">
        <v>122550</v>
      </c>
      <c r="M381">
        <v>71552</v>
      </c>
      <c r="N381" t="s">
        <v>410</v>
      </c>
    </row>
    <row r="382" spans="1:14" x14ac:dyDescent="0.3">
      <c r="A382" s="16">
        <v>45392</v>
      </c>
      <c r="B382" t="s">
        <v>449</v>
      </c>
      <c r="C382" t="s">
        <v>629</v>
      </c>
      <c r="D382" t="s">
        <v>413</v>
      </c>
      <c r="E382" t="s">
        <v>430</v>
      </c>
      <c r="F382" t="s">
        <v>408</v>
      </c>
      <c r="G382" t="s">
        <v>409</v>
      </c>
      <c r="H382">
        <v>28</v>
      </c>
      <c r="I382">
        <v>937</v>
      </c>
      <c r="J382">
        <v>872</v>
      </c>
      <c r="K382">
        <v>26236</v>
      </c>
      <c r="L382">
        <v>24416</v>
      </c>
      <c r="M382">
        <v>-1820</v>
      </c>
      <c r="N382" t="s">
        <v>421</v>
      </c>
    </row>
    <row r="383" spans="1:14" x14ac:dyDescent="0.3">
      <c r="A383" s="16">
        <v>45394</v>
      </c>
      <c r="B383" t="s">
        <v>449</v>
      </c>
      <c r="C383" t="s">
        <v>705</v>
      </c>
      <c r="D383" t="s">
        <v>413</v>
      </c>
      <c r="E383" t="s">
        <v>430</v>
      </c>
      <c r="F383" t="s">
        <v>433</v>
      </c>
      <c r="G383" t="s">
        <v>409</v>
      </c>
      <c r="H383">
        <v>28</v>
      </c>
      <c r="I383">
        <v>918</v>
      </c>
      <c r="J383">
        <v>808</v>
      </c>
      <c r="K383">
        <v>25704</v>
      </c>
      <c r="L383">
        <v>22624</v>
      </c>
      <c r="M383">
        <v>-3080</v>
      </c>
      <c r="N383" t="s">
        <v>421</v>
      </c>
    </row>
    <row r="384" spans="1:14" x14ac:dyDescent="0.3">
      <c r="A384" s="16">
        <v>45469</v>
      </c>
      <c r="B384" t="s">
        <v>404</v>
      </c>
      <c r="C384" t="s">
        <v>706</v>
      </c>
      <c r="D384" t="s">
        <v>418</v>
      </c>
      <c r="E384" t="s">
        <v>419</v>
      </c>
      <c r="F384" t="s">
        <v>408</v>
      </c>
      <c r="G384" t="s">
        <v>428</v>
      </c>
      <c r="H384">
        <v>55</v>
      </c>
      <c r="I384">
        <v>928</v>
      </c>
      <c r="J384">
        <v>1264</v>
      </c>
      <c r="K384">
        <v>51040</v>
      </c>
      <c r="L384">
        <v>69520</v>
      </c>
      <c r="M384">
        <v>18480</v>
      </c>
      <c r="N384" t="s">
        <v>410</v>
      </c>
    </row>
    <row r="385" spans="1:14" x14ac:dyDescent="0.3">
      <c r="A385" s="16">
        <v>45629</v>
      </c>
      <c r="B385" t="s">
        <v>416</v>
      </c>
      <c r="C385" t="s">
        <v>607</v>
      </c>
      <c r="D385" t="s">
        <v>413</v>
      </c>
      <c r="E385" t="s">
        <v>444</v>
      </c>
      <c r="F385" t="s">
        <v>454</v>
      </c>
      <c r="G385" t="s">
        <v>428</v>
      </c>
      <c r="H385">
        <v>26</v>
      </c>
      <c r="I385">
        <v>870</v>
      </c>
      <c r="J385">
        <v>1123</v>
      </c>
      <c r="K385">
        <v>22620</v>
      </c>
      <c r="L385">
        <v>29198</v>
      </c>
      <c r="M385">
        <v>6578</v>
      </c>
      <c r="N385" t="s">
        <v>410</v>
      </c>
    </row>
    <row r="386" spans="1:14" x14ac:dyDescent="0.3">
      <c r="A386" s="16">
        <v>45397</v>
      </c>
      <c r="B386" t="s">
        <v>449</v>
      </c>
      <c r="C386" t="s">
        <v>707</v>
      </c>
      <c r="D386" t="s">
        <v>418</v>
      </c>
      <c r="E386" t="s">
        <v>448</v>
      </c>
      <c r="F386" t="s">
        <v>451</v>
      </c>
      <c r="G386" t="s">
        <v>409</v>
      </c>
      <c r="H386">
        <v>74</v>
      </c>
      <c r="I386">
        <v>859</v>
      </c>
      <c r="J386">
        <v>1315</v>
      </c>
      <c r="K386">
        <v>63566</v>
      </c>
      <c r="L386">
        <v>97310</v>
      </c>
      <c r="M386">
        <v>33744</v>
      </c>
      <c r="N386" t="s">
        <v>410</v>
      </c>
    </row>
    <row r="387" spans="1:14" x14ac:dyDescent="0.3">
      <c r="A387" s="16">
        <v>45566</v>
      </c>
      <c r="B387" t="s">
        <v>422</v>
      </c>
      <c r="C387" t="s">
        <v>708</v>
      </c>
      <c r="D387" t="s">
        <v>406</v>
      </c>
      <c r="E387" t="s">
        <v>470</v>
      </c>
      <c r="F387" t="s">
        <v>426</v>
      </c>
      <c r="G387" t="s">
        <v>409</v>
      </c>
      <c r="H387">
        <v>17</v>
      </c>
      <c r="I387">
        <v>932</v>
      </c>
      <c r="J387">
        <v>808</v>
      </c>
      <c r="K387">
        <v>15844</v>
      </c>
      <c r="L387">
        <v>13736</v>
      </c>
      <c r="M387">
        <v>-2108</v>
      </c>
      <c r="N387" t="s">
        <v>421</v>
      </c>
    </row>
    <row r="388" spans="1:14" x14ac:dyDescent="0.3">
      <c r="A388" s="16">
        <v>45565</v>
      </c>
      <c r="B388" t="s">
        <v>431</v>
      </c>
      <c r="C388" t="s">
        <v>546</v>
      </c>
      <c r="D388" t="s">
        <v>406</v>
      </c>
      <c r="E388" t="s">
        <v>470</v>
      </c>
      <c r="F388" t="s">
        <v>426</v>
      </c>
      <c r="G388" t="s">
        <v>409</v>
      </c>
      <c r="H388">
        <v>15</v>
      </c>
      <c r="I388">
        <v>825</v>
      </c>
      <c r="J388">
        <v>947</v>
      </c>
      <c r="K388">
        <v>12375</v>
      </c>
      <c r="L388">
        <v>14205</v>
      </c>
      <c r="M388">
        <v>1830</v>
      </c>
      <c r="N388" t="s">
        <v>410</v>
      </c>
    </row>
    <row r="389" spans="1:14" x14ac:dyDescent="0.3">
      <c r="A389" s="16">
        <v>45499</v>
      </c>
      <c r="B389" t="s">
        <v>482</v>
      </c>
      <c r="C389" t="s">
        <v>709</v>
      </c>
      <c r="D389" t="s">
        <v>418</v>
      </c>
      <c r="E389" t="s">
        <v>453</v>
      </c>
      <c r="F389" t="s">
        <v>532</v>
      </c>
      <c r="G389" t="s">
        <v>409</v>
      </c>
      <c r="H389">
        <v>98</v>
      </c>
      <c r="I389">
        <v>579</v>
      </c>
      <c r="J389">
        <v>1046</v>
      </c>
      <c r="K389">
        <v>56742</v>
      </c>
      <c r="L389">
        <v>102508</v>
      </c>
      <c r="M389">
        <v>45766</v>
      </c>
      <c r="N389" t="s">
        <v>410</v>
      </c>
    </row>
    <row r="390" spans="1:14" x14ac:dyDescent="0.3">
      <c r="A390" s="16">
        <v>45508</v>
      </c>
      <c r="B390" t="s">
        <v>434</v>
      </c>
      <c r="C390" t="s">
        <v>435</v>
      </c>
      <c r="D390" t="s">
        <v>418</v>
      </c>
      <c r="E390" t="s">
        <v>419</v>
      </c>
      <c r="F390" t="s">
        <v>436</v>
      </c>
      <c r="G390" t="s">
        <v>409</v>
      </c>
      <c r="H390">
        <v>85</v>
      </c>
      <c r="I390">
        <v>853</v>
      </c>
      <c r="J390">
        <v>1453</v>
      </c>
      <c r="K390">
        <v>72505</v>
      </c>
      <c r="L390">
        <v>123505</v>
      </c>
      <c r="M390">
        <v>51000</v>
      </c>
      <c r="N390" t="s">
        <v>410</v>
      </c>
    </row>
    <row r="391" spans="1:14" x14ac:dyDescent="0.3">
      <c r="A391" s="16">
        <v>45400</v>
      </c>
      <c r="B391" t="s">
        <v>449</v>
      </c>
      <c r="C391" t="s">
        <v>506</v>
      </c>
      <c r="D391" t="s">
        <v>418</v>
      </c>
      <c r="E391" t="s">
        <v>448</v>
      </c>
      <c r="F391" t="s">
        <v>415</v>
      </c>
      <c r="G391" t="s">
        <v>409</v>
      </c>
      <c r="H391">
        <v>83</v>
      </c>
      <c r="I391">
        <v>917</v>
      </c>
      <c r="J391">
        <v>989</v>
      </c>
      <c r="K391">
        <v>76111</v>
      </c>
      <c r="L391">
        <v>82087</v>
      </c>
      <c r="M391">
        <v>5976</v>
      </c>
      <c r="N391" t="s">
        <v>410</v>
      </c>
    </row>
    <row r="392" spans="1:14" x14ac:dyDescent="0.3">
      <c r="A392" s="16">
        <v>45697</v>
      </c>
      <c r="B392" t="s">
        <v>459</v>
      </c>
      <c r="C392" t="s">
        <v>710</v>
      </c>
      <c r="D392" t="s">
        <v>413</v>
      </c>
      <c r="E392" t="s">
        <v>444</v>
      </c>
      <c r="F392" t="s">
        <v>532</v>
      </c>
      <c r="G392" t="s">
        <v>409</v>
      </c>
      <c r="H392">
        <v>25</v>
      </c>
      <c r="I392">
        <v>541</v>
      </c>
      <c r="J392">
        <v>1090</v>
      </c>
      <c r="K392">
        <v>13525</v>
      </c>
      <c r="L392">
        <v>27250</v>
      </c>
      <c r="M392">
        <v>13725</v>
      </c>
      <c r="N392" t="s">
        <v>410</v>
      </c>
    </row>
    <row r="393" spans="1:14" x14ac:dyDescent="0.3">
      <c r="A393" s="16">
        <v>45629</v>
      </c>
      <c r="B393" t="s">
        <v>416</v>
      </c>
      <c r="C393" t="s">
        <v>607</v>
      </c>
      <c r="D393" t="s">
        <v>413</v>
      </c>
      <c r="E393" t="s">
        <v>444</v>
      </c>
      <c r="F393" t="s">
        <v>454</v>
      </c>
      <c r="G393" t="s">
        <v>428</v>
      </c>
      <c r="H393">
        <v>28</v>
      </c>
      <c r="I393">
        <v>507</v>
      </c>
      <c r="J393">
        <v>1379</v>
      </c>
      <c r="K393">
        <v>14196</v>
      </c>
      <c r="L393">
        <v>38612</v>
      </c>
      <c r="M393">
        <v>24416</v>
      </c>
      <c r="N393" t="s">
        <v>410</v>
      </c>
    </row>
    <row r="394" spans="1:14" x14ac:dyDescent="0.3">
      <c r="A394" s="16">
        <v>45686</v>
      </c>
      <c r="B394" t="s">
        <v>462</v>
      </c>
      <c r="C394" t="s">
        <v>611</v>
      </c>
      <c r="D394" t="s">
        <v>406</v>
      </c>
      <c r="E394" t="s">
        <v>407</v>
      </c>
      <c r="F394" t="s">
        <v>433</v>
      </c>
      <c r="G394" t="s">
        <v>428</v>
      </c>
      <c r="H394">
        <v>13</v>
      </c>
      <c r="I394">
        <v>528</v>
      </c>
      <c r="J394">
        <v>1175</v>
      </c>
      <c r="K394">
        <v>6864</v>
      </c>
      <c r="L394">
        <v>15275</v>
      </c>
      <c r="M394">
        <v>8411</v>
      </c>
      <c r="N394" t="s">
        <v>410</v>
      </c>
    </row>
    <row r="395" spans="1:14" x14ac:dyDescent="0.3">
      <c r="A395" s="16">
        <v>45610</v>
      </c>
      <c r="B395" t="s">
        <v>411</v>
      </c>
      <c r="C395" t="s">
        <v>665</v>
      </c>
      <c r="D395" t="s">
        <v>413</v>
      </c>
      <c r="E395" t="s">
        <v>414</v>
      </c>
      <c r="F395" t="s">
        <v>436</v>
      </c>
      <c r="G395" t="s">
        <v>428</v>
      </c>
      <c r="H395">
        <v>20</v>
      </c>
      <c r="I395">
        <v>773</v>
      </c>
      <c r="J395">
        <v>823</v>
      </c>
      <c r="K395">
        <v>15460</v>
      </c>
      <c r="L395">
        <v>16460</v>
      </c>
      <c r="M395">
        <v>1000</v>
      </c>
      <c r="N395" t="s">
        <v>410</v>
      </c>
    </row>
    <row r="396" spans="1:14" x14ac:dyDescent="0.3">
      <c r="A396" s="16">
        <v>45604</v>
      </c>
      <c r="B396" t="s">
        <v>411</v>
      </c>
      <c r="C396" t="s">
        <v>711</v>
      </c>
      <c r="D396" t="s">
        <v>418</v>
      </c>
      <c r="E396" t="s">
        <v>448</v>
      </c>
      <c r="F396" t="s">
        <v>478</v>
      </c>
      <c r="G396" t="s">
        <v>409</v>
      </c>
      <c r="H396">
        <v>55</v>
      </c>
      <c r="I396">
        <v>599</v>
      </c>
      <c r="J396">
        <v>1482</v>
      </c>
      <c r="K396">
        <v>32945</v>
      </c>
      <c r="L396">
        <v>81510</v>
      </c>
      <c r="M396">
        <v>48565</v>
      </c>
      <c r="N396" t="s">
        <v>410</v>
      </c>
    </row>
    <row r="397" spans="1:14" x14ac:dyDescent="0.3">
      <c r="A397" s="16">
        <v>45460</v>
      </c>
      <c r="B397" t="s">
        <v>404</v>
      </c>
      <c r="C397" t="s">
        <v>712</v>
      </c>
      <c r="D397" t="s">
        <v>406</v>
      </c>
      <c r="E397" t="s">
        <v>470</v>
      </c>
      <c r="F397" t="s">
        <v>465</v>
      </c>
      <c r="G397" t="s">
        <v>428</v>
      </c>
      <c r="H397">
        <v>20</v>
      </c>
      <c r="I397">
        <v>941</v>
      </c>
      <c r="J397">
        <v>1053</v>
      </c>
      <c r="K397">
        <v>18820</v>
      </c>
      <c r="L397">
        <v>21060</v>
      </c>
      <c r="M397">
        <v>2240</v>
      </c>
      <c r="N397" t="s">
        <v>410</v>
      </c>
    </row>
    <row r="398" spans="1:14" x14ac:dyDescent="0.3">
      <c r="A398" s="16">
        <v>45681</v>
      </c>
      <c r="B398" t="s">
        <v>462</v>
      </c>
      <c r="C398" t="s">
        <v>666</v>
      </c>
      <c r="D398" t="s">
        <v>406</v>
      </c>
      <c r="E398" t="s">
        <v>407</v>
      </c>
      <c r="F398" t="s">
        <v>424</v>
      </c>
      <c r="G398" t="s">
        <v>409</v>
      </c>
      <c r="H398">
        <v>17</v>
      </c>
      <c r="I398">
        <v>626</v>
      </c>
      <c r="J398">
        <v>1462</v>
      </c>
      <c r="K398">
        <v>10642</v>
      </c>
      <c r="L398">
        <v>24854</v>
      </c>
      <c r="M398">
        <v>14212</v>
      </c>
      <c r="N398" t="s">
        <v>410</v>
      </c>
    </row>
    <row r="399" spans="1:14" x14ac:dyDescent="0.3">
      <c r="A399" s="16">
        <v>45518</v>
      </c>
      <c r="B399" t="s">
        <v>434</v>
      </c>
      <c r="C399" t="s">
        <v>604</v>
      </c>
      <c r="D399" t="s">
        <v>413</v>
      </c>
      <c r="E399" t="s">
        <v>444</v>
      </c>
      <c r="F399" t="s">
        <v>472</v>
      </c>
      <c r="G399" t="s">
        <v>428</v>
      </c>
      <c r="H399">
        <v>27</v>
      </c>
      <c r="I399">
        <v>611</v>
      </c>
      <c r="J399">
        <v>1309</v>
      </c>
      <c r="K399">
        <v>16497</v>
      </c>
      <c r="L399">
        <v>35343</v>
      </c>
      <c r="M399">
        <v>18846</v>
      </c>
      <c r="N399" t="s">
        <v>410</v>
      </c>
    </row>
    <row r="400" spans="1:14" x14ac:dyDescent="0.3">
      <c r="A400" s="16">
        <v>45395</v>
      </c>
      <c r="B400" t="s">
        <v>449</v>
      </c>
      <c r="C400" t="s">
        <v>556</v>
      </c>
      <c r="D400" t="s">
        <v>413</v>
      </c>
      <c r="E400" t="s">
        <v>430</v>
      </c>
      <c r="F400" t="s">
        <v>451</v>
      </c>
      <c r="G400" t="s">
        <v>409</v>
      </c>
      <c r="H400">
        <v>29</v>
      </c>
      <c r="I400">
        <v>951</v>
      </c>
      <c r="J400">
        <v>1268</v>
      </c>
      <c r="K400">
        <v>27579</v>
      </c>
      <c r="L400">
        <v>36772</v>
      </c>
      <c r="M400">
        <v>9193</v>
      </c>
      <c r="N400" t="s">
        <v>410</v>
      </c>
    </row>
    <row r="401" spans="1:14" x14ac:dyDescent="0.3">
      <c r="A401" s="16">
        <v>45612</v>
      </c>
      <c r="B401" t="s">
        <v>411</v>
      </c>
      <c r="C401" t="s">
        <v>590</v>
      </c>
      <c r="D401" t="s">
        <v>413</v>
      </c>
      <c r="E401" t="s">
        <v>414</v>
      </c>
      <c r="F401" t="s">
        <v>451</v>
      </c>
      <c r="G401" t="s">
        <v>428</v>
      </c>
      <c r="H401">
        <v>23</v>
      </c>
      <c r="I401">
        <v>893</v>
      </c>
      <c r="J401">
        <v>761</v>
      </c>
      <c r="K401">
        <v>20539</v>
      </c>
      <c r="L401">
        <v>17503</v>
      </c>
      <c r="M401">
        <v>-3036</v>
      </c>
      <c r="N401" t="s">
        <v>421</v>
      </c>
    </row>
    <row r="402" spans="1:14" x14ac:dyDescent="0.3">
      <c r="A402" s="16">
        <v>45437</v>
      </c>
      <c r="B402" t="s">
        <v>437</v>
      </c>
      <c r="C402" t="s">
        <v>713</v>
      </c>
      <c r="D402" t="s">
        <v>418</v>
      </c>
      <c r="E402" t="s">
        <v>453</v>
      </c>
      <c r="F402" t="s">
        <v>451</v>
      </c>
      <c r="G402" t="s">
        <v>409</v>
      </c>
      <c r="H402">
        <v>80</v>
      </c>
      <c r="I402">
        <v>765</v>
      </c>
      <c r="J402">
        <v>924</v>
      </c>
      <c r="K402">
        <v>61200</v>
      </c>
      <c r="L402">
        <v>73920</v>
      </c>
      <c r="M402">
        <v>12720</v>
      </c>
      <c r="N402" t="s">
        <v>410</v>
      </c>
    </row>
    <row r="403" spans="1:14" x14ac:dyDescent="0.3">
      <c r="A403" s="16">
        <v>45469</v>
      </c>
      <c r="B403" t="s">
        <v>404</v>
      </c>
      <c r="C403" t="s">
        <v>706</v>
      </c>
      <c r="D403" t="s">
        <v>418</v>
      </c>
      <c r="E403" t="s">
        <v>419</v>
      </c>
      <c r="F403" t="s">
        <v>408</v>
      </c>
      <c r="G403" t="s">
        <v>428</v>
      </c>
      <c r="H403">
        <v>52</v>
      </c>
      <c r="I403">
        <v>556</v>
      </c>
      <c r="J403">
        <v>1402</v>
      </c>
      <c r="K403">
        <v>28912</v>
      </c>
      <c r="L403">
        <v>72904</v>
      </c>
      <c r="M403">
        <v>43992</v>
      </c>
      <c r="N403" t="s">
        <v>410</v>
      </c>
    </row>
    <row r="404" spans="1:14" x14ac:dyDescent="0.3">
      <c r="A404" s="16">
        <v>45568</v>
      </c>
      <c r="B404" t="s">
        <v>422</v>
      </c>
      <c r="C404" t="s">
        <v>714</v>
      </c>
      <c r="D404" t="s">
        <v>406</v>
      </c>
      <c r="E404" t="s">
        <v>470</v>
      </c>
      <c r="F404" t="s">
        <v>433</v>
      </c>
      <c r="G404" t="s">
        <v>409</v>
      </c>
      <c r="H404">
        <v>19</v>
      </c>
      <c r="I404">
        <v>764</v>
      </c>
      <c r="J404">
        <v>1069</v>
      </c>
      <c r="K404">
        <v>14516</v>
      </c>
      <c r="L404">
        <v>20311</v>
      </c>
      <c r="M404">
        <v>5795</v>
      </c>
      <c r="N404" t="s">
        <v>410</v>
      </c>
    </row>
    <row r="405" spans="1:14" x14ac:dyDescent="0.3">
      <c r="A405" s="16">
        <v>45617</v>
      </c>
      <c r="B405" t="s">
        <v>411</v>
      </c>
      <c r="C405" t="s">
        <v>656</v>
      </c>
      <c r="D405" t="s">
        <v>413</v>
      </c>
      <c r="E405" t="s">
        <v>414</v>
      </c>
      <c r="F405" t="s">
        <v>451</v>
      </c>
      <c r="G405" t="s">
        <v>428</v>
      </c>
      <c r="H405">
        <v>28</v>
      </c>
      <c r="I405">
        <v>884</v>
      </c>
      <c r="J405">
        <v>1165</v>
      </c>
      <c r="K405">
        <v>24752</v>
      </c>
      <c r="L405">
        <v>32620</v>
      </c>
      <c r="M405">
        <v>7868</v>
      </c>
      <c r="N405" t="s">
        <v>410</v>
      </c>
    </row>
    <row r="406" spans="1:14" x14ac:dyDescent="0.3">
      <c r="A406" s="16">
        <v>45594</v>
      </c>
      <c r="B406" t="s">
        <v>422</v>
      </c>
      <c r="C406" t="s">
        <v>635</v>
      </c>
      <c r="D406" t="s">
        <v>418</v>
      </c>
      <c r="E406" t="s">
        <v>441</v>
      </c>
      <c r="F406" t="s">
        <v>566</v>
      </c>
      <c r="G406" t="s">
        <v>409</v>
      </c>
      <c r="H406">
        <v>73</v>
      </c>
      <c r="I406">
        <v>801</v>
      </c>
      <c r="J406">
        <v>1092</v>
      </c>
      <c r="K406">
        <v>58473</v>
      </c>
      <c r="L406">
        <v>79716</v>
      </c>
      <c r="M406">
        <v>21243</v>
      </c>
      <c r="N406" t="s">
        <v>410</v>
      </c>
    </row>
    <row r="407" spans="1:14" x14ac:dyDescent="0.3">
      <c r="A407" s="16">
        <v>45503</v>
      </c>
      <c r="B407" t="s">
        <v>482</v>
      </c>
      <c r="C407" t="s">
        <v>541</v>
      </c>
      <c r="D407" t="s">
        <v>418</v>
      </c>
      <c r="E407" t="s">
        <v>453</v>
      </c>
      <c r="F407" t="s">
        <v>542</v>
      </c>
      <c r="G407" t="s">
        <v>428</v>
      </c>
      <c r="H407">
        <v>92</v>
      </c>
      <c r="I407">
        <v>981</v>
      </c>
      <c r="J407">
        <v>1157</v>
      </c>
      <c r="K407">
        <v>90252</v>
      </c>
      <c r="L407">
        <v>106444</v>
      </c>
      <c r="M407">
        <v>16192</v>
      </c>
      <c r="N407" t="s">
        <v>410</v>
      </c>
    </row>
    <row r="408" spans="1:14" x14ac:dyDescent="0.3">
      <c r="A408" s="16">
        <v>45699</v>
      </c>
      <c r="B408" t="s">
        <v>459</v>
      </c>
      <c r="C408" t="s">
        <v>715</v>
      </c>
      <c r="D408" t="s">
        <v>413</v>
      </c>
      <c r="E408" t="s">
        <v>444</v>
      </c>
      <c r="F408" t="s">
        <v>408</v>
      </c>
      <c r="G408" t="s">
        <v>409</v>
      </c>
      <c r="H408">
        <v>28</v>
      </c>
      <c r="I408">
        <v>708</v>
      </c>
      <c r="J408">
        <v>1358</v>
      </c>
      <c r="K408">
        <v>19824</v>
      </c>
      <c r="L408">
        <v>38024</v>
      </c>
      <c r="M408">
        <v>18200</v>
      </c>
      <c r="N408" t="s">
        <v>410</v>
      </c>
    </row>
    <row r="409" spans="1:14" x14ac:dyDescent="0.3">
      <c r="A409" s="16">
        <v>45590</v>
      </c>
      <c r="B409" t="s">
        <v>422</v>
      </c>
      <c r="C409" t="s">
        <v>716</v>
      </c>
      <c r="D409" t="s">
        <v>413</v>
      </c>
      <c r="E409" t="s">
        <v>494</v>
      </c>
      <c r="F409" t="s">
        <v>433</v>
      </c>
      <c r="G409" t="s">
        <v>428</v>
      </c>
      <c r="H409">
        <v>28</v>
      </c>
      <c r="I409">
        <v>539</v>
      </c>
      <c r="J409">
        <v>1106</v>
      </c>
      <c r="K409">
        <v>15092</v>
      </c>
      <c r="L409">
        <v>30968</v>
      </c>
      <c r="M409">
        <v>15876</v>
      </c>
      <c r="N409" t="s">
        <v>410</v>
      </c>
    </row>
    <row r="410" spans="1:14" x14ac:dyDescent="0.3">
      <c r="A410" s="16">
        <v>45412</v>
      </c>
      <c r="B410" t="s">
        <v>449</v>
      </c>
      <c r="C410" t="s">
        <v>717</v>
      </c>
      <c r="D410" t="s">
        <v>413</v>
      </c>
      <c r="E410" t="s">
        <v>414</v>
      </c>
      <c r="F410" t="s">
        <v>566</v>
      </c>
      <c r="G410" t="s">
        <v>409</v>
      </c>
      <c r="H410">
        <v>30</v>
      </c>
      <c r="I410">
        <v>843</v>
      </c>
      <c r="J410">
        <v>953</v>
      </c>
      <c r="K410">
        <v>25290</v>
      </c>
      <c r="L410">
        <v>28590</v>
      </c>
      <c r="M410">
        <v>3300</v>
      </c>
      <c r="N410" t="s">
        <v>410</v>
      </c>
    </row>
    <row r="411" spans="1:14" x14ac:dyDescent="0.3">
      <c r="A411" s="16">
        <v>45696</v>
      </c>
      <c r="B411" t="s">
        <v>459</v>
      </c>
      <c r="C411" t="s">
        <v>718</v>
      </c>
      <c r="D411" t="s">
        <v>413</v>
      </c>
      <c r="E411" t="s">
        <v>444</v>
      </c>
      <c r="F411" t="s">
        <v>424</v>
      </c>
      <c r="G411" t="s">
        <v>428</v>
      </c>
      <c r="H411">
        <v>30</v>
      </c>
      <c r="I411">
        <v>518</v>
      </c>
      <c r="J411">
        <v>858</v>
      </c>
      <c r="K411">
        <v>15540</v>
      </c>
      <c r="L411">
        <v>25740</v>
      </c>
      <c r="M411">
        <v>10200</v>
      </c>
      <c r="N411" t="s">
        <v>410</v>
      </c>
    </row>
    <row r="412" spans="1:14" x14ac:dyDescent="0.3">
      <c r="A412" s="16">
        <v>45662</v>
      </c>
      <c r="B412" t="s">
        <v>462</v>
      </c>
      <c r="C412" t="s">
        <v>719</v>
      </c>
      <c r="D412" t="s">
        <v>406</v>
      </c>
      <c r="E412" t="s">
        <v>470</v>
      </c>
      <c r="F412" t="s">
        <v>451</v>
      </c>
      <c r="G412" t="s">
        <v>409</v>
      </c>
      <c r="H412">
        <v>13</v>
      </c>
      <c r="I412">
        <v>839</v>
      </c>
      <c r="J412">
        <v>1025</v>
      </c>
      <c r="K412">
        <v>10907</v>
      </c>
      <c r="L412">
        <v>13325</v>
      </c>
      <c r="M412">
        <v>2418</v>
      </c>
      <c r="N412" t="s">
        <v>410</v>
      </c>
    </row>
    <row r="413" spans="1:14" x14ac:dyDescent="0.3">
      <c r="A413" s="16">
        <v>45597</v>
      </c>
      <c r="B413" t="s">
        <v>411</v>
      </c>
      <c r="C413" t="s">
        <v>641</v>
      </c>
      <c r="D413" t="s">
        <v>413</v>
      </c>
      <c r="E413" t="s">
        <v>430</v>
      </c>
      <c r="F413" t="s">
        <v>439</v>
      </c>
      <c r="G413" t="s">
        <v>428</v>
      </c>
      <c r="H413">
        <v>26</v>
      </c>
      <c r="I413">
        <v>726</v>
      </c>
      <c r="J413">
        <v>1335</v>
      </c>
      <c r="K413">
        <v>18876</v>
      </c>
      <c r="L413">
        <v>34710</v>
      </c>
      <c r="M413">
        <v>15834</v>
      </c>
      <c r="N413" t="s">
        <v>410</v>
      </c>
    </row>
    <row r="414" spans="1:14" x14ac:dyDescent="0.3">
      <c r="A414" s="16">
        <v>45457</v>
      </c>
      <c r="B414" t="s">
        <v>404</v>
      </c>
      <c r="C414" t="s">
        <v>685</v>
      </c>
      <c r="D414" t="s">
        <v>406</v>
      </c>
      <c r="E414" t="s">
        <v>470</v>
      </c>
      <c r="F414" t="s">
        <v>424</v>
      </c>
      <c r="G414" t="s">
        <v>409</v>
      </c>
      <c r="H414">
        <v>19</v>
      </c>
      <c r="I414">
        <v>918</v>
      </c>
      <c r="J414">
        <v>864</v>
      </c>
      <c r="K414">
        <v>17442</v>
      </c>
      <c r="L414">
        <v>16416</v>
      </c>
      <c r="M414">
        <v>-1026</v>
      </c>
      <c r="N414" t="s">
        <v>421</v>
      </c>
    </row>
    <row r="415" spans="1:14" x14ac:dyDescent="0.3">
      <c r="A415" s="16">
        <v>45682</v>
      </c>
      <c r="B415" t="s">
        <v>462</v>
      </c>
      <c r="C415" t="s">
        <v>484</v>
      </c>
      <c r="D415" t="s">
        <v>406</v>
      </c>
      <c r="E415" t="s">
        <v>407</v>
      </c>
      <c r="F415" t="s">
        <v>424</v>
      </c>
      <c r="G415" t="s">
        <v>409</v>
      </c>
      <c r="H415">
        <v>13</v>
      </c>
      <c r="I415">
        <v>542</v>
      </c>
      <c r="J415">
        <v>853</v>
      </c>
      <c r="K415">
        <v>7046</v>
      </c>
      <c r="L415">
        <v>11089</v>
      </c>
      <c r="M415">
        <v>4043</v>
      </c>
      <c r="N415" t="s">
        <v>410</v>
      </c>
    </row>
    <row r="416" spans="1:14" x14ac:dyDescent="0.3">
      <c r="A416" s="16">
        <v>45609</v>
      </c>
      <c r="B416" t="s">
        <v>411</v>
      </c>
      <c r="C416" t="s">
        <v>698</v>
      </c>
      <c r="D416" t="s">
        <v>413</v>
      </c>
      <c r="E416" t="s">
        <v>414</v>
      </c>
      <c r="F416" t="s">
        <v>478</v>
      </c>
      <c r="G416" t="s">
        <v>428</v>
      </c>
      <c r="H416">
        <v>28</v>
      </c>
      <c r="I416">
        <v>896</v>
      </c>
      <c r="J416">
        <v>1363</v>
      </c>
      <c r="K416">
        <v>25088</v>
      </c>
      <c r="L416">
        <v>38164</v>
      </c>
      <c r="M416">
        <v>13076</v>
      </c>
      <c r="N416" t="s">
        <v>410</v>
      </c>
    </row>
    <row r="417" spans="1:14" x14ac:dyDescent="0.3">
      <c r="A417" s="16">
        <v>45587</v>
      </c>
      <c r="B417" t="s">
        <v>422</v>
      </c>
      <c r="C417" t="s">
        <v>425</v>
      </c>
      <c r="D417" t="s">
        <v>406</v>
      </c>
      <c r="E417" t="s">
        <v>407</v>
      </c>
      <c r="F417" t="s">
        <v>426</v>
      </c>
      <c r="G417" t="s">
        <v>409</v>
      </c>
      <c r="H417">
        <v>14</v>
      </c>
      <c r="I417">
        <v>777</v>
      </c>
      <c r="J417">
        <v>1192</v>
      </c>
      <c r="K417">
        <v>10878</v>
      </c>
      <c r="L417">
        <v>16688</v>
      </c>
      <c r="M417">
        <v>5810</v>
      </c>
      <c r="N417" t="s">
        <v>410</v>
      </c>
    </row>
    <row r="418" spans="1:14" x14ac:dyDescent="0.3">
      <c r="A418" s="16">
        <v>45646</v>
      </c>
      <c r="B418" t="s">
        <v>416</v>
      </c>
      <c r="C418" t="s">
        <v>576</v>
      </c>
      <c r="D418" t="s">
        <v>418</v>
      </c>
      <c r="E418" t="s">
        <v>453</v>
      </c>
      <c r="F418" t="s">
        <v>433</v>
      </c>
      <c r="G418" t="s">
        <v>409</v>
      </c>
      <c r="H418">
        <v>60</v>
      </c>
      <c r="I418">
        <v>901</v>
      </c>
      <c r="J418">
        <v>1148</v>
      </c>
      <c r="K418">
        <v>54060</v>
      </c>
      <c r="L418">
        <v>68880</v>
      </c>
      <c r="M418">
        <v>14820</v>
      </c>
      <c r="N418" t="s">
        <v>410</v>
      </c>
    </row>
    <row r="419" spans="1:14" x14ac:dyDescent="0.3">
      <c r="A419" s="16">
        <v>45636</v>
      </c>
      <c r="B419" t="s">
        <v>416</v>
      </c>
      <c r="C419" t="s">
        <v>509</v>
      </c>
      <c r="D419" t="s">
        <v>418</v>
      </c>
      <c r="E419" t="s">
        <v>453</v>
      </c>
      <c r="F419" t="s">
        <v>510</v>
      </c>
      <c r="G419" t="s">
        <v>428</v>
      </c>
      <c r="H419">
        <v>99</v>
      </c>
      <c r="I419">
        <v>705</v>
      </c>
      <c r="J419">
        <v>1356</v>
      </c>
      <c r="K419">
        <v>69795</v>
      </c>
      <c r="L419">
        <v>134244</v>
      </c>
      <c r="M419">
        <v>64449</v>
      </c>
      <c r="N419" t="s">
        <v>410</v>
      </c>
    </row>
    <row r="420" spans="1:14" x14ac:dyDescent="0.3">
      <c r="A420" s="16">
        <v>45598</v>
      </c>
      <c r="B420" t="s">
        <v>411</v>
      </c>
      <c r="C420" t="s">
        <v>663</v>
      </c>
      <c r="D420" t="s">
        <v>413</v>
      </c>
      <c r="E420" t="s">
        <v>430</v>
      </c>
      <c r="F420" t="s">
        <v>504</v>
      </c>
      <c r="G420" t="s">
        <v>428</v>
      </c>
      <c r="H420">
        <v>22</v>
      </c>
      <c r="I420">
        <v>586</v>
      </c>
      <c r="J420">
        <v>1206</v>
      </c>
      <c r="K420">
        <v>12892</v>
      </c>
      <c r="L420">
        <v>26532</v>
      </c>
      <c r="M420">
        <v>13640</v>
      </c>
      <c r="N420" t="s">
        <v>410</v>
      </c>
    </row>
    <row r="421" spans="1:14" x14ac:dyDescent="0.3">
      <c r="A421" s="16">
        <v>45659</v>
      </c>
      <c r="B421" t="s">
        <v>462</v>
      </c>
      <c r="C421" t="s">
        <v>469</v>
      </c>
      <c r="D421" t="s">
        <v>406</v>
      </c>
      <c r="E421" t="s">
        <v>470</v>
      </c>
      <c r="F421" t="s">
        <v>424</v>
      </c>
      <c r="G421" t="s">
        <v>409</v>
      </c>
      <c r="H421">
        <v>14</v>
      </c>
      <c r="I421">
        <v>521</v>
      </c>
      <c r="J421">
        <v>974</v>
      </c>
      <c r="K421">
        <v>7294</v>
      </c>
      <c r="L421">
        <v>13636</v>
      </c>
      <c r="M421">
        <v>6342</v>
      </c>
      <c r="N421" t="s">
        <v>410</v>
      </c>
    </row>
    <row r="422" spans="1:14" x14ac:dyDescent="0.3">
      <c r="A422" s="16">
        <v>45443</v>
      </c>
      <c r="B422" t="s">
        <v>437</v>
      </c>
      <c r="C422" t="s">
        <v>543</v>
      </c>
      <c r="D422" t="s">
        <v>418</v>
      </c>
      <c r="E422" t="s">
        <v>419</v>
      </c>
      <c r="F422" t="s">
        <v>433</v>
      </c>
      <c r="G422" t="s">
        <v>428</v>
      </c>
      <c r="H422">
        <v>75</v>
      </c>
      <c r="I422">
        <v>966</v>
      </c>
      <c r="J422">
        <v>1355</v>
      </c>
      <c r="K422">
        <v>72450</v>
      </c>
      <c r="L422">
        <v>101625</v>
      </c>
      <c r="M422">
        <v>29175</v>
      </c>
      <c r="N422" t="s">
        <v>410</v>
      </c>
    </row>
    <row r="423" spans="1:14" x14ac:dyDescent="0.3">
      <c r="A423" s="16">
        <v>45431</v>
      </c>
      <c r="B423" t="s">
        <v>437</v>
      </c>
      <c r="C423" t="s">
        <v>560</v>
      </c>
      <c r="D423" t="s">
        <v>418</v>
      </c>
      <c r="E423" t="s">
        <v>453</v>
      </c>
      <c r="F423" t="s">
        <v>454</v>
      </c>
      <c r="G423" t="s">
        <v>428</v>
      </c>
      <c r="H423">
        <v>50</v>
      </c>
      <c r="I423">
        <v>885</v>
      </c>
      <c r="J423">
        <v>927</v>
      </c>
      <c r="K423">
        <v>44250</v>
      </c>
      <c r="L423">
        <v>46350</v>
      </c>
      <c r="M423">
        <v>2100</v>
      </c>
      <c r="N423" t="s">
        <v>410</v>
      </c>
    </row>
    <row r="424" spans="1:14" x14ac:dyDescent="0.3">
      <c r="A424" s="16">
        <v>45394</v>
      </c>
      <c r="B424" t="s">
        <v>449</v>
      </c>
      <c r="C424" t="s">
        <v>705</v>
      </c>
      <c r="D424" t="s">
        <v>413</v>
      </c>
      <c r="E424" t="s">
        <v>430</v>
      </c>
      <c r="F424" t="s">
        <v>433</v>
      </c>
      <c r="G424" t="s">
        <v>409</v>
      </c>
      <c r="H424">
        <v>28</v>
      </c>
      <c r="I424">
        <v>832</v>
      </c>
      <c r="J424">
        <v>1028</v>
      </c>
      <c r="K424">
        <v>23296</v>
      </c>
      <c r="L424">
        <v>28784</v>
      </c>
      <c r="M424">
        <v>5488</v>
      </c>
      <c r="N424" t="s">
        <v>410</v>
      </c>
    </row>
    <row r="425" spans="1:14" x14ac:dyDescent="0.3">
      <c r="A425" s="16">
        <v>45400</v>
      </c>
      <c r="B425" t="s">
        <v>449</v>
      </c>
      <c r="C425" t="s">
        <v>506</v>
      </c>
      <c r="D425" t="s">
        <v>418</v>
      </c>
      <c r="E425" t="s">
        <v>448</v>
      </c>
      <c r="F425" t="s">
        <v>415</v>
      </c>
      <c r="G425" t="s">
        <v>409</v>
      </c>
      <c r="H425">
        <v>65</v>
      </c>
      <c r="I425">
        <v>935</v>
      </c>
      <c r="J425">
        <v>752</v>
      </c>
      <c r="K425">
        <v>60775</v>
      </c>
      <c r="L425">
        <v>48880</v>
      </c>
      <c r="M425">
        <v>-11895</v>
      </c>
      <c r="N425" t="s">
        <v>421</v>
      </c>
    </row>
    <row r="426" spans="1:14" x14ac:dyDescent="0.3">
      <c r="A426" s="16">
        <v>45545</v>
      </c>
      <c r="B426" t="s">
        <v>431</v>
      </c>
      <c r="C426" t="s">
        <v>626</v>
      </c>
      <c r="D426" t="s">
        <v>406</v>
      </c>
      <c r="E426" t="s">
        <v>407</v>
      </c>
      <c r="F426" t="s">
        <v>424</v>
      </c>
      <c r="G426" t="s">
        <v>428</v>
      </c>
      <c r="H426">
        <v>14</v>
      </c>
      <c r="I426">
        <v>504</v>
      </c>
      <c r="J426">
        <v>1130</v>
      </c>
      <c r="K426">
        <v>7056</v>
      </c>
      <c r="L426">
        <v>15820</v>
      </c>
      <c r="M426">
        <v>8764</v>
      </c>
      <c r="N426" t="s">
        <v>410</v>
      </c>
    </row>
    <row r="427" spans="1:14" x14ac:dyDescent="0.3">
      <c r="A427" s="16">
        <v>45462</v>
      </c>
      <c r="B427" t="s">
        <v>404</v>
      </c>
      <c r="C427" t="s">
        <v>720</v>
      </c>
      <c r="D427" t="s">
        <v>418</v>
      </c>
      <c r="E427" t="s">
        <v>453</v>
      </c>
      <c r="F427" t="s">
        <v>478</v>
      </c>
      <c r="G427" t="s">
        <v>428</v>
      </c>
      <c r="H427">
        <v>94</v>
      </c>
      <c r="I427">
        <v>772</v>
      </c>
      <c r="J427">
        <v>1390</v>
      </c>
      <c r="K427">
        <v>72568</v>
      </c>
      <c r="L427">
        <v>130660</v>
      </c>
      <c r="M427">
        <v>58092</v>
      </c>
      <c r="N427" t="s">
        <v>410</v>
      </c>
    </row>
    <row r="428" spans="1:14" x14ac:dyDescent="0.3">
      <c r="A428" s="16">
        <v>45621</v>
      </c>
      <c r="B428" t="s">
        <v>411</v>
      </c>
      <c r="C428" t="s">
        <v>597</v>
      </c>
      <c r="D428" t="s">
        <v>413</v>
      </c>
      <c r="E428" t="s">
        <v>414</v>
      </c>
      <c r="F428" t="s">
        <v>532</v>
      </c>
      <c r="G428" t="s">
        <v>428</v>
      </c>
      <c r="H428">
        <v>27</v>
      </c>
      <c r="I428">
        <v>922</v>
      </c>
      <c r="J428">
        <v>1284</v>
      </c>
      <c r="K428">
        <v>24894</v>
      </c>
      <c r="L428">
        <v>34668</v>
      </c>
      <c r="M428">
        <v>9774</v>
      </c>
      <c r="N428" t="s">
        <v>410</v>
      </c>
    </row>
    <row r="429" spans="1:14" x14ac:dyDescent="0.3">
      <c r="A429" s="16">
        <v>45448</v>
      </c>
      <c r="B429" t="s">
        <v>404</v>
      </c>
      <c r="C429" t="s">
        <v>700</v>
      </c>
      <c r="D429" t="s">
        <v>418</v>
      </c>
      <c r="E429" t="s">
        <v>419</v>
      </c>
      <c r="F429" t="s">
        <v>433</v>
      </c>
      <c r="G429" t="s">
        <v>428</v>
      </c>
      <c r="H429">
        <v>97</v>
      </c>
      <c r="I429">
        <v>917</v>
      </c>
      <c r="J429">
        <v>844</v>
      </c>
      <c r="K429">
        <v>88949</v>
      </c>
      <c r="L429">
        <v>81868</v>
      </c>
      <c r="M429">
        <v>-7081</v>
      </c>
      <c r="N429" t="s">
        <v>421</v>
      </c>
    </row>
    <row r="430" spans="1:14" x14ac:dyDescent="0.3">
      <c r="A430" s="16">
        <v>45431</v>
      </c>
      <c r="B430" t="s">
        <v>437</v>
      </c>
      <c r="C430" t="s">
        <v>560</v>
      </c>
      <c r="D430" t="s">
        <v>418</v>
      </c>
      <c r="E430" t="s">
        <v>453</v>
      </c>
      <c r="F430" t="s">
        <v>454</v>
      </c>
      <c r="G430" t="s">
        <v>428</v>
      </c>
      <c r="H430">
        <v>82</v>
      </c>
      <c r="I430">
        <v>928</v>
      </c>
      <c r="J430">
        <v>1428</v>
      </c>
      <c r="K430">
        <v>76096</v>
      </c>
      <c r="L430">
        <v>117096</v>
      </c>
      <c r="M430">
        <v>41000</v>
      </c>
      <c r="N430" t="s">
        <v>410</v>
      </c>
    </row>
    <row r="431" spans="1:14" x14ac:dyDescent="0.3">
      <c r="A431" s="16">
        <v>45501</v>
      </c>
      <c r="B431" t="s">
        <v>482</v>
      </c>
      <c r="C431" t="s">
        <v>627</v>
      </c>
      <c r="D431" t="s">
        <v>418</v>
      </c>
      <c r="E431" t="s">
        <v>453</v>
      </c>
      <c r="F431" t="s">
        <v>424</v>
      </c>
      <c r="G431" t="s">
        <v>409</v>
      </c>
      <c r="H431">
        <v>67</v>
      </c>
      <c r="I431">
        <v>725</v>
      </c>
      <c r="J431">
        <v>884</v>
      </c>
      <c r="K431">
        <v>48575</v>
      </c>
      <c r="L431">
        <v>59228</v>
      </c>
      <c r="M431">
        <v>10653</v>
      </c>
      <c r="N431" t="s">
        <v>410</v>
      </c>
    </row>
    <row r="432" spans="1:14" x14ac:dyDescent="0.3">
      <c r="A432" s="16">
        <v>45663</v>
      </c>
      <c r="B432" t="s">
        <v>462</v>
      </c>
      <c r="C432" t="s">
        <v>618</v>
      </c>
      <c r="D432" t="s">
        <v>406</v>
      </c>
      <c r="E432" t="s">
        <v>470</v>
      </c>
      <c r="F432" t="s">
        <v>439</v>
      </c>
      <c r="G432" t="s">
        <v>409</v>
      </c>
      <c r="H432">
        <v>20</v>
      </c>
      <c r="I432">
        <v>837</v>
      </c>
      <c r="J432">
        <v>1014</v>
      </c>
      <c r="K432">
        <v>16740</v>
      </c>
      <c r="L432">
        <v>20280</v>
      </c>
      <c r="M432">
        <v>3540</v>
      </c>
      <c r="N432" t="s">
        <v>410</v>
      </c>
    </row>
    <row r="433" spans="1:14" x14ac:dyDescent="0.3">
      <c r="A433" s="16">
        <v>45605</v>
      </c>
      <c r="B433" t="s">
        <v>411</v>
      </c>
      <c r="C433" t="s">
        <v>695</v>
      </c>
      <c r="D433" t="s">
        <v>418</v>
      </c>
      <c r="E433" t="s">
        <v>448</v>
      </c>
      <c r="F433" t="s">
        <v>542</v>
      </c>
      <c r="G433" t="s">
        <v>409</v>
      </c>
      <c r="H433">
        <v>70</v>
      </c>
      <c r="I433">
        <v>871</v>
      </c>
      <c r="J433">
        <v>862</v>
      </c>
      <c r="K433">
        <v>60970</v>
      </c>
      <c r="L433">
        <v>60340</v>
      </c>
      <c r="M433">
        <v>-630</v>
      </c>
      <c r="N433" t="s">
        <v>421</v>
      </c>
    </row>
    <row r="434" spans="1:14" x14ac:dyDescent="0.3">
      <c r="A434" s="16">
        <v>45632</v>
      </c>
      <c r="B434" t="s">
        <v>416</v>
      </c>
      <c r="C434" t="s">
        <v>721</v>
      </c>
      <c r="D434" t="s">
        <v>413</v>
      </c>
      <c r="E434" t="s">
        <v>444</v>
      </c>
      <c r="F434" t="s">
        <v>420</v>
      </c>
      <c r="G434" t="s">
        <v>428</v>
      </c>
      <c r="H434">
        <v>24</v>
      </c>
      <c r="I434">
        <v>526</v>
      </c>
      <c r="J434">
        <v>808</v>
      </c>
      <c r="K434">
        <v>12624</v>
      </c>
      <c r="L434">
        <v>19392</v>
      </c>
      <c r="M434">
        <v>6768</v>
      </c>
      <c r="N434" t="s">
        <v>410</v>
      </c>
    </row>
    <row r="435" spans="1:14" x14ac:dyDescent="0.3">
      <c r="A435" s="16">
        <v>45628</v>
      </c>
      <c r="B435" t="s">
        <v>416</v>
      </c>
      <c r="C435" t="s">
        <v>554</v>
      </c>
      <c r="D435" t="s">
        <v>413</v>
      </c>
      <c r="E435" t="s">
        <v>444</v>
      </c>
      <c r="F435" t="s">
        <v>426</v>
      </c>
      <c r="G435" t="s">
        <v>409</v>
      </c>
      <c r="H435">
        <v>25</v>
      </c>
      <c r="I435">
        <v>982</v>
      </c>
      <c r="J435">
        <v>1479</v>
      </c>
      <c r="K435">
        <v>24550</v>
      </c>
      <c r="L435">
        <v>36975</v>
      </c>
      <c r="M435">
        <v>12425</v>
      </c>
      <c r="N435" t="s">
        <v>410</v>
      </c>
    </row>
    <row r="436" spans="1:14" x14ac:dyDescent="0.3">
      <c r="A436" s="16">
        <v>45543</v>
      </c>
      <c r="B436" t="s">
        <v>431</v>
      </c>
      <c r="C436" t="s">
        <v>624</v>
      </c>
      <c r="D436" t="s">
        <v>406</v>
      </c>
      <c r="E436" t="s">
        <v>407</v>
      </c>
      <c r="F436" t="s">
        <v>542</v>
      </c>
      <c r="G436" t="s">
        <v>428</v>
      </c>
      <c r="H436">
        <v>18</v>
      </c>
      <c r="I436">
        <v>859</v>
      </c>
      <c r="J436">
        <v>1044</v>
      </c>
      <c r="K436">
        <v>15462</v>
      </c>
      <c r="L436">
        <v>18792</v>
      </c>
      <c r="M436">
        <v>3330</v>
      </c>
      <c r="N436" t="s">
        <v>410</v>
      </c>
    </row>
    <row r="437" spans="1:14" x14ac:dyDescent="0.3">
      <c r="A437" s="16">
        <v>45496</v>
      </c>
      <c r="B437" t="s">
        <v>482</v>
      </c>
      <c r="C437" t="s">
        <v>536</v>
      </c>
      <c r="D437" t="s">
        <v>418</v>
      </c>
      <c r="E437" t="s">
        <v>453</v>
      </c>
      <c r="F437" t="s">
        <v>504</v>
      </c>
      <c r="G437" t="s">
        <v>409</v>
      </c>
      <c r="H437">
        <v>62</v>
      </c>
      <c r="I437">
        <v>936</v>
      </c>
      <c r="J437">
        <v>1364</v>
      </c>
      <c r="K437">
        <v>58032</v>
      </c>
      <c r="L437">
        <v>84568</v>
      </c>
      <c r="M437">
        <v>26536</v>
      </c>
      <c r="N437" t="s">
        <v>410</v>
      </c>
    </row>
    <row r="438" spans="1:14" x14ac:dyDescent="0.3">
      <c r="A438" s="16">
        <v>45685</v>
      </c>
      <c r="B438" t="s">
        <v>462</v>
      </c>
      <c r="C438" t="s">
        <v>670</v>
      </c>
      <c r="D438" t="s">
        <v>406</v>
      </c>
      <c r="E438" t="s">
        <v>407</v>
      </c>
      <c r="F438" t="s">
        <v>424</v>
      </c>
      <c r="G438" t="s">
        <v>428</v>
      </c>
      <c r="H438">
        <v>12</v>
      </c>
      <c r="I438">
        <v>927</v>
      </c>
      <c r="J438">
        <v>1162</v>
      </c>
      <c r="K438">
        <v>11124</v>
      </c>
      <c r="L438">
        <v>13944</v>
      </c>
      <c r="M438">
        <v>2820</v>
      </c>
      <c r="N438" t="s">
        <v>410</v>
      </c>
    </row>
    <row r="439" spans="1:14" x14ac:dyDescent="0.3">
      <c r="A439" s="16">
        <v>45603</v>
      </c>
      <c r="B439" t="s">
        <v>411</v>
      </c>
      <c r="C439" t="s">
        <v>447</v>
      </c>
      <c r="D439" t="s">
        <v>418</v>
      </c>
      <c r="E439" t="s">
        <v>448</v>
      </c>
      <c r="F439" t="s">
        <v>424</v>
      </c>
      <c r="G439" t="s">
        <v>409</v>
      </c>
      <c r="H439">
        <v>60</v>
      </c>
      <c r="I439">
        <v>827</v>
      </c>
      <c r="J439">
        <v>762</v>
      </c>
      <c r="K439">
        <v>49620</v>
      </c>
      <c r="L439">
        <v>45720</v>
      </c>
      <c r="M439">
        <v>-3900</v>
      </c>
      <c r="N439" t="s">
        <v>421</v>
      </c>
    </row>
    <row r="440" spans="1:14" x14ac:dyDescent="0.3">
      <c r="A440" s="16">
        <v>45657</v>
      </c>
      <c r="B440" t="s">
        <v>416</v>
      </c>
      <c r="C440" t="s">
        <v>722</v>
      </c>
      <c r="D440" t="s">
        <v>418</v>
      </c>
      <c r="E440" t="s">
        <v>419</v>
      </c>
      <c r="F440" t="s">
        <v>532</v>
      </c>
      <c r="G440" t="s">
        <v>428</v>
      </c>
      <c r="H440">
        <v>64</v>
      </c>
      <c r="I440">
        <v>918</v>
      </c>
      <c r="J440">
        <v>907</v>
      </c>
      <c r="K440">
        <v>58752</v>
      </c>
      <c r="L440">
        <v>58048</v>
      </c>
      <c r="M440">
        <v>-704</v>
      </c>
      <c r="N440" t="s">
        <v>421</v>
      </c>
    </row>
    <row r="441" spans="1:14" x14ac:dyDescent="0.3">
      <c r="A441" s="16">
        <v>45521</v>
      </c>
      <c r="B441" t="s">
        <v>434</v>
      </c>
      <c r="C441" t="s">
        <v>443</v>
      </c>
      <c r="D441" t="s">
        <v>413</v>
      </c>
      <c r="E441" t="s">
        <v>444</v>
      </c>
      <c r="F441" t="s">
        <v>445</v>
      </c>
      <c r="G441" t="s">
        <v>428</v>
      </c>
      <c r="H441">
        <v>30</v>
      </c>
      <c r="I441">
        <v>652</v>
      </c>
      <c r="J441">
        <v>1151</v>
      </c>
      <c r="K441">
        <v>19560</v>
      </c>
      <c r="L441">
        <v>34530</v>
      </c>
      <c r="M441">
        <v>14970</v>
      </c>
      <c r="N441" t="s">
        <v>410</v>
      </c>
    </row>
    <row r="442" spans="1:14" x14ac:dyDescent="0.3">
      <c r="A442" s="16">
        <v>45416</v>
      </c>
      <c r="B442" t="s">
        <v>437</v>
      </c>
      <c r="C442" t="s">
        <v>689</v>
      </c>
      <c r="D442" t="s">
        <v>413</v>
      </c>
      <c r="E442" t="s">
        <v>414</v>
      </c>
      <c r="F442" t="s">
        <v>504</v>
      </c>
      <c r="G442" t="s">
        <v>428</v>
      </c>
      <c r="H442">
        <v>28</v>
      </c>
      <c r="I442">
        <v>787</v>
      </c>
      <c r="J442">
        <v>1452</v>
      </c>
      <c r="K442">
        <v>22036</v>
      </c>
      <c r="L442">
        <v>40656</v>
      </c>
      <c r="M442">
        <v>18620</v>
      </c>
      <c r="N442" t="s">
        <v>410</v>
      </c>
    </row>
    <row r="443" spans="1:14" x14ac:dyDescent="0.3">
      <c r="A443" s="16">
        <v>45648</v>
      </c>
      <c r="B443" t="s">
        <v>416</v>
      </c>
      <c r="C443" t="s">
        <v>417</v>
      </c>
      <c r="D443" t="s">
        <v>418</v>
      </c>
      <c r="E443" t="s">
        <v>419</v>
      </c>
      <c r="F443" t="s">
        <v>420</v>
      </c>
      <c r="G443" t="s">
        <v>409</v>
      </c>
      <c r="H443">
        <v>50</v>
      </c>
      <c r="I443">
        <v>749</v>
      </c>
      <c r="J443">
        <v>1269</v>
      </c>
      <c r="K443">
        <v>37450</v>
      </c>
      <c r="L443">
        <v>63450</v>
      </c>
      <c r="M443">
        <v>26000</v>
      </c>
      <c r="N443" t="s">
        <v>410</v>
      </c>
    </row>
    <row r="444" spans="1:14" x14ac:dyDescent="0.3">
      <c r="A444" s="16">
        <v>45471</v>
      </c>
      <c r="B444" t="s">
        <v>404</v>
      </c>
      <c r="C444" t="s">
        <v>516</v>
      </c>
      <c r="D444" t="s">
        <v>418</v>
      </c>
      <c r="E444" t="s">
        <v>419</v>
      </c>
      <c r="F444" t="s">
        <v>454</v>
      </c>
      <c r="G444" t="s">
        <v>428</v>
      </c>
      <c r="H444">
        <v>85</v>
      </c>
      <c r="I444">
        <v>765</v>
      </c>
      <c r="J444">
        <v>1024</v>
      </c>
      <c r="K444">
        <v>65025</v>
      </c>
      <c r="L444">
        <v>87040</v>
      </c>
      <c r="M444">
        <v>22015</v>
      </c>
      <c r="N444" t="s">
        <v>410</v>
      </c>
    </row>
    <row r="445" spans="1:14" x14ac:dyDescent="0.3">
      <c r="A445" s="16">
        <v>45396</v>
      </c>
      <c r="B445" t="s">
        <v>449</v>
      </c>
      <c r="C445" t="s">
        <v>723</v>
      </c>
      <c r="D445" t="s">
        <v>413</v>
      </c>
      <c r="E445" t="s">
        <v>430</v>
      </c>
      <c r="F445" t="s">
        <v>532</v>
      </c>
      <c r="G445" t="s">
        <v>409</v>
      </c>
      <c r="H445">
        <v>20</v>
      </c>
      <c r="I445">
        <v>648</v>
      </c>
      <c r="J445">
        <v>1106</v>
      </c>
      <c r="K445">
        <v>12960</v>
      </c>
      <c r="L445">
        <v>22120</v>
      </c>
      <c r="M445">
        <v>9160</v>
      </c>
      <c r="N445" t="s">
        <v>410</v>
      </c>
    </row>
    <row r="446" spans="1:14" x14ac:dyDescent="0.3">
      <c r="A446" s="16">
        <v>45618</v>
      </c>
      <c r="B446" t="s">
        <v>411</v>
      </c>
      <c r="C446" t="s">
        <v>724</v>
      </c>
      <c r="D446" t="s">
        <v>413</v>
      </c>
      <c r="E446" t="s">
        <v>414</v>
      </c>
      <c r="F446" t="s">
        <v>532</v>
      </c>
      <c r="G446" t="s">
        <v>428</v>
      </c>
      <c r="H446">
        <v>25</v>
      </c>
      <c r="I446">
        <v>990</v>
      </c>
      <c r="J446">
        <v>868</v>
      </c>
      <c r="K446">
        <v>24750</v>
      </c>
      <c r="L446">
        <v>21700</v>
      </c>
      <c r="M446">
        <v>-3050</v>
      </c>
      <c r="N446" t="s">
        <v>421</v>
      </c>
    </row>
    <row r="447" spans="1:14" x14ac:dyDescent="0.3">
      <c r="A447" s="16">
        <v>45557</v>
      </c>
      <c r="B447" t="s">
        <v>431</v>
      </c>
      <c r="C447" t="s">
        <v>725</v>
      </c>
      <c r="D447" t="s">
        <v>418</v>
      </c>
      <c r="E447" t="s">
        <v>419</v>
      </c>
      <c r="F447" t="s">
        <v>451</v>
      </c>
      <c r="G447" t="s">
        <v>428</v>
      </c>
      <c r="H447">
        <v>54</v>
      </c>
      <c r="I447">
        <v>663</v>
      </c>
      <c r="J447">
        <v>943</v>
      </c>
      <c r="K447">
        <v>35802</v>
      </c>
      <c r="L447">
        <v>50922</v>
      </c>
      <c r="M447">
        <v>15120</v>
      </c>
      <c r="N447" t="s">
        <v>410</v>
      </c>
    </row>
    <row r="448" spans="1:14" x14ac:dyDescent="0.3">
      <c r="A448" s="16">
        <v>45437</v>
      </c>
      <c r="B448" t="s">
        <v>437</v>
      </c>
      <c r="C448" t="s">
        <v>713</v>
      </c>
      <c r="D448" t="s">
        <v>418</v>
      </c>
      <c r="E448" t="s">
        <v>453</v>
      </c>
      <c r="F448" t="s">
        <v>451</v>
      </c>
      <c r="G448" t="s">
        <v>409</v>
      </c>
      <c r="H448">
        <v>88</v>
      </c>
      <c r="I448">
        <v>959</v>
      </c>
      <c r="J448">
        <v>985</v>
      </c>
      <c r="K448">
        <v>84392</v>
      </c>
      <c r="L448">
        <v>86680</v>
      </c>
      <c r="M448">
        <v>2288</v>
      </c>
      <c r="N448" t="s">
        <v>410</v>
      </c>
    </row>
    <row r="449" spans="1:14" x14ac:dyDescent="0.3">
      <c r="A449" s="16">
        <v>45633</v>
      </c>
      <c r="B449" t="s">
        <v>416</v>
      </c>
      <c r="C449" t="s">
        <v>679</v>
      </c>
      <c r="D449" t="s">
        <v>413</v>
      </c>
      <c r="E449" t="s">
        <v>444</v>
      </c>
      <c r="F449" t="s">
        <v>451</v>
      </c>
      <c r="G449" t="s">
        <v>409</v>
      </c>
      <c r="H449">
        <v>24</v>
      </c>
      <c r="I449">
        <v>651</v>
      </c>
      <c r="J449">
        <v>1386</v>
      </c>
      <c r="K449">
        <v>15624</v>
      </c>
      <c r="L449">
        <v>33264</v>
      </c>
      <c r="M449">
        <v>17640</v>
      </c>
      <c r="N449" t="s">
        <v>410</v>
      </c>
    </row>
    <row r="450" spans="1:14" x14ac:dyDescent="0.3">
      <c r="A450" s="16">
        <v>45592</v>
      </c>
      <c r="B450" t="s">
        <v>422</v>
      </c>
      <c r="C450" t="s">
        <v>726</v>
      </c>
      <c r="D450" t="s">
        <v>418</v>
      </c>
      <c r="E450" t="s">
        <v>441</v>
      </c>
      <c r="F450" t="s">
        <v>420</v>
      </c>
      <c r="G450" t="s">
        <v>428</v>
      </c>
      <c r="H450">
        <v>71</v>
      </c>
      <c r="I450">
        <v>777</v>
      </c>
      <c r="J450">
        <v>1034</v>
      </c>
      <c r="K450">
        <v>55167</v>
      </c>
      <c r="L450">
        <v>73414</v>
      </c>
      <c r="M450">
        <v>18247</v>
      </c>
      <c r="N450" t="s">
        <v>410</v>
      </c>
    </row>
    <row r="451" spans="1:14" x14ac:dyDescent="0.3">
      <c r="A451" s="16">
        <v>45442</v>
      </c>
      <c r="B451" t="s">
        <v>437</v>
      </c>
      <c r="C451" t="s">
        <v>501</v>
      </c>
      <c r="D451" t="s">
        <v>418</v>
      </c>
      <c r="E451" t="s">
        <v>453</v>
      </c>
      <c r="F451" t="s">
        <v>408</v>
      </c>
      <c r="G451" t="s">
        <v>428</v>
      </c>
      <c r="H451">
        <v>99</v>
      </c>
      <c r="I451">
        <v>657</v>
      </c>
      <c r="J451">
        <v>1033</v>
      </c>
      <c r="K451">
        <v>65043</v>
      </c>
      <c r="L451">
        <v>102267</v>
      </c>
      <c r="M451">
        <v>37224</v>
      </c>
      <c r="N451" t="s">
        <v>410</v>
      </c>
    </row>
    <row r="452" spans="1:14" x14ac:dyDescent="0.3">
      <c r="A452" s="16">
        <v>45624</v>
      </c>
      <c r="B452" t="s">
        <v>411</v>
      </c>
      <c r="C452" t="s">
        <v>727</v>
      </c>
      <c r="D452" t="s">
        <v>413</v>
      </c>
      <c r="E452" t="s">
        <v>444</v>
      </c>
      <c r="F452" t="s">
        <v>408</v>
      </c>
      <c r="G452" t="s">
        <v>409</v>
      </c>
      <c r="H452">
        <v>27</v>
      </c>
      <c r="I452">
        <v>826</v>
      </c>
      <c r="J452">
        <v>917</v>
      </c>
      <c r="K452">
        <v>22302</v>
      </c>
      <c r="L452">
        <v>24759</v>
      </c>
      <c r="M452">
        <v>2457</v>
      </c>
      <c r="N452" t="s">
        <v>410</v>
      </c>
    </row>
    <row r="453" spans="1:14" x14ac:dyDescent="0.3">
      <c r="A453" s="16">
        <v>45710</v>
      </c>
      <c r="B453" t="s">
        <v>459</v>
      </c>
      <c r="C453" t="s">
        <v>575</v>
      </c>
      <c r="D453" t="s">
        <v>418</v>
      </c>
      <c r="E453" t="s">
        <v>453</v>
      </c>
      <c r="F453" t="s">
        <v>442</v>
      </c>
      <c r="G453" t="s">
        <v>428</v>
      </c>
      <c r="H453">
        <v>81</v>
      </c>
      <c r="I453">
        <v>813</v>
      </c>
      <c r="J453">
        <v>1428</v>
      </c>
      <c r="K453">
        <v>65853</v>
      </c>
      <c r="L453">
        <v>115668</v>
      </c>
      <c r="M453">
        <v>49815</v>
      </c>
      <c r="N453" t="s">
        <v>410</v>
      </c>
    </row>
    <row r="454" spans="1:14" x14ac:dyDescent="0.3">
      <c r="A454" s="16">
        <v>45422</v>
      </c>
      <c r="B454" t="s">
        <v>437</v>
      </c>
      <c r="C454" t="s">
        <v>479</v>
      </c>
      <c r="D454" t="s">
        <v>413</v>
      </c>
      <c r="E454" t="s">
        <v>444</v>
      </c>
      <c r="F454" t="s">
        <v>478</v>
      </c>
      <c r="G454" t="s">
        <v>409</v>
      </c>
      <c r="H454">
        <v>28</v>
      </c>
      <c r="I454">
        <v>905</v>
      </c>
      <c r="J454">
        <v>958</v>
      </c>
      <c r="K454">
        <v>25340</v>
      </c>
      <c r="L454">
        <v>26824</v>
      </c>
      <c r="M454">
        <v>1484</v>
      </c>
      <c r="N454" t="s">
        <v>410</v>
      </c>
    </row>
    <row r="455" spans="1:14" x14ac:dyDescent="0.3">
      <c r="A455" s="16">
        <v>45536</v>
      </c>
      <c r="B455" t="s">
        <v>431</v>
      </c>
      <c r="C455" t="s">
        <v>686</v>
      </c>
      <c r="D455" t="s">
        <v>418</v>
      </c>
      <c r="E455" t="s">
        <v>453</v>
      </c>
      <c r="F455" t="s">
        <v>504</v>
      </c>
      <c r="G455" t="s">
        <v>428</v>
      </c>
      <c r="H455">
        <v>56</v>
      </c>
      <c r="I455">
        <v>559</v>
      </c>
      <c r="J455">
        <v>1151</v>
      </c>
      <c r="K455">
        <v>31304</v>
      </c>
      <c r="L455">
        <v>64456</v>
      </c>
      <c r="M455">
        <v>33152</v>
      </c>
      <c r="N455" t="s">
        <v>410</v>
      </c>
    </row>
    <row r="456" spans="1:14" x14ac:dyDescent="0.3">
      <c r="A456" s="16">
        <v>45615</v>
      </c>
      <c r="B456" t="s">
        <v>411</v>
      </c>
      <c r="C456" t="s">
        <v>630</v>
      </c>
      <c r="D456" t="s">
        <v>413</v>
      </c>
      <c r="E456" t="s">
        <v>414</v>
      </c>
      <c r="F456" t="s">
        <v>433</v>
      </c>
      <c r="G456" t="s">
        <v>409</v>
      </c>
      <c r="H456">
        <v>23</v>
      </c>
      <c r="I456">
        <v>747</v>
      </c>
      <c r="J456">
        <v>1340</v>
      </c>
      <c r="K456">
        <v>17181</v>
      </c>
      <c r="L456">
        <v>30820</v>
      </c>
      <c r="M456">
        <v>13639</v>
      </c>
      <c r="N456" t="s">
        <v>410</v>
      </c>
    </row>
    <row r="457" spans="1:14" x14ac:dyDescent="0.3">
      <c r="A457" s="16">
        <v>45654</v>
      </c>
      <c r="B457" t="s">
        <v>416</v>
      </c>
      <c r="C457" t="s">
        <v>545</v>
      </c>
      <c r="D457" t="s">
        <v>418</v>
      </c>
      <c r="E457" t="s">
        <v>419</v>
      </c>
      <c r="F457" t="s">
        <v>504</v>
      </c>
      <c r="G457" t="s">
        <v>428</v>
      </c>
      <c r="H457">
        <v>89</v>
      </c>
      <c r="I457">
        <v>702</v>
      </c>
      <c r="J457">
        <v>1314</v>
      </c>
      <c r="K457">
        <v>62478</v>
      </c>
      <c r="L457">
        <v>116946</v>
      </c>
      <c r="M457">
        <v>54468</v>
      </c>
      <c r="N457" t="s">
        <v>410</v>
      </c>
    </row>
    <row r="458" spans="1:14" x14ac:dyDescent="0.3">
      <c r="A458" s="16">
        <v>45423</v>
      </c>
      <c r="B458" t="s">
        <v>437</v>
      </c>
      <c r="C458" t="s">
        <v>697</v>
      </c>
      <c r="D458" t="s">
        <v>413</v>
      </c>
      <c r="E458" t="s">
        <v>444</v>
      </c>
      <c r="F458" t="s">
        <v>542</v>
      </c>
      <c r="G458" t="s">
        <v>409</v>
      </c>
      <c r="H458">
        <v>25</v>
      </c>
      <c r="I458">
        <v>982</v>
      </c>
      <c r="J458">
        <v>1389</v>
      </c>
      <c r="K458">
        <v>24550</v>
      </c>
      <c r="L458">
        <v>34725</v>
      </c>
      <c r="M458">
        <v>10175</v>
      </c>
      <c r="N458" t="s">
        <v>410</v>
      </c>
    </row>
    <row r="459" spans="1:14" x14ac:dyDescent="0.3">
      <c r="A459" s="16">
        <v>45452</v>
      </c>
      <c r="B459" t="s">
        <v>404</v>
      </c>
      <c r="C459" t="s">
        <v>728</v>
      </c>
      <c r="D459" t="s">
        <v>418</v>
      </c>
      <c r="E459" t="s">
        <v>419</v>
      </c>
      <c r="F459" t="s">
        <v>566</v>
      </c>
      <c r="G459" t="s">
        <v>409</v>
      </c>
      <c r="H459">
        <v>77</v>
      </c>
      <c r="I459">
        <v>882</v>
      </c>
      <c r="J459">
        <v>914</v>
      </c>
      <c r="K459">
        <v>67914</v>
      </c>
      <c r="L459">
        <v>70378</v>
      </c>
      <c r="M459">
        <v>2464</v>
      </c>
      <c r="N459" t="s">
        <v>410</v>
      </c>
    </row>
    <row r="460" spans="1:14" x14ac:dyDescent="0.3">
      <c r="A460" s="16">
        <v>45513</v>
      </c>
      <c r="B460" t="s">
        <v>434</v>
      </c>
      <c r="C460" t="s">
        <v>729</v>
      </c>
      <c r="D460" t="s">
        <v>406</v>
      </c>
      <c r="E460" t="s">
        <v>407</v>
      </c>
      <c r="F460" t="s">
        <v>433</v>
      </c>
      <c r="G460" t="s">
        <v>409</v>
      </c>
      <c r="H460">
        <v>18</v>
      </c>
      <c r="I460">
        <v>704</v>
      </c>
      <c r="J460">
        <v>930</v>
      </c>
      <c r="K460">
        <v>12672</v>
      </c>
      <c r="L460">
        <v>16740</v>
      </c>
      <c r="M460">
        <v>4068</v>
      </c>
      <c r="N460" t="s">
        <v>410</v>
      </c>
    </row>
    <row r="461" spans="1:14" x14ac:dyDescent="0.3">
      <c r="A461" s="16">
        <v>45392</v>
      </c>
      <c r="B461" t="s">
        <v>449</v>
      </c>
      <c r="C461" t="s">
        <v>629</v>
      </c>
      <c r="D461" t="s">
        <v>413</v>
      </c>
      <c r="E461" t="s">
        <v>430</v>
      </c>
      <c r="F461" t="s">
        <v>408</v>
      </c>
      <c r="G461" t="s">
        <v>409</v>
      </c>
      <c r="H461">
        <v>24</v>
      </c>
      <c r="I461">
        <v>903</v>
      </c>
      <c r="J461">
        <v>1338</v>
      </c>
      <c r="K461">
        <v>21672</v>
      </c>
      <c r="L461">
        <v>32112</v>
      </c>
      <c r="M461">
        <v>10440</v>
      </c>
      <c r="N461" t="s">
        <v>410</v>
      </c>
    </row>
    <row r="462" spans="1:14" x14ac:dyDescent="0.3">
      <c r="A462" s="16">
        <v>45551</v>
      </c>
      <c r="B462" t="s">
        <v>431</v>
      </c>
      <c r="C462" t="s">
        <v>552</v>
      </c>
      <c r="D462" t="s">
        <v>406</v>
      </c>
      <c r="E462" t="s">
        <v>407</v>
      </c>
      <c r="F462" t="s">
        <v>454</v>
      </c>
      <c r="G462" t="s">
        <v>409</v>
      </c>
      <c r="H462">
        <v>20</v>
      </c>
      <c r="I462">
        <v>529</v>
      </c>
      <c r="J462">
        <v>1455</v>
      </c>
      <c r="K462">
        <v>10580</v>
      </c>
      <c r="L462">
        <v>29100</v>
      </c>
      <c r="M462">
        <v>18520</v>
      </c>
      <c r="N462" t="s">
        <v>410</v>
      </c>
    </row>
    <row r="463" spans="1:14" x14ac:dyDescent="0.3">
      <c r="A463" s="16">
        <v>45574</v>
      </c>
      <c r="B463" t="s">
        <v>422</v>
      </c>
      <c r="C463" t="s">
        <v>682</v>
      </c>
      <c r="D463" t="s">
        <v>418</v>
      </c>
      <c r="E463" t="s">
        <v>419</v>
      </c>
      <c r="F463" t="s">
        <v>510</v>
      </c>
      <c r="G463" t="s">
        <v>409</v>
      </c>
      <c r="H463">
        <v>63</v>
      </c>
      <c r="I463">
        <v>747</v>
      </c>
      <c r="J463">
        <v>778</v>
      </c>
      <c r="K463">
        <v>47061</v>
      </c>
      <c r="L463">
        <v>49014</v>
      </c>
      <c r="M463">
        <v>1953</v>
      </c>
      <c r="N463" t="s">
        <v>410</v>
      </c>
    </row>
    <row r="464" spans="1:14" x14ac:dyDescent="0.3">
      <c r="A464" s="16">
        <v>45674</v>
      </c>
      <c r="B464" t="s">
        <v>462</v>
      </c>
      <c r="C464" t="s">
        <v>599</v>
      </c>
      <c r="D464" t="s">
        <v>418</v>
      </c>
      <c r="E464" t="s">
        <v>419</v>
      </c>
      <c r="F464" t="s">
        <v>420</v>
      </c>
      <c r="G464" t="s">
        <v>409</v>
      </c>
      <c r="H464">
        <v>66</v>
      </c>
      <c r="I464">
        <v>710</v>
      </c>
      <c r="J464">
        <v>1034</v>
      </c>
      <c r="K464">
        <v>46860</v>
      </c>
      <c r="L464">
        <v>68244</v>
      </c>
      <c r="M464">
        <v>21384</v>
      </c>
      <c r="N464" t="s">
        <v>410</v>
      </c>
    </row>
    <row r="465" spans="1:14" x14ac:dyDescent="0.3">
      <c r="A465" s="16">
        <v>45666</v>
      </c>
      <c r="B465" t="s">
        <v>462</v>
      </c>
      <c r="C465" t="s">
        <v>625</v>
      </c>
      <c r="D465" t="s">
        <v>418</v>
      </c>
      <c r="E465" t="s">
        <v>453</v>
      </c>
      <c r="F465" t="s">
        <v>408</v>
      </c>
      <c r="G465" t="s">
        <v>428</v>
      </c>
      <c r="H465">
        <v>51</v>
      </c>
      <c r="I465">
        <v>925</v>
      </c>
      <c r="J465">
        <v>750</v>
      </c>
      <c r="K465">
        <v>47175</v>
      </c>
      <c r="L465">
        <v>38250</v>
      </c>
      <c r="M465">
        <v>-8925</v>
      </c>
      <c r="N465" t="s">
        <v>421</v>
      </c>
    </row>
    <row r="466" spans="1:14" x14ac:dyDescent="0.3">
      <c r="A466" s="16">
        <v>45562</v>
      </c>
      <c r="B466" t="s">
        <v>431</v>
      </c>
      <c r="C466" t="s">
        <v>587</v>
      </c>
      <c r="D466" t="s">
        <v>406</v>
      </c>
      <c r="E466" t="s">
        <v>470</v>
      </c>
      <c r="F466" t="s">
        <v>408</v>
      </c>
      <c r="G466" t="s">
        <v>428</v>
      </c>
      <c r="H466">
        <v>16</v>
      </c>
      <c r="I466">
        <v>963</v>
      </c>
      <c r="J466">
        <v>1186</v>
      </c>
      <c r="K466">
        <v>15408</v>
      </c>
      <c r="L466">
        <v>18976</v>
      </c>
      <c r="M466">
        <v>3568</v>
      </c>
      <c r="N466" t="s">
        <v>410</v>
      </c>
    </row>
    <row r="467" spans="1:14" x14ac:dyDescent="0.3">
      <c r="A467" s="16">
        <v>45698</v>
      </c>
      <c r="B467" t="s">
        <v>459</v>
      </c>
      <c r="C467" t="s">
        <v>730</v>
      </c>
      <c r="D467" t="s">
        <v>413</v>
      </c>
      <c r="E467" t="s">
        <v>444</v>
      </c>
      <c r="F467" t="s">
        <v>465</v>
      </c>
      <c r="G467" t="s">
        <v>409</v>
      </c>
      <c r="H467">
        <v>26</v>
      </c>
      <c r="I467">
        <v>751</v>
      </c>
      <c r="J467">
        <v>1292</v>
      </c>
      <c r="K467">
        <v>19526</v>
      </c>
      <c r="L467">
        <v>33592</v>
      </c>
      <c r="M467">
        <v>14066</v>
      </c>
      <c r="N467" t="s">
        <v>410</v>
      </c>
    </row>
    <row r="468" spans="1:14" x14ac:dyDescent="0.3">
      <c r="A468" s="16">
        <v>45445</v>
      </c>
      <c r="B468" t="s">
        <v>404</v>
      </c>
      <c r="C468" t="s">
        <v>631</v>
      </c>
      <c r="D468" t="s">
        <v>418</v>
      </c>
      <c r="E468" t="s">
        <v>419</v>
      </c>
      <c r="F468" t="s">
        <v>426</v>
      </c>
      <c r="G468" t="s">
        <v>428</v>
      </c>
      <c r="H468">
        <v>94</v>
      </c>
      <c r="I468">
        <v>721</v>
      </c>
      <c r="J468">
        <v>996</v>
      </c>
      <c r="K468">
        <v>67774</v>
      </c>
      <c r="L468">
        <v>93624</v>
      </c>
      <c r="M468">
        <v>25850</v>
      </c>
      <c r="N468" t="s">
        <v>410</v>
      </c>
    </row>
    <row r="469" spans="1:14" x14ac:dyDescent="0.3">
      <c r="A469" s="16">
        <v>45464</v>
      </c>
      <c r="B469" t="s">
        <v>404</v>
      </c>
      <c r="C469" t="s">
        <v>731</v>
      </c>
      <c r="D469" t="s">
        <v>418</v>
      </c>
      <c r="E469" t="s">
        <v>453</v>
      </c>
      <c r="F469" t="s">
        <v>451</v>
      </c>
      <c r="G469" t="s">
        <v>409</v>
      </c>
      <c r="H469">
        <v>75</v>
      </c>
      <c r="I469">
        <v>859</v>
      </c>
      <c r="J469">
        <v>1486</v>
      </c>
      <c r="K469">
        <v>64425</v>
      </c>
      <c r="L469">
        <v>111450</v>
      </c>
      <c r="M469">
        <v>47025</v>
      </c>
      <c r="N469" t="s">
        <v>410</v>
      </c>
    </row>
    <row r="470" spans="1:14" x14ac:dyDescent="0.3">
      <c r="A470" s="16">
        <v>45655</v>
      </c>
      <c r="B470" t="s">
        <v>416</v>
      </c>
      <c r="C470" t="s">
        <v>661</v>
      </c>
      <c r="D470" t="s">
        <v>418</v>
      </c>
      <c r="E470" t="s">
        <v>419</v>
      </c>
      <c r="F470" t="s">
        <v>424</v>
      </c>
      <c r="G470" t="s">
        <v>428</v>
      </c>
      <c r="H470">
        <v>72</v>
      </c>
      <c r="I470">
        <v>829</v>
      </c>
      <c r="J470">
        <v>1165</v>
      </c>
      <c r="K470">
        <v>59688</v>
      </c>
      <c r="L470">
        <v>83880</v>
      </c>
      <c r="M470">
        <v>24192</v>
      </c>
      <c r="N470" t="s">
        <v>410</v>
      </c>
    </row>
    <row r="471" spans="1:14" x14ac:dyDescent="0.3">
      <c r="A471" s="16">
        <v>45440</v>
      </c>
      <c r="B471" t="s">
        <v>437</v>
      </c>
      <c r="C471" t="s">
        <v>648</v>
      </c>
      <c r="D471" t="s">
        <v>418</v>
      </c>
      <c r="E471" t="s">
        <v>453</v>
      </c>
      <c r="F471" t="s">
        <v>415</v>
      </c>
      <c r="G471" t="s">
        <v>428</v>
      </c>
      <c r="H471">
        <v>88</v>
      </c>
      <c r="I471">
        <v>607</v>
      </c>
      <c r="J471">
        <v>1268</v>
      </c>
      <c r="K471">
        <v>53416</v>
      </c>
      <c r="L471">
        <v>111584</v>
      </c>
      <c r="M471">
        <v>58168</v>
      </c>
      <c r="N471" t="s">
        <v>410</v>
      </c>
    </row>
    <row r="472" spans="1:14" x14ac:dyDescent="0.3">
      <c r="A472" s="16">
        <v>45667</v>
      </c>
      <c r="B472" t="s">
        <v>462</v>
      </c>
      <c r="C472" t="s">
        <v>684</v>
      </c>
      <c r="D472" t="s">
        <v>418</v>
      </c>
      <c r="E472" t="s">
        <v>453</v>
      </c>
      <c r="F472" t="s">
        <v>433</v>
      </c>
      <c r="G472" t="s">
        <v>428</v>
      </c>
      <c r="H472">
        <v>60</v>
      </c>
      <c r="I472">
        <v>509</v>
      </c>
      <c r="J472">
        <v>954</v>
      </c>
      <c r="K472">
        <v>30540</v>
      </c>
      <c r="L472">
        <v>57240</v>
      </c>
      <c r="M472">
        <v>26700</v>
      </c>
      <c r="N472" t="s">
        <v>410</v>
      </c>
    </row>
    <row r="473" spans="1:14" x14ac:dyDescent="0.3">
      <c r="A473" s="16">
        <v>45460</v>
      </c>
      <c r="B473" t="s">
        <v>404</v>
      </c>
      <c r="C473" t="s">
        <v>712</v>
      </c>
      <c r="D473" t="s">
        <v>406</v>
      </c>
      <c r="E473" t="s">
        <v>470</v>
      </c>
      <c r="F473" t="s">
        <v>465</v>
      </c>
      <c r="G473" t="s">
        <v>428</v>
      </c>
      <c r="H473">
        <v>15</v>
      </c>
      <c r="I473">
        <v>545</v>
      </c>
      <c r="J473">
        <v>1182</v>
      </c>
      <c r="K473">
        <v>8175</v>
      </c>
      <c r="L473">
        <v>17730</v>
      </c>
      <c r="M473">
        <v>9555</v>
      </c>
      <c r="N473" t="s">
        <v>410</v>
      </c>
    </row>
    <row r="474" spans="1:14" x14ac:dyDescent="0.3">
      <c r="A474" s="16">
        <v>45665</v>
      </c>
      <c r="B474" t="s">
        <v>462</v>
      </c>
      <c r="C474" t="s">
        <v>584</v>
      </c>
      <c r="D474" t="s">
        <v>406</v>
      </c>
      <c r="E474" t="s">
        <v>470</v>
      </c>
      <c r="F474" t="s">
        <v>424</v>
      </c>
      <c r="G474" t="s">
        <v>428</v>
      </c>
      <c r="H474">
        <v>15</v>
      </c>
      <c r="I474">
        <v>827</v>
      </c>
      <c r="J474">
        <v>931</v>
      </c>
      <c r="K474">
        <v>12405</v>
      </c>
      <c r="L474">
        <v>13965</v>
      </c>
      <c r="M474">
        <v>1560</v>
      </c>
      <c r="N474" t="s">
        <v>410</v>
      </c>
    </row>
    <row r="475" spans="1:14" x14ac:dyDescent="0.3">
      <c r="A475" s="16">
        <v>45530</v>
      </c>
      <c r="B475" t="s">
        <v>434</v>
      </c>
      <c r="C475" t="s">
        <v>534</v>
      </c>
      <c r="D475" t="s">
        <v>418</v>
      </c>
      <c r="E475" t="s">
        <v>453</v>
      </c>
      <c r="F475" t="s">
        <v>420</v>
      </c>
      <c r="G475" t="s">
        <v>409</v>
      </c>
      <c r="H475">
        <v>62</v>
      </c>
      <c r="I475">
        <v>781</v>
      </c>
      <c r="J475">
        <v>946</v>
      </c>
      <c r="K475">
        <v>48422</v>
      </c>
      <c r="L475">
        <v>58652</v>
      </c>
      <c r="M475">
        <v>10230</v>
      </c>
      <c r="N475" t="s">
        <v>410</v>
      </c>
    </row>
    <row r="476" spans="1:14" x14ac:dyDescent="0.3">
      <c r="A476" s="16">
        <v>45456</v>
      </c>
      <c r="B476" t="s">
        <v>404</v>
      </c>
      <c r="C476" t="s">
        <v>503</v>
      </c>
      <c r="D476" t="s">
        <v>406</v>
      </c>
      <c r="E476" t="s">
        <v>470</v>
      </c>
      <c r="F476" t="s">
        <v>504</v>
      </c>
      <c r="G476" t="s">
        <v>409</v>
      </c>
      <c r="H476">
        <v>20</v>
      </c>
      <c r="I476">
        <v>731</v>
      </c>
      <c r="J476">
        <v>1186</v>
      </c>
      <c r="K476">
        <v>14620</v>
      </c>
      <c r="L476">
        <v>23720</v>
      </c>
      <c r="M476">
        <v>9100</v>
      </c>
      <c r="N476" t="s">
        <v>410</v>
      </c>
    </row>
    <row r="477" spans="1:14" x14ac:dyDescent="0.3">
      <c r="A477" s="16">
        <v>45589</v>
      </c>
      <c r="B477" t="s">
        <v>422</v>
      </c>
      <c r="C477" t="s">
        <v>702</v>
      </c>
      <c r="D477" t="s">
        <v>413</v>
      </c>
      <c r="E477" t="s">
        <v>494</v>
      </c>
      <c r="F477" t="s">
        <v>454</v>
      </c>
      <c r="G477" t="s">
        <v>409</v>
      </c>
      <c r="H477">
        <v>28</v>
      </c>
      <c r="I477">
        <v>537</v>
      </c>
      <c r="J477">
        <v>828</v>
      </c>
      <c r="K477">
        <v>15036</v>
      </c>
      <c r="L477">
        <v>23184</v>
      </c>
      <c r="M477">
        <v>8148</v>
      </c>
      <c r="N477" t="s">
        <v>410</v>
      </c>
    </row>
    <row r="478" spans="1:14" x14ac:dyDescent="0.3">
      <c r="A478" s="16">
        <v>45650</v>
      </c>
      <c r="B478" t="s">
        <v>416</v>
      </c>
      <c r="C478" t="s">
        <v>732</v>
      </c>
      <c r="D478" t="s">
        <v>418</v>
      </c>
      <c r="E478" t="s">
        <v>419</v>
      </c>
      <c r="F478" t="s">
        <v>566</v>
      </c>
      <c r="G478" t="s">
        <v>409</v>
      </c>
      <c r="H478">
        <v>67</v>
      </c>
      <c r="I478">
        <v>801</v>
      </c>
      <c r="J478">
        <v>1220</v>
      </c>
      <c r="K478">
        <v>53667</v>
      </c>
      <c r="L478">
        <v>81740</v>
      </c>
      <c r="M478">
        <v>28073</v>
      </c>
      <c r="N478" t="s">
        <v>410</v>
      </c>
    </row>
    <row r="479" spans="1:14" x14ac:dyDescent="0.3">
      <c r="A479" s="16">
        <v>45651</v>
      </c>
      <c r="B479" t="s">
        <v>416</v>
      </c>
      <c r="C479" t="s">
        <v>512</v>
      </c>
      <c r="D479" t="s">
        <v>418</v>
      </c>
      <c r="E479" t="s">
        <v>419</v>
      </c>
      <c r="F479" t="s">
        <v>442</v>
      </c>
      <c r="G479" t="s">
        <v>409</v>
      </c>
      <c r="H479">
        <v>57</v>
      </c>
      <c r="I479">
        <v>647</v>
      </c>
      <c r="J479">
        <v>905</v>
      </c>
      <c r="K479">
        <v>36879</v>
      </c>
      <c r="L479">
        <v>51585</v>
      </c>
      <c r="M479">
        <v>14706</v>
      </c>
      <c r="N479" t="s">
        <v>410</v>
      </c>
    </row>
    <row r="480" spans="1:14" x14ac:dyDescent="0.3">
      <c r="A480" s="16">
        <v>45455</v>
      </c>
      <c r="B480" t="s">
        <v>404</v>
      </c>
      <c r="C480" t="s">
        <v>634</v>
      </c>
      <c r="D480" t="s">
        <v>406</v>
      </c>
      <c r="E480" t="s">
        <v>470</v>
      </c>
      <c r="F480" t="s">
        <v>439</v>
      </c>
      <c r="G480" t="s">
        <v>409</v>
      </c>
      <c r="H480">
        <v>16</v>
      </c>
      <c r="I480">
        <v>848</v>
      </c>
      <c r="J480">
        <v>1211</v>
      </c>
      <c r="K480">
        <v>13568</v>
      </c>
      <c r="L480">
        <v>19376</v>
      </c>
      <c r="M480">
        <v>5808</v>
      </c>
      <c r="N480" t="s">
        <v>410</v>
      </c>
    </row>
    <row r="481" spans="1:14" x14ac:dyDescent="0.3">
      <c r="A481" s="16">
        <v>45558</v>
      </c>
      <c r="B481" t="s">
        <v>431</v>
      </c>
      <c r="C481" t="s">
        <v>733</v>
      </c>
      <c r="D481" t="s">
        <v>418</v>
      </c>
      <c r="E481" t="s">
        <v>419</v>
      </c>
      <c r="F481" t="s">
        <v>472</v>
      </c>
      <c r="G481" t="s">
        <v>409</v>
      </c>
      <c r="H481">
        <v>52</v>
      </c>
      <c r="I481">
        <v>766</v>
      </c>
      <c r="J481">
        <v>1318</v>
      </c>
      <c r="K481">
        <v>39832</v>
      </c>
      <c r="L481">
        <v>68536</v>
      </c>
      <c r="M481">
        <v>28704</v>
      </c>
      <c r="N481" t="s">
        <v>410</v>
      </c>
    </row>
    <row r="482" spans="1:14" x14ac:dyDescent="0.3">
      <c r="A482" s="16">
        <v>45414</v>
      </c>
      <c r="B482" t="s">
        <v>437</v>
      </c>
      <c r="C482" t="s">
        <v>734</v>
      </c>
      <c r="D482" t="s">
        <v>413</v>
      </c>
      <c r="E482" t="s">
        <v>414</v>
      </c>
      <c r="F482" t="s">
        <v>510</v>
      </c>
      <c r="G482" t="s">
        <v>428</v>
      </c>
      <c r="H482">
        <v>27</v>
      </c>
      <c r="I482">
        <v>794</v>
      </c>
      <c r="J482">
        <v>905</v>
      </c>
      <c r="K482">
        <v>21438</v>
      </c>
      <c r="L482">
        <v>24435</v>
      </c>
      <c r="M482">
        <v>2997</v>
      </c>
      <c r="N482" t="s">
        <v>410</v>
      </c>
    </row>
    <row r="483" spans="1:14" x14ac:dyDescent="0.3">
      <c r="A483" s="16">
        <v>45581</v>
      </c>
      <c r="B483" t="s">
        <v>422</v>
      </c>
      <c r="C483" t="s">
        <v>735</v>
      </c>
      <c r="D483" t="s">
        <v>406</v>
      </c>
      <c r="E483" t="s">
        <v>407</v>
      </c>
      <c r="F483" t="s">
        <v>424</v>
      </c>
      <c r="G483" t="s">
        <v>428</v>
      </c>
      <c r="H483">
        <v>20</v>
      </c>
      <c r="I483">
        <v>780</v>
      </c>
      <c r="J483">
        <v>783</v>
      </c>
      <c r="K483">
        <v>15600</v>
      </c>
      <c r="L483">
        <v>15660</v>
      </c>
      <c r="M483">
        <v>60</v>
      </c>
      <c r="N483" t="s">
        <v>410</v>
      </c>
    </row>
    <row r="484" spans="1:14" x14ac:dyDescent="0.3">
      <c r="A484" s="16">
        <v>45471</v>
      </c>
      <c r="B484" t="s">
        <v>404</v>
      </c>
      <c r="C484" t="s">
        <v>516</v>
      </c>
      <c r="D484" t="s">
        <v>418</v>
      </c>
      <c r="E484" t="s">
        <v>419</v>
      </c>
      <c r="F484" t="s">
        <v>454</v>
      </c>
      <c r="G484" t="s">
        <v>428</v>
      </c>
      <c r="H484">
        <v>96</v>
      </c>
      <c r="I484">
        <v>961</v>
      </c>
      <c r="J484">
        <v>1174</v>
      </c>
      <c r="K484">
        <v>92256</v>
      </c>
      <c r="L484">
        <v>112704</v>
      </c>
      <c r="M484">
        <v>20448</v>
      </c>
      <c r="N484" t="s">
        <v>410</v>
      </c>
    </row>
    <row r="485" spans="1:14" x14ac:dyDescent="0.3">
      <c r="A485" s="16">
        <v>45466</v>
      </c>
      <c r="B485" t="s">
        <v>404</v>
      </c>
      <c r="C485" t="s">
        <v>591</v>
      </c>
      <c r="D485" t="s">
        <v>418</v>
      </c>
      <c r="E485" t="s">
        <v>419</v>
      </c>
      <c r="F485" t="s">
        <v>426</v>
      </c>
      <c r="G485" t="s">
        <v>409</v>
      </c>
      <c r="H485">
        <v>86</v>
      </c>
      <c r="I485">
        <v>705</v>
      </c>
      <c r="J485">
        <v>1483</v>
      </c>
      <c r="K485">
        <v>60630</v>
      </c>
      <c r="L485">
        <v>127538</v>
      </c>
      <c r="M485">
        <v>66908</v>
      </c>
      <c r="N485" t="s">
        <v>410</v>
      </c>
    </row>
    <row r="486" spans="1:14" x14ac:dyDescent="0.3">
      <c r="A486" s="16">
        <v>45441</v>
      </c>
      <c r="B486" t="s">
        <v>437</v>
      </c>
      <c r="C486" t="s">
        <v>736</v>
      </c>
      <c r="D486" t="s">
        <v>418</v>
      </c>
      <c r="E486" t="s">
        <v>453</v>
      </c>
      <c r="F486" t="s">
        <v>445</v>
      </c>
      <c r="G486" t="s">
        <v>428</v>
      </c>
      <c r="H486">
        <v>67</v>
      </c>
      <c r="I486">
        <v>796</v>
      </c>
      <c r="J486">
        <v>1347</v>
      </c>
      <c r="K486">
        <v>53332</v>
      </c>
      <c r="L486">
        <v>90249</v>
      </c>
      <c r="M486">
        <v>36917</v>
      </c>
      <c r="N486" t="s">
        <v>410</v>
      </c>
    </row>
    <row r="487" spans="1:14" x14ac:dyDescent="0.3">
      <c r="A487" s="16">
        <v>45493</v>
      </c>
      <c r="B487" t="s">
        <v>482</v>
      </c>
      <c r="C487" t="s">
        <v>737</v>
      </c>
      <c r="D487" t="s">
        <v>413</v>
      </c>
      <c r="E487" t="s">
        <v>444</v>
      </c>
      <c r="F487" t="s">
        <v>442</v>
      </c>
      <c r="G487" t="s">
        <v>409</v>
      </c>
      <c r="H487">
        <v>22</v>
      </c>
      <c r="I487">
        <v>779</v>
      </c>
      <c r="J487">
        <v>1301</v>
      </c>
      <c r="K487">
        <v>17138</v>
      </c>
      <c r="L487">
        <v>28622</v>
      </c>
      <c r="M487">
        <v>11484</v>
      </c>
      <c r="N487" t="s">
        <v>410</v>
      </c>
    </row>
    <row r="488" spans="1:14" x14ac:dyDescent="0.3">
      <c r="A488" s="16">
        <v>45520</v>
      </c>
      <c r="B488" t="s">
        <v>434</v>
      </c>
      <c r="C488" t="s">
        <v>446</v>
      </c>
      <c r="D488" t="s">
        <v>413</v>
      </c>
      <c r="E488" t="s">
        <v>444</v>
      </c>
      <c r="F488" t="s">
        <v>415</v>
      </c>
      <c r="G488" t="s">
        <v>428</v>
      </c>
      <c r="H488">
        <v>22</v>
      </c>
      <c r="I488">
        <v>888</v>
      </c>
      <c r="J488">
        <v>1284</v>
      </c>
      <c r="K488">
        <v>19536</v>
      </c>
      <c r="L488">
        <v>28248</v>
      </c>
      <c r="M488">
        <v>8712</v>
      </c>
      <c r="N488" t="s">
        <v>410</v>
      </c>
    </row>
    <row r="489" spans="1:14" x14ac:dyDescent="0.3">
      <c r="A489" s="16">
        <v>45524</v>
      </c>
      <c r="B489" t="s">
        <v>434</v>
      </c>
      <c r="C489" t="s">
        <v>569</v>
      </c>
      <c r="D489" t="s">
        <v>413</v>
      </c>
      <c r="E489" t="s">
        <v>444</v>
      </c>
      <c r="F489" t="s">
        <v>433</v>
      </c>
      <c r="G489" t="s">
        <v>409</v>
      </c>
      <c r="H489">
        <v>27</v>
      </c>
      <c r="I489">
        <v>583</v>
      </c>
      <c r="J489">
        <v>1379</v>
      </c>
      <c r="K489">
        <v>15741</v>
      </c>
      <c r="L489">
        <v>37233</v>
      </c>
      <c r="M489">
        <v>21492</v>
      </c>
      <c r="N489" t="s">
        <v>410</v>
      </c>
    </row>
    <row r="490" spans="1:14" x14ac:dyDescent="0.3">
      <c r="A490" s="16">
        <v>45708</v>
      </c>
      <c r="B490" t="s">
        <v>459</v>
      </c>
      <c r="C490" t="s">
        <v>495</v>
      </c>
      <c r="D490" t="s">
        <v>418</v>
      </c>
      <c r="E490" t="s">
        <v>453</v>
      </c>
      <c r="F490" t="s">
        <v>451</v>
      </c>
      <c r="G490" t="s">
        <v>409</v>
      </c>
      <c r="H490">
        <v>94</v>
      </c>
      <c r="I490">
        <v>513</v>
      </c>
      <c r="J490">
        <v>1318</v>
      </c>
      <c r="K490">
        <v>48222</v>
      </c>
      <c r="L490">
        <v>123892</v>
      </c>
      <c r="M490">
        <v>75670</v>
      </c>
      <c r="N490" t="s">
        <v>410</v>
      </c>
    </row>
    <row r="491" spans="1:14" x14ac:dyDescent="0.3">
      <c r="A491" s="16">
        <v>45563</v>
      </c>
      <c r="B491" t="s">
        <v>431</v>
      </c>
      <c r="C491" t="s">
        <v>605</v>
      </c>
      <c r="D491" t="s">
        <v>406</v>
      </c>
      <c r="E491" t="s">
        <v>470</v>
      </c>
      <c r="F491" t="s">
        <v>433</v>
      </c>
      <c r="G491" t="s">
        <v>409</v>
      </c>
      <c r="H491">
        <v>10</v>
      </c>
      <c r="I491">
        <v>572</v>
      </c>
      <c r="J491">
        <v>801</v>
      </c>
      <c r="K491">
        <v>5720</v>
      </c>
      <c r="L491">
        <v>8010</v>
      </c>
      <c r="M491">
        <v>2290</v>
      </c>
      <c r="N491" t="s">
        <v>410</v>
      </c>
    </row>
    <row r="492" spans="1:14" x14ac:dyDescent="0.3">
      <c r="A492" s="16">
        <v>45527</v>
      </c>
      <c r="B492" t="s">
        <v>434</v>
      </c>
      <c r="C492" t="s">
        <v>461</v>
      </c>
      <c r="D492" t="s">
        <v>413</v>
      </c>
      <c r="E492" t="s">
        <v>444</v>
      </c>
      <c r="F492" t="s">
        <v>454</v>
      </c>
      <c r="G492" t="s">
        <v>409</v>
      </c>
      <c r="H492">
        <v>22</v>
      </c>
      <c r="I492">
        <v>774</v>
      </c>
      <c r="J492">
        <v>1387</v>
      </c>
      <c r="K492">
        <v>17028</v>
      </c>
      <c r="L492">
        <v>30514</v>
      </c>
      <c r="M492">
        <v>13486</v>
      </c>
      <c r="N492" t="s">
        <v>410</v>
      </c>
    </row>
    <row r="493" spans="1:14" x14ac:dyDescent="0.3">
      <c r="A493" s="16">
        <v>45430</v>
      </c>
      <c r="B493" t="s">
        <v>437</v>
      </c>
      <c r="C493" t="s">
        <v>676</v>
      </c>
      <c r="D493" t="s">
        <v>413</v>
      </c>
      <c r="E493" t="s">
        <v>444</v>
      </c>
      <c r="F493" t="s">
        <v>451</v>
      </c>
      <c r="G493" t="s">
        <v>428</v>
      </c>
      <c r="H493">
        <v>26</v>
      </c>
      <c r="I493">
        <v>596</v>
      </c>
      <c r="J493">
        <v>1136</v>
      </c>
      <c r="K493">
        <v>15496</v>
      </c>
      <c r="L493">
        <v>29536</v>
      </c>
      <c r="M493">
        <v>14040</v>
      </c>
      <c r="N493" t="s">
        <v>410</v>
      </c>
    </row>
    <row r="494" spans="1:14" x14ac:dyDescent="0.3">
      <c r="A494" s="16">
        <v>45590</v>
      </c>
      <c r="B494" t="s">
        <v>422</v>
      </c>
      <c r="C494" t="s">
        <v>716</v>
      </c>
      <c r="D494" t="s">
        <v>413</v>
      </c>
      <c r="E494" t="s">
        <v>494</v>
      </c>
      <c r="F494" t="s">
        <v>433</v>
      </c>
      <c r="G494" t="s">
        <v>428</v>
      </c>
      <c r="H494">
        <v>29</v>
      </c>
      <c r="I494">
        <v>774</v>
      </c>
      <c r="J494">
        <v>793</v>
      </c>
      <c r="K494">
        <v>22446</v>
      </c>
      <c r="L494">
        <v>22997</v>
      </c>
      <c r="M494">
        <v>551</v>
      </c>
      <c r="N494" t="s">
        <v>410</v>
      </c>
    </row>
    <row r="495" spans="1:14" x14ac:dyDescent="0.3">
      <c r="A495" s="16">
        <v>45436</v>
      </c>
      <c r="B495" t="s">
        <v>437</v>
      </c>
      <c r="C495" t="s">
        <v>672</v>
      </c>
      <c r="D495" t="s">
        <v>418</v>
      </c>
      <c r="E495" t="s">
        <v>453</v>
      </c>
      <c r="F495" t="s">
        <v>532</v>
      </c>
      <c r="G495" t="s">
        <v>409</v>
      </c>
      <c r="H495">
        <v>69</v>
      </c>
      <c r="I495">
        <v>860</v>
      </c>
      <c r="J495">
        <v>1081</v>
      </c>
      <c r="K495">
        <v>59340</v>
      </c>
      <c r="L495">
        <v>74589</v>
      </c>
      <c r="M495">
        <v>15249</v>
      </c>
      <c r="N495" t="s">
        <v>410</v>
      </c>
    </row>
    <row r="496" spans="1:14" x14ac:dyDescent="0.3">
      <c r="A496" s="16">
        <v>45521</v>
      </c>
      <c r="B496" t="s">
        <v>434</v>
      </c>
      <c r="C496" t="s">
        <v>443</v>
      </c>
      <c r="D496" t="s">
        <v>413</v>
      </c>
      <c r="E496" t="s">
        <v>444</v>
      </c>
      <c r="F496" t="s">
        <v>445</v>
      </c>
      <c r="G496" t="s">
        <v>428</v>
      </c>
      <c r="H496">
        <v>28</v>
      </c>
      <c r="I496">
        <v>855</v>
      </c>
      <c r="J496">
        <v>930</v>
      </c>
      <c r="K496">
        <v>23940</v>
      </c>
      <c r="L496">
        <v>26040</v>
      </c>
      <c r="M496">
        <v>2100</v>
      </c>
      <c r="N496" t="s">
        <v>410</v>
      </c>
    </row>
    <row r="497" spans="1:14" x14ac:dyDescent="0.3">
      <c r="A497" s="16">
        <v>45572</v>
      </c>
      <c r="B497" t="s">
        <v>422</v>
      </c>
      <c r="C497" t="s">
        <v>602</v>
      </c>
      <c r="D497" t="s">
        <v>418</v>
      </c>
      <c r="E497" t="s">
        <v>453</v>
      </c>
      <c r="F497" t="s">
        <v>566</v>
      </c>
      <c r="G497" t="s">
        <v>409</v>
      </c>
      <c r="H497">
        <v>98</v>
      </c>
      <c r="I497">
        <v>865</v>
      </c>
      <c r="J497">
        <v>1260</v>
      </c>
      <c r="K497">
        <v>84770</v>
      </c>
      <c r="L497">
        <v>123480</v>
      </c>
      <c r="M497">
        <v>38710</v>
      </c>
      <c r="N497" t="s">
        <v>410</v>
      </c>
    </row>
    <row r="498" spans="1:14" x14ac:dyDescent="0.3">
      <c r="A498" s="16">
        <v>45410</v>
      </c>
      <c r="B498" t="s">
        <v>449</v>
      </c>
      <c r="C498" t="s">
        <v>674</v>
      </c>
      <c r="D498" t="s">
        <v>413</v>
      </c>
      <c r="E498" t="s">
        <v>414</v>
      </c>
      <c r="F498" t="s">
        <v>420</v>
      </c>
      <c r="G498" t="s">
        <v>409</v>
      </c>
      <c r="H498">
        <v>23</v>
      </c>
      <c r="I498">
        <v>736</v>
      </c>
      <c r="J498">
        <v>872</v>
      </c>
      <c r="K498">
        <v>16928</v>
      </c>
      <c r="L498">
        <v>20056</v>
      </c>
      <c r="M498">
        <v>3128</v>
      </c>
      <c r="N498" t="s">
        <v>410</v>
      </c>
    </row>
    <row r="499" spans="1:14" x14ac:dyDescent="0.3">
      <c r="A499" s="16">
        <v>45417</v>
      </c>
      <c r="B499" t="s">
        <v>437</v>
      </c>
      <c r="C499" t="s">
        <v>562</v>
      </c>
      <c r="D499" t="s">
        <v>413</v>
      </c>
      <c r="E499" t="s">
        <v>414</v>
      </c>
      <c r="F499" t="s">
        <v>424</v>
      </c>
      <c r="G499" t="s">
        <v>428</v>
      </c>
      <c r="H499">
        <v>26</v>
      </c>
      <c r="I499">
        <v>985</v>
      </c>
      <c r="J499">
        <v>1407</v>
      </c>
      <c r="K499">
        <v>25610</v>
      </c>
      <c r="L499">
        <v>36582</v>
      </c>
      <c r="M499">
        <v>10972</v>
      </c>
      <c r="N499" t="s">
        <v>410</v>
      </c>
    </row>
    <row r="500" spans="1:14" x14ac:dyDescent="0.3">
      <c r="A500" s="16">
        <v>45616</v>
      </c>
      <c r="B500" t="s">
        <v>411</v>
      </c>
      <c r="C500" t="s">
        <v>596</v>
      </c>
      <c r="D500" t="s">
        <v>413</v>
      </c>
      <c r="E500" t="s">
        <v>414</v>
      </c>
      <c r="F500" t="s">
        <v>433</v>
      </c>
      <c r="G500" t="s">
        <v>409</v>
      </c>
      <c r="H500">
        <v>24</v>
      </c>
      <c r="I500">
        <v>927</v>
      </c>
      <c r="J500">
        <v>1379</v>
      </c>
      <c r="K500">
        <v>22248</v>
      </c>
      <c r="L500">
        <v>33096</v>
      </c>
      <c r="M500">
        <v>10848</v>
      </c>
      <c r="N500" t="s">
        <v>410</v>
      </c>
    </row>
    <row r="501" spans="1:14" x14ac:dyDescent="0.3">
      <c r="A501" s="16">
        <v>45604</v>
      </c>
      <c r="B501" t="s">
        <v>411</v>
      </c>
      <c r="C501" t="s">
        <v>711</v>
      </c>
      <c r="D501" t="s">
        <v>418</v>
      </c>
      <c r="E501" t="s">
        <v>448</v>
      </c>
      <c r="F501" t="s">
        <v>478</v>
      </c>
      <c r="G501" t="s">
        <v>409</v>
      </c>
      <c r="H501">
        <v>64</v>
      </c>
      <c r="I501">
        <v>529</v>
      </c>
      <c r="J501">
        <v>1195</v>
      </c>
      <c r="K501">
        <v>33856</v>
      </c>
      <c r="L501">
        <v>76480</v>
      </c>
      <c r="M501">
        <v>42624</v>
      </c>
      <c r="N501" t="s">
        <v>410</v>
      </c>
    </row>
    <row r="502" spans="1:14" x14ac:dyDescent="0.3">
      <c r="A502" s="16">
        <v>45634</v>
      </c>
      <c r="B502" t="s">
        <v>416</v>
      </c>
      <c r="C502" t="s">
        <v>636</v>
      </c>
      <c r="D502" t="s">
        <v>413</v>
      </c>
      <c r="E502" t="s">
        <v>444</v>
      </c>
      <c r="F502" t="s">
        <v>566</v>
      </c>
      <c r="G502" t="s">
        <v>428</v>
      </c>
      <c r="H502">
        <v>29</v>
      </c>
      <c r="I502">
        <v>989</v>
      </c>
      <c r="J502">
        <v>836</v>
      </c>
      <c r="K502">
        <v>28681</v>
      </c>
      <c r="L502">
        <v>24244</v>
      </c>
      <c r="M502">
        <v>-4437</v>
      </c>
      <c r="N502" t="s">
        <v>421</v>
      </c>
    </row>
    <row r="503" spans="1:14" x14ac:dyDescent="0.3">
      <c r="A503" s="16">
        <v>45450</v>
      </c>
      <c r="B503" t="s">
        <v>404</v>
      </c>
      <c r="C503" t="s">
        <v>738</v>
      </c>
      <c r="D503" t="s">
        <v>418</v>
      </c>
      <c r="E503" t="s">
        <v>419</v>
      </c>
      <c r="F503" t="s">
        <v>420</v>
      </c>
      <c r="G503" t="s">
        <v>409</v>
      </c>
      <c r="H503">
        <v>71</v>
      </c>
      <c r="I503">
        <v>923</v>
      </c>
      <c r="J503">
        <v>996</v>
      </c>
      <c r="K503">
        <v>65533</v>
      </c>
      <c r="L503">
        <v>70716</v>
      </c>
      <c r="M503">
        <v>5183</v>
      </c>
      <c r="N503" t="s">
        <v>410</v>
      </c>
    </row>
    <row r="504" spans="1:14" x14ac:dyDescent="0.3">
      <c r="A504" s="16">
        <v>45467</v>
      </c>
      <c r="B504" t="s">
        <v>404</v>
      </c>
      <c r="C504" t="s">
        <v>528</v>
      </c>
      <c r="D504" t="s">
        <v>418</v>
      </c>
      <c r="E504" t="s">
        <v>419</v>
      </c>
      <c r="F504" t="s">
        <v>478</v>
      </c>
      <c r="G504" t="s">
        <v>428</v>
      </c>
      <c r="H504">
        <v>80</v>
      </c>
      <c r="I504">
        <v>901</v>
      </c>
      <c r="J504">
        <v>1109</v>
      </c>
      <c r="K504">
        <v>72080</v>
      </c>
      <c r="L504">
        <v>88720</v>
      </c>
      <c r="M504">
        <v>16640</v>
      </c>
      <c r="N504" t="s">
        <v>410</v>
      </c>
    </row>
    <row r="505" spans="1:14" x14ac:dyDescent="0.3">
      <c r="A505" s="16">
        <v>45661</v>
      </c>
      <c r="B505" t="s">
        <v>462</v>
      </c>
      <c r="C505" t="s">
        <v>739</v>
      </c>
      <c r="D505" t="s">
        <v>406</v>
      </c>
      <c r="E505" t="s">
        <v>470</v>
      </c>
      <c r="F505" t="s">
        <v>542</v>
      </c>
      <c r="G505" t="s">
        <v>409</v>
      </c>
      <c r="H505">
        <v>14</v>
      </c>
      <c r="I505">
        <v>579</v>
      </c>
      <c r="J505">
        <v>907</v>
      </c>
      <c r="K505">
        <v>8106</v>
      </c>
      <c r="L505">
        <v>12698</v>
      </c>
      <c r="M505">
        <v>4592</v>
      </c>
      <c r="N505" t="s">
        <v>410</v>
      </c>
    </row>
    <row r="506" spans="1:14" x14ac:dyDescent="0.3">
      <c r="A506" s="16">
        <v>45459</v>
      </c>
      <c r="B506" t="s">
        <v>404</v>
      </c>
      <c r="C506" t="s">
        <v>694</v>
      </c>
      <c r="D506" t="s">
        <v>406</v>
      </c>
      <c r="E506" t="s">
        <v>470</v>
      </c>
      <c r="F506" t="s">
        <v>532</v>
      </c>
      <c r="G506" t="s">
        <v>428</v>
      </c>
      <c r="H506">
        <v>14</v>
      </c>
      <c r="I506">
        <v>906</v>
      </c>
      <c r="J506">
        <v>1327</v>
      </c>
      <c r="K506">
        <v>12684</v>
      </c>
      <c r="L506">
        <v>18578</v>
      </c>
      <c r="M506">
        <v>5894</v>
      </c>
      <c r="N506" t="s">
        <v>410</v>
      </c>
    </row>
    <row r="507" spans="1:14" x14ac:dyDescent="0.3">
      <c r="A507" s="16">
        <v>45542</v>
      </c>
      <c r="B507" t="s">
        <v>431</v>
      </c>
      <c r="C507" t="s">
        <v>489</v>
      </c>
      <c r="D507" t="s">
        <v>418</v>
      </c>
      <c r="E507" t="s">
        <v>419</v>
      </c>
      <c r="F507" t="s">
        <v>478</v>
      </c>
      <c r="G507" t="s">
        <v>428</v>
      </c>
      <c r="H507">
        <v>91</v>
      </c>
      <c r="I507">
        <v>647</v>
      </c>
      <c r="J507">
        <v>1073</v>
      </c>
      <c r="K507">
        <v>58877</v>
      </c>
      <c r="L507">
        <v>97643</v>
      </c>
      <c r="M507">
        <v>38766</v>
      </c>
      <c r="N507" t="s">
        <v>410</v>
      </c>
    </row>
    <row r="508" spans="1:14" x14ac:dyDescent="0.3">
      <c r="A508" s="16">
        <v>45607</v>
      </c>
      <c r="B508" t="s">
        <v>411</v>
      </c>
      <c r="C508" t="s">
        <v>539</v>
      </c>
      <c r="D508" t="s">
        <v>418</v>
      </c>
      <c r="E508" t="s">
        <v>448</v>
      </c>
      <c r="F508" t="s">
        <v>424</v>
      </c>
      <c r="G508" t="s">
        <v>409</v>
      </c>
      <c r="H508">
        <v>71</v>
      </c>
      <c r="I508">
        <v>739</v>
      </c>
      <c r="J508">
        <v>1353</v>
      </c>
      <c r="K508">
        <v>52469</v>
      </c>
      <c r="L508">
        <v>96063</v>
      </c>
      <c r="M508">
        <v>43594</v>
      </c>
      <c r="N508" t="s">
        <v>410</v>
      </c>
    </row>
    <row r="509" spans="1:14" x14ac:dyDescent="0.3">
      <c r="A509" s="16">
        <v>45567</v>
      </c>
      <c r="B509" t="s">
        <v>422</v>
      </c>
      <c r="C509" t="s">
        <v>740</v>
      </c>
      <c r="D509" t="s">
        <v>406</v>
      </c>
      <c r="E509" t="s">
        <v>470</v>
      </c>
      <c r="F509" t="s">
        <v>454</v>
      </c>
      <c r="G509" t="s">
        <v>409</v>
      </c>
      <c r="H509">
        <v>11</v>
      </c>
      <c r="I509">
        <v>654</v>
      </c>
      <c r="J509">
        <v>767</v>
      </c>
      <c r="K509">
        <v>7194</v>
      </c>
      <c r="L509">
        <v>8437</v>
      </c>
      <c r="M509">
        <v>1243</v>
      </c>
      <c r="N509" t="s">
        <v>410</v>
      </c>
    </row>
    <row r="510" spans="1:14" x14ac:dyDescent="0.3">
      <c r="A510" s="16">
        <v>45584</v>
      </c>
      <c r="B510" t="s">
        <v>422</v>
      </c>
      <c r="C510" t="s">
        <v>649</v>
      </c>
      <c r="D510" t="s">
        <v>406</v>
      </c>
      <c r="E510" t="s">
        <v>407</v>
      </c>
      <c r="F510" t="s">
        <v>408</v>
      </c>
      <c r="G510" t="s">
        <v>409</v>
      </c>
      <c r="H510">
        <v>15</v>
      </c>
      <c r="I510">
        <v>747</v>
      </c>
      <c r="J510">
        <v>966</v>
      </c>
      <c r="K510">
        <v>11205</v>
      </c>
      <c r="L510">
        <v>14490</v>
      </c>
      <c r="M510">
        <v>3285</v>
      </c>
      <c r="N510" t="s">
        <v>410</v>
      </c>
    </row>
    <row r="511" spans="1:14" x14ac:dyDescent="0.3">
      <c r="A511" s="16">
        <v>45452</v>
      </c>
      <c r="B511" t="s">
        <v>404</v>
      </c>
      <c r="C511" t="s">
        <v>728</v>
      </c>
      <c r="D511" t="s">
        <v>418</v>
      </c>
      <c r="E511" t="s">
        <v>419</v>
      </c>
      <c r="F511" t="s">
        <v>566</v>
      </c>
      <c r="G511" t="s">
        <v>409</v>
      </c>
      <c r="H511">
        <v>93</v>
      </c>
      <c r="I511">
        <v>658</v>
      </c>
      <c r="J511">
        <v>1303</v>
      </c>
      <c r="K511">
        <v>61194</v>
      </c>
      <c r="L511">
        <v>121179</v>
      </c>
      <c r="M511">
        <v>59985</v>
      </c>
      <c r="N511" t="s">
        <v>410</v>
      </c>
    </row>
    <row r="512" spans="1:14" x14ac:dyDescent="0.3">
      <c r="A512" s="16">
        <v>45438</v>
      </c>
      <c r="B512" t="s">
        <v>437</v>
      </c>
      <c r="C512" t="s">
        <v>480</v>
      </c>
      <c r="D512" t="s">
        <v>418</v>
      </c>
      <c r="E512" t="s">
        <v>453</v>
      </c>
      <c r="F512" t="s">
        <v>472</v>
      </c>
      <c r="G512" t="s">
        <v>409</v>
      </c>
      <c r="H512">
        <v>72</v>
      </c>
      <c r="I512">
        <v>805</v>
      </c>
      <c r="J512">
        <v>826</v>
      </c>
      <c r="K512">
        <v>57960</v>
      </c>
      <c r="L512">
        <v>59472</v>
      </c>
      <c r="M512">
        <v>1512</v>
      </c>
      <c r="N512" t="s">
        <v>410</v>
      </c>
    </row>
    <row r="513" spans="1:14" x14ac:dyDescent="0.3">
      <c r="A513" s="16">
        <v>45461</v>
      </c>
      <c r="B513" t="s">
        <v>404</v>
      </c>
      <c r="C513" t="s">
        <v>741</v>
      </c>
      <c r="D513" t="s">
        <v>418</v>
      </c>
      <c r="E513" t="s">
        <v>453</v>
      </c>
      <c r="F513" t="s">
        <v>424</v>
      </c>
      <c r="G513" t="s">
        <v>428</v>
      </c>
      <c r="H513">
        <v>73</v>
      </c>
      <c r="I513">
        <v>541</v>
      </c>
      <c r="J513">
        <v>1114</v>
      </c>
      <c r="K513">
        <v>39493</v>
      </c>
      <c r="L513">
        <v>81322</v>
      </c>
      <c r="M513">
        <v>41829</v>
      </c>
      <c r="N513" t="s">
        <v>410</v>
      </c>
    </row>
    <row r="514" spans="1:14" x14ac:dyDescent="0.3">
      <c r="A514" s="16">
        <v>45411</v>
      </c>
      <c r="B514" t="s">
        <v>449</v>
      </c>
      <c r="C514" t="s">
        <v>742</v>
      </c>
      <c r="D514" t="s">
        <v>413</v>
      </c>
      <c r="E514" t="s">
        <v>414</v>
      </c>
      <c r="F514" t="s">
        <v>451</v>
      </c>
      <c r="G514" t="s">
        <v>409</v>
      </c>
      <c r="H514">
        <v>26</v>
      </c>
      <c r="I514">
        <v>647</v>
      </c>
      <c r="J514">
        <v>1025</v>
      </c>
      <c r="K514">
        <v>16822</v>
      </c>
      <c r="L514">
        <v>26650</v>
      </c>
      <c r="M514">
        <v>9828</v>
      </c>
      <c r="N514" t="s">
        <v>410</v>
      </c>
    </row>
    <row r="515" spans="1:14" x14ac:dyDescent="0.3">
      <c r="A515" s="16">
        <v>45707</v>
      </c>
      <c r="B515" t="s">
        <v>459</v>
      </c>
      <c r="C515" t="s">
        <v>659</v>
      </c>
      <c r="D515" t="s">
        <v>418</v>
      </c>
      <c r="E515" t="s">
        <v>453</v>
      </c>
      <c r="F515" t="s">
        <v>420</v>
      </c>
      <c r="G515" t="s">
        <v>428</v>
      </c>
      <c r="H515">
        <v>56</v>
      </c>
      <c r="I515">
        <v>562</v>
      </c>
      <c r="J515">
        <v>1341</v>
      </c>
      <c r="K515">
        <v>31472</v>
      </c>
      <c r="L515">
        <v>75096</v>
      </c>
      <c r="M515">
        <v>43624</v>
      </c>
      <c r="N515" t="s">
        <v>410</v>
      </c>
    </row>
    <row r="516" spans="1:14" x14ac:dyDescent="0.3">
      <c r="A516" s="16">
        <v>45453</v>
      </c>
      <c r="B516" t="s">
        <v>404</v>
      </c>
      <c r="C516" t="s">
        <v>657</v>
      </c>
      <c r="D516" t="s">
        <v>418</v>
      </c>
      <c r="E516" t="s">
        <v>419</v>
      </c>
      <c r="F516" t="s">
        <v>442</v>
      </c>
      <c r="G516" t="s">
        <v>409</v>
      </c>
      <c r="H516">
        <v>90</v>
      </c>
      <c r="I516">
        <v>862</v>
      </c>
      <c r="J516">
        <v>902</v>
      </c>
      <c r="K516">
        <v>77580</v>
      </c>
      <c r="L516">
        <v>81180</v>
      </c>
      <c r="M516">
        <v>3600</v>
      </c>
      <c r="N516" t="s">
        <v>410</v>
      </c>
    </row>
    <row r="517" spans="1:14" x14ac:dyDescent="0.3">
      <c r="A517" s="16">
        <v>45697</v>
      </c>
      <c r="B517" t="s">
        <v>459</v>
      </c>
      <c r="C517" t="s">
        <v>710</v>
      </c>
      <c r="D517" t="s">
        <v>413</v>
      </c>
      <c r="E517" t="s">
        <v>444</v>
      </c>
      <c r="F517" t="s">
        <v>532</v>
      </c>
      <c r="G517" t="s">
        <v>409</v>
      </c>
      <c r="H517">
        <v>21</v>
      </c>
      <c r="I517">
        <v>531</v>
      </c>
      <c r="J517">
        <v>955</v>
      </c>
      <c r="K517">
        <v>11151</v>
      </c>
      <c r="L517">
        <v>20055</v>
      </c>
      <c r="M517">
        <v>8904</v>
      </c>
      <c r="N517" t="s">
        <v>410</v>
      </c>
    </row>
    <row r="518" spans="1:14" x14ac:dyDescent="0.3">
      <c r="A518" s="16">
        <v>45585</v>
      </c>
      <c r="B518" t="s">
        <v>422</v>
      </c>
      <c r="C518" t="s">
        <v>547</v>
      </c>
      <c r="D518" t="s">
        <v>406</v>
      </c>
      <c r="E518" t="s">
        <v>407</v>
      </c>
      <c r="F518" t="s">
        <v>433</v>
      </c>
      <c r="G518" t="s">
        <v>409</v>
      </c>
      <c r="H518">
        <v>20</v>
      </c>
      <c r="I518">
        <v>844</v>
      </c>
      <c r="J518">
        <v>1010</v>
      </c>
      <c r="K518">
        <v>16880</v>
      </c>
      <c r="L518">
        <v>20200</v>
      </c>
      <c r="M518">
        <v>3320</v>
      </c>
      <c r="N518" t="s">
        <v>410</v>
      </c>
    </row>
    <row r="519" spans="1:14" x14ac:dyDescent="0.3">
      <c r="A519" s="16">
        <v>45587</v>
      </c>
      <c r="B519" t="s">
        <v>422</v>
      </c>
      <c r="C519" t="s">
        <v>425</v>
      </c>
      <c r="D519" t="s">
        <v>406</v>
      </c>
      <c r="E519" t="s">
        <v>407</v>
      </c>
      <c r="F519" t="s">
        <v>426</v>
      </c>
      <c r="G519" t="s">
        <v>409</v>
      </c>
      <c r="H519">
        <v>19</v>
      </c>
      <c r="I519">
        <v>578</v>
      </c>
      <c r="J519">
        <v>1434</v>
      </c>
      <c r="K519">
        <v>10982</v>
      </c>
      <c r="L519">
        <v>27246</v>
      </c>
      <c r="M519">
        <v>16264</v>
      </c>
      <c r="N519" t="s">
        <v>410</v>
      </c>
    </row>
    <row r="520" spans="1:14" x14ac:dyDescent="0.3">
      <c r="A520" s="16">
        <v>45689</v>
      </c>
      <c r="B520" t="s">
        <v>459</v>
      </c>
      <c r="C520" t="s">
        <v>601</v>
      </c>
      <c r="D520" t="s">
        <v>413</v>
      </c>
      <c r="E520" t="s">
        <v>444</v>
      </c>
      <c r="F520" t="s">
        <v>451</v>
      </c>
      <c r="G520" t="s">
        <v>409</v>
      </c>
      <c r="H520">
        <v>23</v>
      </c>
      <c r="I520">
        <v>755</v>
      </c>
      <c r="J520">
        <v>806</v>
      </c>
      <c r="K520">
        <v>17365</v>
      </c>
      <c r="L520">
        <v>18538</v>
      </c>
      <c r="M520">
        <v>1173</v>
      </c>
      <c r="N520" t="s">
        <v>410</v>
      </c>
    </row>
    <row r="521" spans="1:14" x14ac:dyDescent="0.3">
      <c r="A521" s="16">
        <v>45514</v>
      </c>
      <c r="B521" t="s">
        <v>434</v>
      </c>
      <c r="C521" t="s">
        <v>743</v>
      </c>
      <c r="D521" t="s">
        <v>406</v>
      </c>
      <c r="E521" t="s">
        <v>407</v>
      </c>
      <c r="F521" t="s">
        <v>433</v>
      </c>
      <c r="G521" t="s">
        <v>409</v>
      </c>
      <c r="H521">
        <v>18</v>
      </c>
      <c r="I521">
        <v>767</v>
      </c>
      <c r="J521">
        <v>988</v>
      </c>
      <c r="K521">
        <v>13806</v>
      </c>
      <c r="L521">
        <v>17784</v>
      </c>
      <c r="M521">
        <v>3978</v>
      </c>
      <c r="N521" t="s">
        <v>410</v>
      </c>
    </row>
    <row r="522" spans="1:14" x14ac:dyDescent="0.3">
      <c r="A522" s="16">
        <v>45559</v>
      </c>
      <c r="B522" t="s">
        <v>431</v>
      </c>
      <c r="C522" t="s">
        <v>570</v>
      </c>
      <c r="D522" t="s">
        <v>418</v>
      </c>
      <c r="E522" t="s">
        <v>419</v>
      </c>
      <c r="F522" t="s">
        <v>532</v>
      </c>
      <c r="G522" t="s">
        <v>428</v>
      </c>
      <c r="H522">
        <v>68</v>
      </c>
      <c r="I522">
        <v>909</v>
      </c>
      <c r="J522">
        <v>1329</v>
      </c>
      <c r="K522">
        <v>61812</v>
      </c>
      <c r="L522">
        <v>90372</v>
      </c>
      <c r="M522">
        <v>28560</v>
      </c>
      <c r="N522" t="s">
        <v>410</v>
      </c>
    </row>
    <row r="523" spans="1:14" x14ac:dyDescent="0.3">
      <c r="A523" s="16">
        <v>45449</v>
      </c>
      <c r="B523" t="s">
        <v>404</v>
      </c>
      <c r="C523" t="s">
        <v>671</v>
      </c>
      <c r="D523" t="s">
        <v>418</v>
      </c>
      <c r="E523" t="s">
        <v>419</v>
      </c>
      <c r="F523" t="s">
        <v>465</v>
      </c>
      <c r="G523" t="s">
        <v>409</v>
      </c>
      <c r="H523">
        <v>88</v>
      </c>
      <c r="I523">
        <v>820</v>
      </c>
      <c r="J523">
        <v>1241</v>
      </c>
      <c r="K523">
        <v>72160</v>
      </c>
      <c r="L523">
        <v>109208</v>
      </c>
      <c r="M523">
        <v>37048</v>
      </c>
      <c r="N523" t="s">
        <v>410</v>
      </c>
    </row>
    <row r="524" spans="1:14" x14ac:dyDescent="0.3">
      <c r="A524" s="16">
        <v>45428</v>
      </c>
      <c r="B524" t="s">
        <v>437</v>
      </c>
      <c r="C524" t="s">
        <v>675</v>
      </c>
      <c r="D524" t="s">
        <v>413</v>
      </c>
      <c r="E524" t="s">
        <v>444</v>
      </c>
      <c r="F524" t="s">
        <v>436</v>
      </c>
      <c r="G524" t="s">
        <v>428</v>
      </c>
      <c r="H524">
        <v>26</v>
      </c>
      <c r="I524">
        <v>1000</v>
      </c>
      <c r="J524">
        <v>765</v>
      </c>
      <c r="K524">
        <v>26000</v>
      </c>
      <c r="L524">
        <v>19890</v>
      </c>
      <c r="M524">
        <v>-6110</v>
      </c>
      <c r="N524" t="s">
        <v>421</v>
      </c>
    </row>
    <row r="525" spans="1:14" x14ac:dyDescent="0.3">
      <c r="A525" s="16">
        <v>45383</v>
      </c>
      <c r="B525" t="s">
        <v>449</v>
      </c>
      <c r="C525" t="s">
        <v>693</v>
      </c>
      <c r="D525" t="s">
        <v>413</v>
      </c>
      <c r="E525" t="s">
        <v>430</v>
      </c>
      <c r="F525" t="s">
        <v>542</v>
      </c>
      <c r="G525" t="s">
        <v>428</v>
      </c>
      <c r="H525">
        <v>21</v>
      </c>
      <c r="I525">
        <v>553</v>
      </c>
      <c r="J525">
        <v>1459</v>
      </c>
      <c r="K525">
        <v>11613</v>
      </c>
      <c r="L525">
        <v>30639</v>
      </c>
      <c r="M525">
        <v>19026</v>
      </c>
      <c r="N525" t="s">
        <v>410</v>
      </c>
    </row>
    <row r="526" spans="1:14" x14ac:dyDescent="0.3">
      <c r="A526" s="16">
        <v>45595</v>
      </c>
      <c r="B526" t="s">
        <v>422</v>
      </c>
      <c r="C526" t="s">
        <v>440</v>
      </c>
      <c r="D526" t="s">
        <v>418</v>
      </c>
      <c r="E526" t="s">
        <v>441</v>
      </c>
      <c r="F526" t="s">
        <v>442</v>
      </c>
      <c r="G526" t="s">
        <v>428</v>
      </c>
      <c r="H526">
        <v>88</v>
      </c>
      <c r="I526">
        <v>552</v>
      </c>
      <c r="J526">
        <v>1422</v>
      </c>
      <c r="K526">
        <v>48576</v>
      </c>
      <c r="L526">
        <v>125136</v>
      </c>
      <c r="M526">
        <v>76560</v>
      </c>
      <c r="N526" t="s">
        <v>410</v>
      </c>
    </row>
    <row r="527" spans="1:14" x14ac:dyDescent="0.3">
      <c r="A527" s="16">
        <v>45704</v>
      </c>
      <c r="B527" t="s">
        <v>459</v>
      </c>
      <c r="C527" t="s">
        <v>481</v>
      </c>
      <c r="D527" t="s">
        <v>418</v>
      </c>
      <c r="E527" t="s">
        <v>453</v>
      </c>
      <c r="F527" t="s">
        <v>454</v>
      </c>
      <c r="G527" t="s">
        <v>428</v>
      </c>
      <c r="H527">
        <v>66</v>
      </c>
      <c r="I527">
        <v>771</v>
      </c>
      <c r="J527">
        <v>1492</v>
      </c>
      <c r="K527">
        <v>50886</v>
      </c>
      <c r="L527">
        <v>98472</v>
      </c>
      <c r="M527">
        <v>47586</v>
      </c>
      <c r="N527" t="s">
        <v>410</v>
      </c>
    </row>
    <row r="528" spans="1:14" x14ac:dyDescent="0.3">
      <c r="A528" s="16">
        <v>45404</v>
      </c>
      <c r="B528" t="s">
        <v>449</v>
      </c>
      <c r="C528" t="s">
        <v>683</v>
      </c>
      <c r="D528" t="s">
        <v>413</v>
      </c>
      <c r="E528" t="s">
        <v>414</v>
      </c>
      <c r="F528" t="s">
        <v>433</v>
      </c>
      <c r="G528" t="s">
        <v>428</v>
      </c>
      <c r="H528">
        <v>23</v>
      </c>
      <c r="I528">
        <v>663</v>
      </c>
      <c r="J528">
        <v>1153</v>
      </c>
      <c r="K528">
        <v>15249</v>
      </c>
      <c r="L528">
        <v>26519</v>
      </c>
      <c r="M528">
        <v>11270</v>
      </c>
      <c r="N528" t="s">
        <v>410</v>
      </c>
    </row>
    <row r="529" spans="1:14" x14ac:dyDescent="0.3">
      <c r="A529" s="16">
        <v>45653</v>
      </c>
      <c r="B529" t="s">
        <v>416</v>
      </c>
      <c r="C529" t="s">
        <v>744</v>
      </c>
      <c r="D529" t="s">
        <v>418</v>
      </c>
      <c r="E529" t="s">
        <v>419</v>
      </c>
      <c r="F529" t="s">
        <v>439</v>
      </c>
      <c r="G529" t="s">
        <v>428</v>
      </c>
      <c r="H529">
        <v>59</v>
      </c>
      <c r="I529">
        <v>774</v>
      </c>
      <c r="J529">
        <v>1374</v>
      </c>
      <c r="K529">
        <v>45666</v>
      </c>
      <c r="L529">
        <v>81066</v>
      </c>
      <c r="M529">
        <v>35400</v>
      </c>
      <c r="N529" t="s">
        <v>410</v>
      </c>
    </row>
    <row r="530" spans="1:14" x14ac:dyDescent="0.3">
      <c r="A530" s="16">
        <v>45465</v>
      </c>
      <c r="B530" t="s">
        <v>404</v>
      </c>
      <c r="C530" t="s">
        <v>572</v>
      </c>
      <c r="D530" t="s">
        <v>418</v>
      </c>
      <c r="E530" t="s">
        <v>453</v>
      </c>
      <c r="F530" t="s">
        <v>424</v>
      </c>
      <c r="G530" t="s">
        <v>409</v>
      </c>
      <c r="H530">
        <v>65</v>
      </c>
      <c r="I530">
        <v>762</v>
      </c>
      <c r="J530">
        <v>1394</v>
      </c>
      <c r="K530">
        <v>49530</v>
      </c>
      <c r="L530">
        <v>90610</v>
      </c>
      <c r="M530">
        <v>41080</v>
      </c>
      <c r="N530" t="s">
        <v>410</v>
      </c>
    </row>
    <row r="531" spans="1:14" x14ac:dyDescent="0.3">
      <c r="A531" s="16">
        <v>45619</v>
      </c>
      <c r="B531" t="s">
        <v>411</v>
      </c>
      <c r="C531" t="s">
        <v>678</v>
      </c>
      <c r="D531" t="s">
        <v>413</v>
      </c>
      <c r="E531" t="s">
        <v>414</v>
      </c>
      <c r="F531" t="s">
        <v>451</v>
      </c>
      <c r="G531" t="s">
        <v>428</v>
      </c>
      <c r="H531">
        <v>22</v>
      </c>
      <c r="I531">
        <v>524</v>
      </c>
      <c r="J531">
        <v>1156</v>
      </c>
      <c r="K531">
        <v>11528</v>
      </c>
      <c r="L531">
        <v>25432</v>
      </c>
      <c r="M531">
        <v>13904</v>
      </c>
      <c r="N531" t="s">
        <v>410</v>
      </c>
    </row>
    <row r="532" spans="1:14" x14ac:dyDescent="0.3">
      <c r="A532" s="16">
        <v>45421</v>
      </c>
      <c r="B532" t="s">
        <v>437</v>
      </c>
      <c r="C532" t="s">
        <v>745</v>
      </c>
      <c r="D532" t="s">
        <v>413</v>
      </c>
      <c r="E532" t="s">
        <v>444</v>
      </c>
      <c r="F532" t="s">
        <v>424</v>
      </c>
      <c r="G532" t="s">
        <v>409</v>
      </c>
      <c r="H532">
        <v>27</v>
      </c>
      <c r="I532">
        <v>722</v>
      </c>
      <c r="J532">
        <v>1497</v>
      </c>
      <c r="K532">
        <v>19494</v>
      </c>
      <c r="L532">
        <v>40419</v>
      </c>
      <c r="M532">
        <v>20925</v>
      </c>
      <c r="N532" t="s">
        <v>410</v>
      </c>
    </row>
    <row r="533" spans="1:14" x14ac:dyDescent="0.3">
      <c r="A533" s="16">
        <v>45404</v>
      </c>
      <c r="B533" t="s">
        <v>449</v>
      </c>
      <c r="C533" t="s">
        <v>683</v>
      </c>
      <c r="D533" t="s">
        <v>413</v>
      </c>
      <c r="E533" t="s">
        <v>414</v>
      </c>
      <c r="F533" t="s">
        <v>433</v>
      </c>
      <c r="G533" t="s">
        <v>428</v>
      </c>
      <c r="H533">
        <v>26</v>
      </c>
      <c r="I533">
        <v>942</v>
      </c>
      <c r="J533">
        <v>1143</v>
      </c>
      <c r="K533">
        <v>24492</v>
      </c>
      <c r="L533">
        <v>29718</v>
      </c>
      <c r="M533">
        <v>5226</v>
      </c>
      <c r="N533" t="s">
        <v>410</v>
      </c>
    </row>
    <row r="534" spans="1:14" x14ac:dyDescent="0.3">
      <c r="A534" s="16">
        <v>45482</v>
      </c>
      <c r="B534" t="s">
        <v>482</v>
      </c>
      <c r="C534" t="s">
        <v>615</v>
      </c>
      <c r="D534" t="s">
        <v>406</v>
      </c>
      <c r="E534" t="s">
        <v>407</v>
      </c>
      <c r="F534" t="s">
        <v>408</v>
      </c>
      <c r="G534" t="s">
        <v>428</v>
      </c>
      <c r="H534">
        <v>18</v>
      </c>
      <c r="I534">
        <v>674</v>
      </c>
      <c r="J534">
        <v>775</v>
      </c>
      <c r="K534">
        <v>12132</v>
      </c>
      <c r="L534">
        <v>13950</v>
      </c>
      <c r="M534">
        <v>1818</v>
      </c>
      <c r="N534" t="s">
        <v>410</v>
      </c>
    </row>
    <row r="535" spans="1:14" x14ac:dyDescent="0.3">
      <c r="A535" s="16">
        <v>45426</v>
      </c>
      <c r="B535" t="s">
        <v>437</v>
      </c>
      <c r="C535" t="s">
        <v>492</v>
      </c>
      <c r="D535" t="s">
        <v>413</v>
      </c>
      <c r="E535" t="s">
        <v>444</v>
      </c>
      <c r="F535" t="s">
        <v>426</v>
      </c>
      <c r="G535" t="s">
        <v>409</v>
      </c>
      <c r="H535">
        <v>26</v>
      </c>
      <c r="I535">
        <v>630</v>
      </c>
      <c r="J535">
        <v>767</v>
      </c>
      <c r="K535">
        <v>16380</v>
      </c>
      <c r="L535">
        <v>19942</v>
      </c>
      <c r="M535">
        <v>3562</v>
      </c>
      <c r="N535" t="s">
        <v>410</v>
      </c>
    </row>
    <row r="536" spans="1:14" x14ac:dyDescent="0.3">
      <c r="A536" s="16">
        <v>45396</v>
      </c>
      <c r="B536" t="s">
        <v>449</v>
      </c>
      <c r="C536" t="s">
        <v>723</v>
      </c>
      <c r="D536" t="s">
        <v>413</v>
      </c>
      <c r="E536" t="s">
        <v>430</v>
      </c>
      <c r="F536" t="s">
        <v>532</v>
      </c>
      <c r="G536" t="s">
        <v>409</v>
      </c>
      <c r="H536">
        <v>22</v>
      </c>
      <c r="I536">
        <v>622</v>
      </c>
      <c r="J536">
        <v>822</v>
      </c>
      <c r="K536">
        <v>13684</v>
      </c>
      <c r="L536">
        <v>18084</v>
      </c>
      <c r="M536">
        <v>4400</v>
      </c>
      <c r="N536" t="s">
        <v>410</v>
      </c>
    </row>
    <row r="537" spans="1:14" x14ac:dyDescent="0.3">
      <c r="A537" s="16">
        <v>45470</v>
      </c>
      <c r="B537" t="s">
        <v>404</v>
      </c>
      <c r="C537" t="s">
        <v>577</v>
      </c>
      <c r="D537" t="s">
        <v>418</v>
      </c>
      <c r="E537" t="s">
        <v>419</v>
      </c>
      <c r="F537" t="s">
        <v>451</v>
      </c>
      <c r="G537" t="s">
        <v>428</v>
      </c>
      <c r="H537">
        <v>92</v>
      </c>
      <c r="I537">
        <v>953</v>
      </c>
      <c r="J537">
        <v>790</v>
      </c>
      <c r="K537">
        <v>87676</v>
      </c>
      <c r="L537">
        <v>72680</v>
      </c>
      <c r="M537">
        <v>-14996</v>
      </c>
      <c r="N537" t="s">
        <v>421</v>
      </c>
    </row>
    <row r="538" spans="1:14" x14ac:dyDescent="0.3">
      <c r="A538" s="16">
        <v>45593</v>
      </c>
      <c r="B538" t="s">
        <v>422</v>
      </c>
      <c r="C538" t="s">
        <v>537</v>
      </c>
      <c r="D538" t="s">
        <v>418</v>
      </c>
      <c r="E538" t="s">
        <v>441</v>
      </c>
      <c r="F538" t="s">
        <v>451</v>
      </c>
      <c r="G538" t="s">
        <v>428</v>
      </c>
      <c r="H538">
        <v>60</v>
      </c>
      <c r="I538">
        <v>729</v>
      </c>
      <c r="J538">
        <v>759</v>
      </c>
      <c r="K538">
        <v>43740</v>
      </c>
      <c r="L538">
        <v>45540</v>
      </c>
      <c r="M538">
        <v>1800</v>
      </c>
      <c r="N538" t="s">
        <v>410</v>
      </c>
    </row>
    <row r="539" spans="1:14" x14ac:dyDescent="0.3">
      <c r="A539" s="16">
        <v>45613</v>
      </c>
      <c r="B539" t="s">
        <v>411</v>
      </c>
      <c r="C539" t="s">
        <v>746</v>
      </c>
      <c r="D539" t="s">
        <v>413</v>
      </c>
      <c r="E539" t="s">
        <v>414</v>
      </c>
      <c r="F539" t="s">
        <v>454</v>
      </c>
      <c r="G539" t="s">
        <v>428</v>
      </c>
      <c r="H539">
        <v>22</v>
      </c>
      <c r="I539">
        <v>783</v>
      </c>
      <c r="J539">
        <v>886</v>
      </c>
      <c r="K539">
        <v>17226</v>
      </c>
      <c r="L539">
        <v>19492</v>
      </c>
      <c r="M539">
        <v>2266</v>
      </c>
      <c r="N539" t="s">
        <v>410</v>
      </c>
    </row>
    <row r="540" spans="1:14" x14ac:dyDescent="0.3">
      <c r="A540" s="16">
        <v>45661</v>
      </c>
      <c r="B540" t="s">
        <v>462</v>
      </c>
      <c r="C540" t="s">
        <v>739</v>
      </c>
      <c r="D540" t="s">
        <v>406</v>
      </c>
      <c r="E540" t="s">
        <v>470</v>
      </c>
      <c r="F540" t="s">
        <v>542</v>
      </c>
      <c r="G540" t="s">
        <v>409</v>
      </c>
      <c r="H540">
        <v>11</v>
      </c>
      <c r="I540">
        <v>731</v>
      </c>
      <c r="J540">
        <v>1311</v>
      </c>
      <c r="K540">
        <v>8041</v>
      </c>
      <c r="L540">
        <v>14421</v>
      </c>
      <c r="M540">
        <v>6380</v>
      </c>
      <c r="N540" t="s">
        <v>410</v>
      </c>
    </row>
    <row r="541" spans="1:14" x14ac:dyDescent="0.3">
      <c r="A541" s="16">
        <v>45665</v>
      </c>
      <c r="B541" t="s">
        <v>462</v>
      </c>
      <c r="C541" t="s">
        <v>584</v>
      </c>
      <c r="D541" t="s">
        <v>406</v>
      </c>
      <c r="E541" t="s">
        <v>470</v>
      </c>
      <c r="F541" t="s">
        <v>424</v>
      </c>
      <c r="G541" t="s">
        <v>428</v>
      </c>
      <c r="H541">
        <v>11</v>
      </c>
      <c r="I541">
        <v>986</v>
      </c>
      <c r="J541">
        <v>1228</v>
      </c>
      <c r="K541">
        <v>10846</v>
      </c>
      <c r="L541">
        <v>13508</v>
      </c>
      <c r="M541">
        <v>2662</v>
      </c>
      <c r="N541" t="s">
        <v>410</v>
      </c>
    </row>
    <row r="542" spans="1:14" x14ac:dyDescent="0.3">
      <c r="A542" s="16">
        <v>45592</v>
      </c>
      <c r="B542" t="s">
        <v>422</v>
      </c>
      <c r="C542" t="s">
        <v>726</v>
      </c>
      <c r="D542" t="s">
        <v>418</v>
      </c>
      <c r="E542" t="s">
        <v>441</v>
      </c>
      <c r="F542" t="s">
        <v>420</v>
      </c>
      <c r="G542" t="s">
        <v>428</v>
      </c>
      <c r="H542">
        <v>95</v>
      </c>
      <c r="I542">
        <v>845</v>
      </c>
      <c r="J542">
        <v>1102</v>
      </c>
      <c r="K542">
        <v>80275</v>
      </c>
      <c r="L542">
        <v>104690</v>
      </c>
      <c r="M542">
        <v>24415</v>
      </c>
      <c r="N542" t="s">
        <v>410</v>
      </c>
    </row>
    <row r="543" spans="1:14" x14ac:dyDescent="0.3">
      <c r="A543" s="16">
        <v>45544</v>
      </c>
      <c r="B543" t="s">
        <v>431</v>
      </c>
      <c r="C543" t="s">
        <v>585</v>
      </c>
      <c r="D543" t="s">
        <v>406</v>
      </c>
      <c r="E543" t="s">
        <v>407</v>
      </c>
      <c r="F543" t="s">
        <v>451</v>
      </c>
      <c r="G543" t="s">
        <v>428</v>
      </c>
      <c r="H543">
        <v>15</v>
      </c>
      <c r="I543">
        <v>890</v>
      </c>
      <c r="J543">
        <v>1362</v>
      </c>
      <c r="K543">
        <v>13350</v>
      </c>
      <c r="L543">
        <v>20430</v>
      </c>
      <c r="M543">
        <v>7080</v>
      </c>
      <c r="N543" t="s">
        <v>410</v>
      </c>
    </row>
    <row r="544" spans="1:14" x14ac:dyDescent="0.3">
      <c r="A544" s="16">
        <v>45614</v>
      </c>
      <c r="B544" t="s">
        <v>411</v>
      </c>
      <c r="C544" t="s">
        <v>662</v>
      </c>
      <c r="D544" t="s">
        <v>413</v>
      </c>
      <c r="E544" t="s">
        <v>414</v>
      </c>
      <c r="F544" t="s">
        <v>408</v>
      </c>
      <c r="G544" t="s">
        <v>409</v>
      </c>
      <c r="H544">
        <v>22</v>
      </c>
      <c r="I544">
        <v>688</v>
      </c>
      <c r="J544">
        <v>985</v>
      </c>
      <c r="K544">
        <v>15136</v>
      </c>
      <c r="L544">
        <v>21670</v>
      </c>
      <c r="M544">
        <v>6534</v>
      </c>
      <c r="N544" t="s">
        <v>410</v>
      </c>
    </row>
    <row r="545" spans="1:14" x14ac:dyDescent="0.3">
      <c r="A545" s="16">
        <v>45590</v>
      </c>
      <c r="B545" t="s">
        <v>422</v>
      </c>
      <c r="C545" t="s">
        <v>716</v>
      </c>
      <c r="D545" t="s">
        <v>413</v>
      </c>
      <c r="E545" t="s">
        <v>494</v>
      </c>
      <c r="F545" t="s">
        <v>433</v>
      </c>
      <c r="G545" t="s">
        <v>428</v>
      </c>
      <c r="H545">
        <v>20</v>
      </c>
      <c r="I545">
        <v>979</v>
      </c>
      <c r="J545">
        <v>1471</v>
      </c>
      <c r="K545">
        <v>19580</v>
      </c>
      <c r="L545">
        <v>29420</v>
      </c>
      <c r="M545">
        <v>9840</v>
      </c>
      <c r="N545" t="s">
        <v>410</v>
      </c>
    </row>
    <row r="546" spans="1:14" x14ac:dyDescent="0.3">
      <c r="A546" s="16">
        <v>45583</v>
      </c>
      <c r="B546" t="s">
        <v>422</v>
      </c>
      <c r="C546" t="s">
        <v>488</v>
      </c>
      <c r="D546" t="s">
        <v>406</v>
      </c>
      <c r="E546" t="s">
        <v>407</v>
      </c>
      <c r="F546" t="s">
        <v>445</v>
      </c>
      <c r="G546" t="s">
        <v>409</v>
      </c>
      <c r="H546">
        <v>16</v>
      </c>
      <c r="I546">
        <v>584</v>
      </c>
      <c r="J546">
        <v>1278</v>
      </c>
      <c r="K546">
        <v>9344</v>
      </c>
      <c r="L546">
        <v>20448</v>
      </c>
      <c r="M546">
        <v>11104</v>
      </c>
      <c r="N546" t="s">
        <v>410</v>
      </c>
    </row>
    <row r="547" spans="1:14" x14ac:dyDescent="0.3">
      <c r="A547" s="16">
        <v>45479</v>
      </c>
      <c r="B547" t="s">
        <v>482</v>
      </c>
      <c r="C547" t="s">
        <v>640</v>
      </c>
      <c r="D547" t="s">
        <v>406</v>
      </c>
      <c r="E547" t="s">
        <v>407</v>
      </c>
      <c r="F547" t="s">
        <v>532</v>
      </c>
      <c r="G547" t="s">
        <v>428</v>
      </c>
      <c r="H547">
        <v>20</v>
      </c>
      <c r="I547">
        <v>596</v>
      </c>
      <c r="J547">
        <v>1255</v>
      </c>
      <c r="K547">
        <v>11920</v>
      </c>
      <c r="L547">
        <v>25100</v>
      </c>
      <c r="M547">
        <v>13180</v>
      </c>
      <c r="N547" t="s">
        <v>410</v>
      </c>
    </row>
    <row r="548" spans="1:14" x14ac:dyDescent="0.3">
      <c r="A548" s="16">
        <v>45529</v>
      </c>
      <c r="B548" t="s">
        <v>434</v>
      </c>
      <c r="C548" t="s">
        <v>747</v>
      </c>
      <c r="D548" t="s">
        <v>418</v>
      </c>
      <c r="E548" t="s">
        <v>453</v>
      </c>
      <c r="F548" t="s">
        <v>465</v>
      </c>
      <c r="G548" t="s">
        <v>409</v>
      </c>
      <c r="H548">
        <v>58</v>
      </c>
      <c r="I548">
        <v>720</v>
      </c>
      <c r="J548">
        <v>1356</v>
      </c>
      <c r="K548">
        <v>41760</v>
      </c>
      <c r="L548">
        <v>78648</v>
      </c>
      <c r="M548">
        <v>36888</v>
      </c>
      <c r="N548" t="s">
        <v>410</v>
      </c>
    </row>
    <row r="549" spans="1:14" x14ac:dyDescent="0.3">
      <c r="A549" s="16">
        <v>45540</v>
      </c>
      <c r="B549" t="s">
        <v>431</v>
      </c>
      <c r="C549" t="s">
        <v>748</v>
      </c>
      <c r="D549" t="s">
        <v>418</v>
      </c>
      <c r="E549" t="s">
        <v>419</v>
      </c>
      <c r="F549" t="s">
        <v>465</v>
      </c>
      <c r="G549" t="s">
        <v>409</v>
      </c>
      <c r="H549">
        <v>52</v>
      </c>
      <c r="I549">
        <v>893</v>
      </c>
      <c r="J549">
        <v>1055</v>
      </c>
      <c r="K549">
        <v>46436</v>
      </c>
      <c r="L549">
        <v>54860</v>
      </c>
      <c r="M549">
        <v>8424</v>
      </c>
      <c r="N549" t="s">
        <v>410</v>
      </c>
    </row>
    <row r="550" spans="1:14" x14ac:dyDescent="0.3">
      <c r="A550" s="16">
        <v>45405</v>
      </c>
      <c r="B550" t="s">
        <v>449</v>
      </c>
      <c r="C550" t="s">
        <v>749</v>
      </c>
      <c r="D550" t="s">
        <v>413</v>
      </c>
      <c r="E550" t="s">
        <v>414</v>
      </c>
      <c r="F550" t="s">
        <v>426</v>
      </c>
      <c r="G550" t="s">
        <v>428</v>
      </c>
      <c r="H550">
        <v>23</v>
      </c>
      <c r="I550">
        <v>627</v>
      </c>
      <c r="J550">
        <v>855</v>
      </c>
      <c r="K550">
        <v>14421</v>
      </c>
      <c r="L550">
        <v>19665</v>
      </c>
      <c r="M550">
        <v>5244</v>
      </c>
      <c r="N550" t="s">
        <v>410</v>
      </c>
    </row>
    <row r="551" spans="1:14" x14ac:dyDescent="0.3">
      <c r="A551" s="16">
        <v>45641</v>
      </c>
      <c r="B551" t="s">
        <v>416</v>
      </c>
      <c r="C551" t="s">
        <v>658</v>
      </c>
      <c r="D551" t="s">
        <v>418</v>
      </c>
      <c r="E551" t="s">
        <v>453</v>
      </c>
      <c r="F551" t="s">
        <v>433</v>
      </c>
      <c r="G551" t="s">
        <v>409</v>
      </c>
      <c r="H551">
        <v>83</v>
      </c>
      <c r="I551">
        <v>840</v>
      </c>
      <c r="J551">
        <v>828</v>
      </c>
      <c r="K551">
        <v>69720</v>
      </c>
      <c r="L551">
        <v>68724</v>
      </c>
      <c r="M551">
        <v>-996</v>
      </c>
      <c r="N551" t="s">
        <v>421</v>
      </c>
    </row>
    <row r="552" spans="1:14" x14ac:dyDescent="0.3">
      <c r="A552" s="16">
        <v>45441</v>
      </c>
      <c r="B552" t="s">
        <v>437</v>
      </c>
      <c r="C552" t="s">
        <v>736</v>
      </c>
      <c r="D552" t="s">
        <v>418</v>
      </c>
      <c r="E552" t="s">
        <v>453</v>
      </c>
      <c r="F552" t="s">
        <v>445</v>
      </c>
      <c r="G552" t="s">
        <v>428</v>
      </c>
      <c r="H552">
        <v>50</v>
      </c>
      <c r="I552">
        <v>639</v>
      </c>
      <c r="J552">
        <v>789</v>
      </c>
      <c r="K552">
        <v>31950</v>
      </c>
      <c r="L552">
        <v>39450</v>
      </c>
      <c r="M552">
        <v>7500</v>
      </c>
      <c r="N552" t="s">
        <v>410</v>
      </c>
    </row>
    <row r="553" spans="1:14" x14ac:dyDescent="0.3">
      <c r="A553" s="16">
        <v>45513</v>
      </c>
      <c r="B553" t="s">
        <v>434</v>
      </c>
      <c r="C553" t="s">
        <v>729</v>
      </c>
      <c r="D553" t="s">
        <v>406</v>
      </c>
      <c r="E553" t="s">
        <v>407</v>
      </c>
      <c r="F553" t="s">
        <v>433</v>
      </c>
      <c r="G553" t="s">
        <v>409</v>
      </c>
      <c r="H553">
        <v>19</v>
      </c>
      <c r="I553">
        <v>654</v>
      </c>
      <c r="J553">
        <v>1295</v>
      </c>
      <c r="K553">
        <v>12426</v>
      </c>
      <c r="L553">
        <v>24605</v>
      </c>
      <c r="M553">
        <v>12179</v>
      </c>
      <c r="N553" t="s">
        <v>410</v>
      </c>
    </row>
    <row r="554" spans="1:14" x14ac:dyDescent="0.3">
      <c r="A554" s="16">
        <v>45697</v>
      </c>
      <c r="B554" t="s">
        <v>459</v>
      </c>
      <c r="C554" t="s">
        <v>710</v>
      </c>
      <c r="D554" t="s">
        <v>413</v>
      </c>
      <c r="E554" t="s">
        <v>444</v>
      </c>
      <c r="F554" t="s">
        <v>532</v>
      </c>
      <c r="G554" t="s">
        <v>409</v>
      </c>
      <c r="H554">
        <v>30</v>
      </c>
      <c r="I554">
        <v>716</v>
      </c>
      <c r="J554">
        <v>956</v>
      </c>
      <c r="K554">
        <v>21480</v>
      </c>
      <c r="L554">
        <v>28680</v>
      </c>
      <c r="M554">
        <v>7200</v>
      </c>
      <c r="N554" t="s">
        <v>410</v>
      </c>
    </row>
    <row r="555" spans="1:14" x14ac:dyDescent="0.3">
      <c r="A555" s="16">
        <v>45419</v>
      </c>
      <c r="B555" t="s">
        <v>437</v>
      </c>
      <c r="C555" t="s">
        <v>550</v>
      </c>
      <c r="D555" t="s">
        <v>413</v>
      </c>
      <c r="E555" t="s">
        <v>444</v>
      </c>
      <c r="F555" t="s">
        <v>532</v>
      </c>
      <c r="G555" t="s">
        <v>409</v>
      </c>
      <c r="H555">
        <v>27</v>
      </c>
      <c r="I555">
        <v>817</v>
      </c>
      <c r="J555">
        <v>977</v>
      </c>
      <c r="K555">
        <v>22059</v>
      </c>
      <c r="L555">
        <v>26379</v>
      </c>
      <c r="M555">
        <v>4320</v>
      </c>
      <c r="N555" t="s">
        <v>410</v>
      </c>
    </row>
    <row r="556" spans="1:14" x14ac:dyDescent="0.3">
      <c r="A556" s="16">
        <v>45692</v>
      </c>
      <c r="B556" t="s">
        <v>459</v>
      </c>
      <c r="C556" t="s">
        <v>513</v>
      </c>
      <c r="D556" t="s">
        <v>413</v>
      </c>
      <c r="E556" t="s">
        <v>444</v>
      </c>
      <c r="F556" t="s">
        <v>510</v>
      </c>
      <c r="G556" t="s">
        <v>428</v>
      </c>
      <c r="H556">
        <v>20</v>
      </c>
      <c r="I556">
        <v>552</v>
      </c>
      <c r="J556">
        <v>1261</v>
      </c>
      <c r="K556">
        <v>11040</v>
      </c>
      <c r="L556">
        <v>25220</v>
      </c>
      <c r="M556">
        <v>14180</v>
      </c>
      <c r="N556" t="s">
        <v>410</v>
      </c>
    </row>
    <row r="557" spans="1:14" x14ac:dyDescent="0.3">
      <c r="A557" s="16">
        <v>45599</v>
      </c>
      <c r="B557" t="s">
        <v>411</v>
      </c>
      <c r="C557" t="s">
        <v>429</v>
      </c>
      <c r="D557" t="s">
        <v>413</v>
      </c>
      <c r="E557" t="s">
        <v>430</v>
      </c>
      <c r="F557" t="s">
        <v>424</v>
      </c>
      <c r="G557" t="s">
        <v>409</v>
      </c>
      <c r="H557">
        <v>27</v>
      </c>
      <c r="I557">
        <v>752</v>
      </c>
      <c r="J557">
        <v>1258</v>
      </c>
      <c r="K557">
        <v>20304</v>
      </c>
      <c r="L557">
        <v>33966</v>
      </c>
      <c r="M557">
        <v>13662</v>
      </c>
      <c r="N557" t="s">
        <v>410</v>
      </c>
    </row>
    <row r="558" spans="1:14" x14ac:dyDescent="0.3">
      <c r="A558" s="16">
        <v>45580</v>
      </c>
      <c r="B558" t="s">
        <v>422</v>
      </c>
      <c r="C558" t="s">
        <v>464</v>
      </c>
      <c r="D558" t="s">
        <v>406</v>
      </c>
      <c r="E558" t="s">
        <v>407</v>
      </c>
      <c r="F558" t="s">
        <v>465</v>
      </c>
      <c r="G558" t="s">
        <v>428</v>
      </c>
      <c r="H558">
        <v>15</v>
      </c>
      <c r="I558">
        <v>906</v>
      </c>
      <c r="J558">
        <v>1485</v>
      </c>
      <c r="K558">
        <v>13590</v>
      </c>
      <c r="L558">
        <v>22275</v>
      </c>
      <c r="M558">
        <v>8685</v>
      </c>
      <c r="N558" t="s">
        <v>410</v>
      </c>
    </row>
    <row r="559" spans="1:14" x14ac:dyDescent="0.3">
      <c r="A559" s="16">
        <v>45586</v>
      </c>
      <c r="B559" t="s">
        <v>422</v>
      </c>
      <c r="C559" t="s">
        <v>588</v>
      </c>
      <c r="D559" t="s">
        <v>406</v>
      </c>
      <c r="E559" t="s">
        <v>407</v>
      </c>
      <c r="F559" t="s">
        <v>433</v>
      </c>
      <c r="G559" t="s">
        <v>409</v>
      </c>
      <c r="H559">
        <v>19</v>
      </c>
      <c r="I559">
        <v>589</v>
      </c>
      <c r="J559">
        <v>1100</v>
      </c>
      <c r="K559">
        <v>11191</v>
      </c>
      <c r="L559">
        <v>20900</v>
      </c>
      <c r="M559">
        <v>9709</v>
      </c>
      <c r="N559" t="s">
        <v>410</v>
      </c>
    </row>
    <row r="560" spans="1:14" x14ac:dyDescent="0.3">
      <c r="A560" s="16">
        <v>45705</v>
      </c>
      <c r="B560" t="s">
        <v>459</v>
      </c>
      <c r="C560" t="s">
        <v>750</v>
      </c>
      <c r="D560" t="s">
        <v>418</v>
      </c>
      <c r="E560" t="s">
        <v>453</v>
      </c>
      <c r="F560" t="s">
        <v>433</v>
      </c>
      <c r="G560" t="s">
        <v>428</v>
      </c>
      <c r="H560">
        <v>94</v>
      </c>
      <c r="I560">
        <v>952</v>
      </c>
      <c r="J560">
        <v>1425</v>
      </c>
      <c r="K560">
        <v>89488</v>
      </c>
      <c r="L560">
        <v>133950</v>
      </c>
      <c r="M560">
        <v>44462</v>
      </c>
      <c r="N560" t="s">
        <v>410</v>
      </c>
    </row>
    <row r="561" spans="1:14" x14ac:dyDescent="0.3">
      <c r="A561" s="16">
        <v>45688</v>
      </c>
      <c r="B561" t="s">
        <v>462</v>
      </c>
      <c r="C561" t="s">
        <v>544</v>
      </c>
      <c r="D561" t="s">
        <v>406</v>
      </c>
      <c r="E561" t="s">
        <v>407</v>
      </c>
      <c r="F561" t="s">
        <v>420</v>
      </c>
      <c r="G561" t="s">
        <v>428</v>
      </c>
      <c r="H561">
        <v>16</v>
      </c>
      <c r="I561">
        <v>998</v>
      </c>
      <c r="J561">
        <v>835</v>
      </c>
      <c r="K561">
        <v>15968</v>
      </c>
      <c r="L561">
        <v>13360</v>
      </c>
      <c r="M561">
        <v>-2608</v>
      </c>
      <c r="N561" t="s">
        <v>421</v>
      </c>
    </row>
    <row r="562" spans="1:14" x14ac:dyDescent="0.3">
      <c r="A562" s="16">
        <v>45429</v>
      </c>
      <c r="B562" t="s">
        <v>437</v>
      </c>
      <c r="C562" t="s">
        <v>473</v>
      </c>
      <c r="D562" t="s">
        <v>413</v>
      </c>
      <c r="E562" t="s">
        <v>444</v>
      </c>
      <c r="F562" t="s">
        <v>408</v>
      </c>
      <c r="G562" t="s">
        <v>428</v>
      </c>
      <c r="H562">
        <v>25</v>
      </c>
      <c r="I562">
        <v>877</v>
      </c>
      <c r="J562">
        <v>797</v>
      </c>
      <c r="K562">
        <v>21925</v>
      </c>
      <c r="L562">
        <v>19925</v>
      </c>
      <c r="M562">
        <v>-2000</v>
      </c>
      <c r="N562" t="s">
        <v>421</v>
      </c>
    </row>
    <row r="563" spans="1:14" x14ac:dyDescent="0.3">
      <c r="A563" s="16">
        <v>45424</v>
      </c>
      <c r="B563" t="s">
        <v>437</v>
      </c>
      <c r="C563" t="s">
        <v>474</v>
      </c>
      <c r="D563" t="s">
        <v>413</v>
      </c>
      <c r="E563" t="s">
        <v>444</v>
      </c>
      <c r="F563" t="s">
        <v>451</v>
      </c>
      <c r="G563" t="s">
        <v>409</v>
      </c>
      <c r="H563">
        <v>25</v>
      </c>
      <c r="I563">
        <v>810</v>
      </c>
      <c r="J563">
        <v>1086</v>
      </c>
      <c r="K563">
        <v>20250</v>
      </c>
      <c r="L563">
        <v>27150</v>
      </c>
      <c r="M563">
        <v>6900</v>
      </c>
      <c r="N563" t="s">
        <v>410</v>
      </c>
    </row>
    <row r="564" spans="1:14" x14ac:dyDescent="0.3">
      <c r="A564" s="16">
        <v>45704</v>
      </c>
      <c r="B564" t="s">
        <v>459</v>
      </c>
      <c r="C564" t="s">
        <v>481</v>
      </c>
      <c r="D564" t="s">
        <v>418</v>
      </c>
      <c r="E564" t="s">
        <v>453</v>
      </c>
      <c r="F564" t="s">
        <v>454</v>
      </c>
      <c r="G564" t="s">
        <v>428</v>
      </c>
      <c r="H564">
        <v>74</v>
      </c>
      <c r="I564">
        <v>835</v>
      </c>
      <c r="J564">
        <v>1096</v>
      </c>
      <c r="K564">
        <v>61790</v>
      </c>
      <c r="L564">
        <v>81104</v>
      </c>
      <c r="M564">
        <v>19314</v>
      </c>
      <c r="N564" t="s">
        <v>410</v>
      </c>
    </row>
    <row r="565" spans="1:14" x14ac:dyDescent="0.3">
      <c r="A565" s="16">
        <v>45570</v>
      </c>
      <c r="B565" t="s">
        <v>422</v>
      </c>
      <c r="C565" t="s">
        <v>646</v>
      </c>
      <c r="D565" t="s">
        <v>418</v>
      </c>
      <c r="E565" t="s">
        <v>453</v>
      </c>
      <c r="F565" t="s">
        <v>420</v>
      </c>
      <c r="G565" t="s">
        <v>409</v>
      </c>
      <c r="H565">
        <v>59</v>
      </c>
      <c r="I565">
        <v>623</v>
      </c>
      <c r="J565">
        <v>1386</v>
      </c>
      <c r="K565">
        <v>36757</v>
      </c>
      <c r="L565">
        <v>81774</v>
      </c>
      <c r="M565">
        <v>45017</v>
      </c>
      <c r="N565" t="s">
        <v>410</v>
      </c>
    </row>
    <row r="566" spans="1:14" x14ac:dyDescent="0.3">
      <c r="A566" s="16">
        <v>45635</v>
      </c>
      <c r="B566" t="s">
        <v>416</v>
      </c>
      <c r="C566" t="s">
        <v>617</v>
      </c>
      <c r="D566" t="s">
        <v>413</v>
      </c>
      <c r="E566" t="s">
        <v>444</v>
      </c>
      <c r="F566" t="s">
        <v>442</v>
      </c>
      <c r="G566" t="s">
        <v>428</v>
      </c>
      <c r="H566">
        <v>22</v>
      </c>
      <c r="I566">
        <v>603</v>
      </c>
      <c r="J566">
        <v>794</v>
      </c>
      <c r="K566">
        <v>13266</v>
      </c>
      <c r="L566">
        <v>17468</v>
      </c>
      <c r="M566">
        <v>4202</v>
      </c>
      <c r="N566" t="s">
        <v>410</v>
      </c>
    </row>
    <row r="567" spans="1:14" x14ac:dyDescent="0.3">
      <c r="A567" s="16">
        <v>45670</v>
      </c>
      <c r="B567" t="s">
        <v>462</v>
      </c>
      <c r="C567" t="s">
        <v>751</v>
      </c>
      <c r="D567" t="s">
        <v>418</v>
      </c>
      <c r="E567" t="s">
        <v>453</v>
      </c>
      <c r="F567" t="s">
        <v>426</v>
      </c>
      <c r="G567" t="s">
        <v>428</v>
      </c>
      <c r="H567">
        <v>52</v>
      </c>
      <c r="I567">
        <v>538</v>
      </c>
      <c r="J567">
        <v>1257</v>
      </c>
      <c r="K567">
        <v>27976</v>
      </c>
      <c r="L567">
        <v>65364</v>
      </c>
      <c r="M567">
        <v>37388</v>
      </c>
      <c r="N567" t="s">
        <v>410</v>
      </c>
    </row>
    <row r="568" spans="1:14" x14ac:dyDescent="0.3">
      <c r="A568" s="16">
        <v>45576</v>
      </c>
      <c r="B568" t="s">
        <v>422</v>
      </c>
      <c r="C568" t="s">
        <v>525</v>
      </c>
      <c r="D568" t="s">
        <v>418</v>
      </c>
      <c r="E568" t="s">
        <v>419</v>
      </c>
      <c r="F568" t="s">
        <v>504</v>
      </c>
      <c r="G568" t="s">
        <v>409</v>
      </c>
      <c r="H568">
        <v>91</v>
      </c>
      <c r="I568">
        <v>867</v>
      </c>
      <c r="J568">
        <v>957</v>
      </c>
      <c r="K568">
        <v>78897</v>
      </c>
      <c r="L568">
        <v>87087</v>
      </c>
      <c r="M568">
        <v>8190</v>
      </c>
      <c r="N568" t="s">
        <v>410</v>
      </c>
    </row>
    <row r="569" spans="1:14" x14ac:dyDescent="0.3">
      <c r="A569" s="16">
        <v>45672</v>
      </c>
      <c r="B569" t="s">
        <v>462</v>
      </c>
      <c r="C569" t="s">
        <v>612</v>
      </c>
      <c r="D569" t="s">
        <v>418</v>
      </c>
      <c r="E569" t="s">
        <v>419</v>
      </c>
      <c r="F569" t="s">
        <v>433</v>
      </c>
      <c r="G569" t="s">
        <v>428</v>
      </c>
      <c r="H569">
        <v>81</v>
      </c>
      <c r="I569">
        <v>556</v>
      </c>
      <c r="J569">
        <v>1345</v>
      </c>
      <c r="K569">
        <v>45036</v>
      </c>
      <c r="L569">
        <v>108945</v>
      </c>
      <c r="M569">
        <v>63909</v>
      </c>
      <c r="N569" t="s">
        <v>410</v>
      </c>
    </row>
    <row r="570" spans="1:14" x14ac:dyDescent="0.3">
      <c r="A570" s="16">
        <v>45695</v>
      </c>
      <c r="B570" t="s">
        <v>459</v>
      </c>
      <c r="C570" t="s">
        <v>692</v>
      </c>
      <c r="D570" t="s">
        <v>413</v>
      </c>
      <c r="E570" t="s">
        <v>444</v>
      </c>
      <c r="F570" t="s">
        <v>424</v>
      </c>
      <c r="G570" t="s">
        <v>428</v>
      </c>
      <c r="H570">
        <v>23</v>
      </c>
      <c r="I570">
        <v>761</v>
      </c>
      <c r="J570">
        <v>901</v>
      </c>
      <c r="K570">
        <v>17503</v>
      </c>
      <c r="L570">
        <v>20723</v>
      </c>
      <c r="M570">
        <v>3220</v>
      </c>
      <c r="N570" t="s">
        <v>410</v>
      </c>
    </row>
    <row r="571" spans="1:14" x14ac:dyDescent="0.3">
      <c r="A571" s="16">
        <v>45556</v>
      </c>
      <c r="B571" t="s">
        <v>431</v>
      </c>
      <c r="C571" t="s">
        <v>752</v>
      </c>
      <c r="D571" t="s">
        <v>418</v>
      </c>
      <c r="E571" t="s">
        <v>419</v>
      </c>
      <c r="F571" t="s">
        <v>532</v>
      </c>
      <c r="G571" t="s">
        <v>428</v>
      </c>
      <c r="H571">
        <v>81</v>
      </c>
      <c r="I571">
        <v>948</v>
      </c>
      <c r="J571">
        <v>904</v>
      </c>
      <c r="K571">
        <v>76788</v>
      </c>
      <c r="L571">
        <v>73224</v>
      </c>
      <c r="M571">
        <v>-3564</v>
      </c>
      <c r="N571" t="s">
        <v>421</v>
      </c>
    </row>
    <row r="572" spans="1:14" x14ac:dyDescent="0.3">
      <c r="A572" s="16">
        <v>45705</v>
      </c>
      <c r="B572" t="s">
        <v>459</v>
      </c>
      <c r="C572" t="s">
        <v>750</v>
      </c>
      <c r="D572" t="s">
        <v>418</v>
      </c>
      <c r="E572" t="s">
        <v>453</v>
      </c>
      <c r="F572" t="s">
        <v>433</v>
      </c>
      <c r="G572" t="s">
        <v>428</v>
      </c>
      <c r="H572">
        <v>61</v>
      </c>
      <c r="I572">
        <v>529</v>
      </c>
      <c r="J572">
        <v>1419</v>
      </c>
      <c r="K572">
        <v>32269</v>
      </c>
      <c r="L572">
        <v>86559</v>
      </c>
      <c r="M572">
        <v>54290</v>
      </c>
      <c r="N572" t="s">
        <v>410</v>
      </c>
    </row>
    <row r="573" spans="1:14" x14ac:dyDescent="0.3">
      <c r="A573" s="16">
        <v>45571</v>
      </c>
      <c r="B573" t="s">
        <v>422</v>
      </c>
      <c r="C573" t="s">
        <v>593</v>
      </c>
      <c r="D573" t="s">
        <v>418</v>
      </c>
      <c r="E573" t="s">
        <v>453</v>
      </c>
      <c r="F573" t="s">
        <v>451</v>
      </c>
      <c r="G573" t="s">
        <v>409</v>
      </c>
      <c r="H573">
        <v>92</v>
      </c>
      <c r="I573">
        <v>923</v>
      </c>
      <c r="J573">
        <v>1151</v>
      </c>
      <c r="K573">
        <v>84916</v>
      </c>
      <c r="L573">
        <v>105892</v>
      </c>
      <c r="M573">
        <v>20976</v>
      </c>
      <c r="N573" t="s">
        <v>410</v>
      </c>
    </row>
    <row r="574" spans="1:14" x14ac:dyDescent="0.3">
      <c r="A574" s="16">
        <v>45685</v>
      </c>
      <c r="B574" t="s">
        <v>462</v>
      </c>
      <c r="C574" t="s">
        <v>670</v>
      </c>
      <c r="D574" t="s">
        <v>406</v>
      </c>
      <c r="E574" t="s">
        <v>407</v>
      </c>
      <c r="F574" t="s">
        <v>424</v>
      </c>
      <c r="G574" t="s">
        <v>428</v>
      </c>
      <c r="H574">
        <v>19</v>
      </c>
      <c r="I574">
        <v>972</v>
      </c>
      <c r="J574">
        <v>1314</v>
      </c>
      <c r="K574">
        <v>18468</v>
      </c>
      <c r="L574">
        <v>24966</v>
      </c>
      <c r="M574">
        <v>6498</v>
      </c>
      <c r="N574" t="s">
        <v>410</v>
      </c>
    </row>
    <row r="575" spans="1:14" x14ac:dyDescent="0.3">
      <c r="A575" s="16">
        <v>45454</v>
      </c>
      <c r="B575" t="s">
        <v>404</v>
      </c>
      <c r="C575" t="s">
        <v>621</v>
      </c>
      <c r="D575" t="s">
        <v>406</v>
      </c>
      <c r="E575" t="s">
        <v>470</v>
      </c>
      <c r="F575" t="s">
        <v>510</v>
      </c>
      <c r="G575" t="s">
        <v>409</v>
      </c>
      <c r="H575">
        <v>13</v>
      </c>
      <c r="I575">
        <v>643</v>
      </c>
      <c r="J575">
        <v>1432</v>
      </c>
      <c r="K575">
        <v>8359</v>
      </c>
      <c r="L575">
        <v>18616</v>
      </c>
      <c r="M575">
        <v>10257</v>
      </c>
      <c r="N575" t="s">
        <v>410</v>
      </c>
    </row>
    <row r="576" spans="1:14" x14ac:dyDescent="0.3">
      <c r="A576" s="16">
        <v>45505</v>
      </c>
      <c r="B576" t="s">
        <v>434</v>
      </c>
      <c r="C576" t="s">
        <v>551</v>
      </c>
      <c r="D576" t="s">
        <v>418</v>
      </c>
      <c r="E576" t="s">
        <v>453</v>
      </c>
      <c r="F576" t="s">
        <v>424</v>
      </c>
      <c r="G576" t="s">
        <v>428</v>
      </c>
      <c r="H576">
        <v>89</v>
      </c>
      <c r="I576">
        <v>584</v>
      </c>
      <c r="J576">
        <v>777</v>
      </c>
      <c r="K576">
        <v>51976</v>
      </c>
      <c r="L576">
        <v>69153</v>
      </c>
      <c r="M576">
        <v>17177</v>
      </c>
      <c r="N576" t="s">
        <v>410</v>
      </c>
    </row>
    <row r="577" spans="1:14" x14ac:dyDescent="0.3">
      <c r="A577" s="16">
        <v>45480</v>
      </c>
      <c r="B577" t="s">
        <v>482</v>
      </c>
      <c r="C577" t="s">
        <v>563</v>
      </c>
      <c r="D577" t="s">
        <v>406</v>
      </c>
      <c r="E577" t="s">
        <v>407</v>
      </c>
      <c r="F577" t="s">
        <v>415</v>
      </c>
      <c r="G577" t="s">
        <v>428</v>
      </c>
      <c r="H577">
        <v>20</v>
      </c>
      <c r="I577">
        <v>689</v>
      </c>
      <c r="J577">
        <v>939</v>
      </c>
      <c r="K577">
        <v>13780</v>
      </c>
      <c r="L577">
        <v>18780</v>
      </c>
      <c r="M577">
        <v>5000</v>
      </c>
      <c r="N577" t="s">
        <v>410</v>
      </c>
    </row>
    <row r="578" spans="1:14" x14ac:dyDescent="0.3">
      <c r="A578" s="16">
        <v>45657</v>
      </c>
      <c r="B578" t="s">
        <v>416</v>
      </c>
      <c r="C578" t="s">
        <v>722</v>
      </c>
      <c r="D578" t="s">
        <v>418</v>
      </c>
      <c r="E578" t="s">
        <v>419</v>
      </c>
      <c r="F578" t="s">
        <v>532</v>
      </c>
      <c r="G578" t="s">
        <v>428</v>
      </c>
      <c r="H578">
        <v>54</v>
      </c>
      <c r="I578">
        <v>990</v>
      </c>
      <c r="J578">
        <v>970</v>
      </c>
      <c r="K578">
        <v>53460</v>
      </c>
      <c r="L578">
        <v>52380</v>
      </c>
      <c r="M578">
        <v>-1080</v>
      </c>
      <c r="N578" t="s">
        <v>421</v>
      </c>
    </row>
    <row r="579" spans="1:14" x14ac:dyDescent="0.3">
      <c r="A579" s="16">
        <v>45639</v>
      </c>
      <c r="B579" t="s">
        <v>416</v>
      </c>
      <c r="C579" t="s">
        <v>669</v>
      </c>
      <c r="D579" t="s">
        <v>418</v>
      </c>
      <c r="E579" t="s">
        <v>453</v>
      </c>
      <c r="F579" t="s">
        <v>424</v>
      </c>
      <c r="G579" t="s">
        <v>409</v>
      </c>
      <c r="H579">
        <v>72</v>
      </c>
      <c r="I579">
        <v>560</v>
      </c>
      <c r="J579">
        <v>918</v>
      </c>
      <c r="K579">
        <v>40320</v>
      </c>
      <c r="L579">
        <v>66096</v>
      </c>
      <c r="M579">
        <v>25776</v>
      </c>
      <c r="N579" t="s">
        <v>410</v>
      </c>
    </row>
    <row r="580" spans="1:14" x14ac:dyDescent="0.3">
      <c r="A580" s="16">
        <v>45599</v>
      </c>
      <c r="B580" t="s">
        <v>411</v>
      </c>
      <c r="C580" t="s">
        <v>429</v>
      </c>
      <c r="D580" t="s">
        <v>413</v>
      </c>
      <c r="E580" t="s">
        <v>430</v>
      </c>
      <c r="F580" t="s">
        <v>424</v>
      </c>
      <c r="G580" t="s">
        <v>409</v>
      </c>
      <c r="H580">
        <v>29</v>
      </c>
      <c r="I580">
        <v>813</v>
      </c>
      <c r="J580">
        <v>1241</v>
      </c>
      <c r="K580">
        <v>23577</v>
      </c>
      <c r="L580">
        <v>35989</v>
      </c>
      <c r="M580">
        <v>12412</v>
      </c>
      <c r="N580" t="s">
        <v>410</v>
      </c>
    </row>
    <row r="581" spans="1:14" x14ac:dyDescent="0.3">
      <c r="A581" s="16">
        <v>45460</v>
      </c>
      <c r="B581" t="s">
        <v>404</v>
      </c>
      <c r="C581" t="s">
        <v>712</v>
      </c>
      <c r="D581" t="s">
        <v>406</v>
      </c>
      <c r="E581" t="s">
        <v>470</v>
      </c>
      <c r="F581" t="s">
        <v>465</v>
      </c>
      <c r="G581" t="s">
        <v>428</v>
      </c>
      <c r="H581">
        <v>20</v>
      </c>
      <c r="I581">
        <v>699</v>
      </c>
      <c r="J581">
        <v>1400</v>
      </c>
      <c r="K581">
        <v>13980</v>
      </c>
      <c r="L581">
        <v>28000</v>
      </c>
      <c r="M581">
        <v>14020</v>
      </c>
      <c r="N581" t="s">
        <v>410</v>
      </c>
    </row>
    <row r="582" spans="1:14" x14ac:dyDescent="0.3">
      <c r="A582" s="16">
        <v>45610</v>
      </c>
      <c r="B582" t="s">
        <v>411</v>
      </c>
      <c r="C582" t="s">
        <v>665</v>
      </c>
      <c r="D582" t="s">
        <v>413</v>
      </c>
      <c r="E582" t="s">
        <v>414</v>
      </c>
      <c r="F582" t="s">
        <v>436</v>
      </c>
      <c r="G582" t="s">
        <v>428</v>
      </c>
      <c r="H582">
        <v>24</v>
      </c>
      <c r="I582">
        <v>553</v>
      </c>
      <c r="J582">
        <v>964</v>
      </c>
      <c r="K582">
        <v>13272</v>
      </c>
      <c r="L582">
        <v>23136</v>
      </c>
      <c r="M582">
        <v>9864</v>
      </c>
      <c r="N582" t="s">
        <v>410</v>
      </c>
    </row>
    <row r="583" spans="1:14" x14ac:dyDescent="0.3">
      <c r="A583" s="16">
        <v>45398</v>
      </c>
      <c r="B583" t="s">
        <v>449</v>
      </c>
      <c r="C583" t="s">
        <v>471</v>
      </c>
      <c r="D583" t="s">
        <v>418</v>
      </c>
      <c r="E583" t="s">
        <v>448</v>
      </c>
      <c r="F583" t="s">
        <v>472</v>
      </c>
      <c r="G583" t="s">
        <v>409</v>
      </c>
      <c r="H583">
        <v>50</v>
      </c>
      <c r="I583">
        <v>537</v>
      </c>
      <c r="J583">
        <v>1172</v>
      </c>
      <c r="K583">
        <v>26850</v>
      </c>
      <c r="L583">
        <v>58600</v>
      </c>
      <c r="M583">
        <v>31750</v>
      </c>
      <c r="N583" t="s">
        <v>410</v>
      </c>
    </row>
    <row r="584" spans="1:14" x14ac:dyDescent="0.3">
      <c r="A584" s="16">
        <v>45689</v>
      </c>
      <c r="B584" t="s">
        <v>459</v>
      </c>
      <c r="C584" t="s">
        <v>601</v>
      </c>
      <c r="D584" t="s">
        <v>413</v>
      </c>
      <c r="E584" t="s">
        <v>444</v>
      </c>
      <c r="F584" t="s">
        <v>451</v>
      </c>
      <c r="G584" t="s">
        <v>409</v>
      </c>
      <c r="H584">
        <v>30</v>
      </c>
      <c r="I584">
        <v>946</v>
      </c>
      <c r="J584">
        <v>1109</v>
      </c>
      <c r="K584">
        <v>28380</v>
      </c>
      <c r="L584">
        <v>33270</v>
      </c>
      <c r="M584">
        <v>4890</v>
      </c>
      <c r="N584" t="s">
        <v>410</v>
      </c>
    </row>
    <row r="585" spans="1:14" x14ac:dyDescent="0.3">
      <c r="A585" s="16">
        <v>45519</v>
      </c>
      <c r="B585" t="s">
        <v>434</v>
      </c>
      <c r="C585" t="s">
        <v>753</v>
      </c>
      <c r="D585" t="s">
        <v>413</v>
      </c>
      <c r="E585" t="s">
        <v>444</v>
      </c>
      <c r="F585" t="s">
        <v>532</v>
      </c>
      <c r="G585" t="s">
        <v>409</v>
      </c>
      <c r="H585">
        <v>22</v>
      </c>
      <c r="I585">
        <v>749</v>
      </c>
      <c r="J585">
        <v>850</v>
      </c>
      <c r="K585">
        <v>16478</v>
      </c>
      <c r="L585">
        <v>18700</v>
      </c>
      <c r="M585">
        <v>2222</v>
      </c>
      <c r="N585" t="s">
        <v>410</v>
      </c>
    </row>
    <row r="586" spans="1:14" x14ac:dyDescent="0.3">
      <c r="A586" s="16">
        <v>45533</v>
      </c>
      <c r="B586" t="s">
        <v>434</v>
      </c>
      <c r="C586" t="s">
        <v>699</v>
      </c>
      <c r="D586" t="s">
        <v>418</v>
      </c>
      <c r="E586" t="s">
        <v>453</v>
      </c>
      <c r="F586" t="s">
        <v>442</v>
      </c>
      <c r="G586" t="s">
        <v>409</v>
      </c>
      <c r="H586">
        <v>76</v>
      </c>
      <c r="I586">
        <v>567</v>
      </c>
      <c r="J586">
        <v>897</v>
      </c>
      <c r="K586">
        <v>43092</v>
      </c>
      <c r="L586">
        <v>68172</v>
      </c>
      <c r="M586">
        <v>25080</v>
      </c>
      <c r="N586" t="s">
        <v>410</v>
      </c>
    </row>
    <row r="587" spans="1:14" x14ac:dyDescent="0.3">
      <c r="A587" s="16">
        <v>45405</v>
      </c>
      <c r="B587" t="s">
        <v>449</v>
      </c>
      <c r="C587" t="s">
        <v>749</v>
      </c>
      <c r="D587" t="s">
        <v>413</v>
      </c>
      <c r="E587" t="s">
        <v>414</v>
      </c>
      <c r="F587" t="s">
        <v>426</v>
      </c>
      <c r="G587" t="s">
        <v>428</v>
      </c>
      <c r="H587">
        <v>25</v>
      </c>
      <c r="I587">
        <v>958</v>
      </c>
      <c r="J587">
        <v>942</v>
      </c>
      <c r="K587">
        <v>23950</v>
      </c>
      <c r="L587">
        <v>23550</v>
      </c>
      <c r="M587">
        <v>-400</v>
      </c>
      <c r="N587" t="s">
        <v>421</v>
      </c>
    </row>
    <row r="588" spans="1:14" x14ac:dyDescent="0.3">
      <c r="A588" s="16">
        <v>45427</v>
      </c>
      <c r="B588" t="s">
        <v>437</v>
      </c>
      <c r="C588" t="s">
        <v>645</v>
      </c>
      <c r="D588" t="s">
        <v>413</v>
      </c>
      <c r="E588" t="s">
        <v>444</v>
      </c>
      <c r="F588" t="s">
        <v>478</v>
      </c>
      <c r="G588" t="s">
        <v>409</v>
      </c>
      <c r="H588">
        <v>29</v>
      </c>
      <c r="I588">
        <v>655</v>
      </c>
      <c r="J588">
        <v>950</v>
      </c>
      <c r="K588">
        <v>18995</v>
      </c>
      <c r="L588">
        <v>27550</v>
      </c>
      <c r="M588">
        <v>8555</v>
      </c>
      <c r="N588" t="s">
        <v>410</v>
      </c>
    </row>
    <row r="589" spans="1:14" x14ac:dyDescent="0.3">
      <c r="A589" s="16">
        <v>45611</v>
      </c>
      <c r="B589" t="s">
        <v>411</v>
      </c>
      <c r="C589" t="s">
        <v>526</v>
      </c>
      <c r="D589" t="s">
        <v>413</v>
      </c>
      <c r="E589" t="s">
        <v>414</v>
      </c>
      <c r="F589" t="s">
        <v>408</v>
      </c>
      <c r="G589" t="s">
        <v>428</v>
      </c>
      <c r="H589">
        <v>25</v>
      </c>
      <c r="I589">
        <v>802</v>
      </c>
      <c r="J589">
        <v>1126</v>
      </c>
      <c r="K589">
        <v>20050</v>
      </c>
      <c r="L589">
        <v>28150</v>
      </c>
      <c r="M589">
        <v>8100</v>
      </c>
      <c r="N589" t="s">
        <v>410</v>
      </c>
    </row>
    <row r="590" spans="1:14" x14ac:dyDescent="0.3">
      <c r="A590" s="16">
        <v>45550</v>
      </c>
      <c r="B590" t="s">
        <v>431</v>
      </c>
      <c r="C590" t="s">
        <v>754</v>
      </c>
      <c r="D590" t="s">
        <v>406</v>
      </c>
      <c r="E590" t="s">
        <v>407</v>
      </c>
      <c r="F590" t="s">
        <v>451</v>
      </c>
      <c r="G590" t="s">
        <v>409</v>
      </c>
      <c r="H590">
        <v>20</v>
      </c>
      <c r="I590">
        <v>508</v>
      </c>
      <c r="J590">
        <v>1433</v>
      </c>
      <c r="K590">
        <v>10160</v>
      </c>
      <c r="L590">
        <v>28660</v>
      </c>
      <c r="M590">
        <v>18500</v>
      </c>
      <c r="N590" t="s">
        <v>410</v>
      </c>
    </row>
    <row r="591" spans="1:14" x14ac:dyDescent="0.3">
      <c r="A591" s="16">
        <v>45530</v>
      </c>
      <c r="B591" t="s">
        <v>434</v>
      </c>
      <c r="C591" t="s">
        <v>534</v>
      </c>
      <c r="D591" t="s">
        <v>418</v>
      </c>
      <c r="E591" t="s">
        <v>453</v>
      </c>
      <c r="F591" t="s">
        <v>420</v>
      </c>
      <c r="G591" t="s">
        <v>409</v>
      </c>
      <c r="H591">
        <v>74</v>
      </c>
      <c r="I591">
        <v>914</v>
      </c>
      <c r="J591">
        <v>1031</v>
      </c>
      <c r="K591">
        <v>67636</v>
      </c>
      <c r="L591">
        <v>76294</v>
      </c>
      <c r="M591">
        <v>8658</v>
      </c>
      <c r="N591" t="s">
        <v>410</v>
      </c>
    </row>
    <row r="592" spans="1:14" x14ac:dyDescent="0.3">
      <c r="A592" s="16">
        <v>45650</v>
      </c>
      <c r="B592" t="s">
        <v>416</v>
      </c>
      <c r="C592" t="s">
        <v>732</v>
      </c>
      <c r="D592" t="s">
        <v>418</v>
      </c>
      <c r="E592" t="s">
        <v>419</v>
      </c>
      <c r="F592" t="s">
        <v>566</v>
      </c>
      <c r="G592" t="s">
        <v>409</v>
      </c>
      <c r="H592">
        <v>50</v>
      </c>
      <c r="I592">
        <v>545</v>
      </c>
      <c r="J592">
        <v>1050</v>
      </c>
      <c r="K592">
        <v>27250</v>
      </c>
      <c r="L592">
        <v>52500</v>
      </c>
      <c r="M592">
        <v>25250</v>
      </c>
      <c r="N592" t="s">
        <v>410</v>
      </c>
    </row>
    <row r="593" spans="1:14" x14ac:dyDescent="0.3">
      <c r="A593" s="16">
        <v>45569</v>
      </c>
      <c r="B593" t="s">
        <v>422</v>
      </c>
      <c r="C593" t="s">
        <v>755</v>
      </c>
      <c r="D593" t="s">
        <v>418</v>
      </c>
      <c r="E593" t="s">
        <v>453</v>
      </c>
      <c r="F593" t="s">
        <v>465</v>
      </c>
      <c r="G593" t="s">
        <v>409</v>
      </c>
      <c r="H593">
        <v>61</v>
      </c>
      <c r="I593">
        <v>604</v>
      </c>
      <c r="J593">
        <v>1251</v>
      </c>
      <c r="K593">
        <v>36844</v>
      </c>
      <c r="L593">
        <v>76311</v>
      </c>
      <c r="M593">
        <v>39467</v>
      </c>
      <c r="N593" t="s">
        <v>410</v>
      </c>
    </row>
    <row r="594" spans="1:14" x14ac:dyDescent="0.3">
      <c r="A594" s="16">
        <v>45444</v>
      </c>
      <c r="B594" t="s">
        <v>404</v>
      </c>
      <c r="C594" t="s">
        <v>756</v>
      </c>
      <c r="D594" t="s">
        <v>418</v>
      </c>
      <c r="E594" t="s">
        <v>419</v>
      </c>
      <c r="F594" t="s">
        <v>433</v>
      </c>
      <c r="G594" t="s">
        <v>409</v>
      </c>
      <c r="H594">
        <v>51</v>
      </c>
      <c r="I594">
        <v>749</v>
      </c>
      <c r="J594">
        <v>1060</v>
      </c>
      <c r="K594">
        <v>38199</v>
      </c>
      <c r="L594">
        <v>54060</v>
      </c>
      <c r="M594">
        <v>15861</v>
      </c>
      <c r="N594" t="s">
        <v>410</v>
      </c>
    </row>
    <row r="595" spans="1:14" x14ac:dyDescent="0.3">
      <c r="A595" s="16">
        <v>45574</v>
      </c>
      <c r="B595" t="s">
        <v>422</v>
      </c>
      <c r="C595" t="s">
        <v>682</v>
      </c>
      <c r="D595" t="s">
        <v>418</v>
      </c>
      <c r="E595" t="s">
        <v>419</v>
      </c>
      <c r="F595" t="s">
        <v>510</v>
      </c>
      <c r="G595" t="s">
        <v>409</v>
      </c>
      <c r="H595">
        <v>69</v>
      </c>
      <c r="I595">
        <v>657</v>
      </c>
      <c r="J595">
        <v>1493</v>
      </c>
      <c r="K595">
        <v>45333</v>
      </c>
      <c r="L595">
        <v>103017</v>
      </c>
      <c r="M595">
        <v>57684</v>
      </c>
      <c r="N595" t="s">
        <v>410</v>
      </c>
    </row>
    <row r="596" spans="1:14" x14ac:dyDescent="0.3">
      <c r="A596" s="16">
        <v>45643</v>
      </c>
      <c r="B596" t="s">
        <v>416</v>
      </c>
      <c r="C596" t="s">
        <v>581</v>
      </c>
      <c r="D596" t="s">
        <v>418</v>
      </c>
      <c r="E596" t="s">
        <v>453</v>
      </c>
      <c r="F596" t="s">
        <v>426</v>
      </c>
      <c r="G596" t="s">
        <v>409</v>
      </c>
      <c r="H596">
        <v>88</v>
      </c>
      <c r="I596">
        <v>674</v>
      </c>
      <c r="J596">
        <v>891</v>
      </c>
      <c r="K596">
        <v>59312</v>
      </c>
      <c r="L596">
        <v>78408</v>
      </c>
      <c r="M596">
        <v>19096</v>
      </c>
      <c r="N596" t="s">
        <v>410</v>
      </c>
    </row>
    <row r="597" spans="1:14" x14ac:dyDescent="0.3">
      <c r="A597" s="16">
        <v>45504</v>
      </c>
      <c r="B597" t="s">
        <v>482</v>
      </c>
      <c r="C597" t="s">
        <v>681</v>
      </c>
      <c r="D597" t="s">
        <v>418</v>
      </c>
      <c r="E597" t="s">
        <v>453</v>
      </c>
      <c r="F597" t="s">
        <v>451</v>
      </c>
      <c r="G597" t="s">
        <v>428</v>
      </c>
      <c r="H597">
        <v>81</v>
      </c>
      <c r="I597">
        <v>903</v>
      </c>
      <c r="J597">
        <v>1306</v>
      </c>
      <c r="K597">
        <v>73143</v>
      </c>
      <c r="L597">
        <v>105786</v>
      </c>
      <c r="M597">
        <v>32643</v>
      </c>
      <c r="N597" t="s">
        <v>410</v>
      </c>
    </row>
    <row r="598" spans="1:14" x14ac:dyDescent="0.3">
      <c r="A598" s="16">
        <v>45713</v>
      </c>
      <c r="B598" t="s">
        <v>459</v>
      </c>
      <c r="C598" t="s">
        <v>757</v>
      </c>
      <c r="D598" t="s">
        <v>418</v>
      </c>
      <c r="E598" t="s">
        <v>758</v>
      </c>
      <c r="F598" t="s">
        <v>439</v>
      </c>
      <c r="G598" t="s">
        <v>428</v>
      </c>
      <c r="H598">
        <v>62</v>
      </c>
      <c r="I598">
        <v>774</v>
      </c>
      <c r="J598">
        <v>1050</v>
      </c>
      <c r="K598">
        <v>47988</v>
      </c>
      <c r="L598">
        <v>65100</v>
      </c>
      <c r="M598">
        <v>17112</v>
      </c>
      <c r="N598" t="s">
        <v>410</v>
      </c>
    </row>
    <row r="599" spans="1:14" x14ac:dyDescent="0.3">
      <c r="A599" s="16">
        <v>45496</v>
      </c>
      <c r="B599" t="s">
        <v>482</v>
      </c>
      <c r="C599" t="s">
        <v>536</v>
      </c>
      <c r="D599" t="s">
        <v>418</v>
      </c>
      <c r="E599" t="s">
        <v>453</v>
      </c>
      <c r="F599" t="s">
        <v>504</v>
      </c>
      <c r="G599" t="s">
        <v>409</v>
      </c>
      <c r="H599">
        <v>83</v>
      </c>
      <c r="I599">
        <v>943</v>
      </c>
      <c r="J599">
        <v>867</v>
      </c>
      <c r="K599">
        <v>78269</v>
      </c>
      <c r="L599">
        <v>71961</v>
      </c>
      <c r="M599">
        <v>-6308</v>
      </c>
      <c r="N599" t="s">
        <v>421</v>
      </c>
    </row>
    <row r="600" spans="1:14" x14ac:dyDescent="0.3">
      <c r="A600" s="16">
        <v>45522</v>
      </c>
      <c r="B600" t="s">
        <v>434</v>
      </c>
      <c r="C600" t="s">
        <v>484</v>
      </c>
      <c r="D600" t="s">
        <v>413</v>
      </c>
      <c r="E600" t="s">
        <v>444</v>
      </c>
      <c r="F600" t="s">
        <v>408</v>
      </c>
      <c r="G600" t="s">
        <v>428</v>
      </c>
      <c r="H600">
        <v>22</v>
      </c>
      <c r="I600">
        <v>681</v>
      </c>
      <c r="J600">
        <v>1087</v>
      </c>
      <c r="K600">
        <v>14982</v>
      </c>
      <c r="L600">
        <v>23914</v>
      </c>
      <c r="M600">
        <v>8932</v>
      </c>
      <c r="N600" t="s">
        <v>410</v>
      </c>
    </row>
    <row r="601" spans="1:14" x14ac:dyDescent="0.3">
      <c r="A601" s="16">
        <v>45547</v>
      </c>
      <c r="B601" t="s">
        <v>431</v>
      </c>
      <c r="C601" t="s">
        <v>696</v>
      </c>
      <c r="D601" t="s">
        <v>406</v>
      </c>
      <c r="E601" t="s">
        <v>407</v>
      </c>
      <c r="F601" t="s">
        <v>478</v>
      </c>
      <c r="G601" t="s">
        <v>409</v>
      </c>
      <c r="H601">
        <v>10</v>
      </c>
      <c r="I601">
        <v>554</v>
      </c>
      <c r="J601">
        <v>1210</v>
      </c>
      <c r="K601">
        <v>5540</v>
      </c>
      <c r="L601">
        <v>12100</v>
      </c>
      <c r="M601">
        <v>6560</v>
      </c>
      <c r="N601" t="s">
        <v>410</v>
      </c>
    </row>
    <row r="602" spans="1:14" x14ac:dyDescent="0.3">
      <c r="A602" s="16">
        <v>45645</v>
      </c>
      <c r="B602" t="s">
        <v>416</v>
      </c>
      <c r="C602" t="s">
        <v>452</v>
      </c>
      <c r="D602" t="s">
        <v>418</v>
      </c>
      <c r="E602" t="s">
        <v>453</v>
      </c>
      <c r="F602" t="s">
        <v>454</v>
      </c>
      <c r="G602" t="s">
        <v>409</v>
      </c>
      <c r="H602">
        <v>81</v>
      </c>
      <c r="I602">
        <v>801</v>
      </c>
      <c r="J602">
        <v>846</v>
      </c>
      <c r="K602">
        <v>64881</v>
      </c>
      <c r="L602">
        <v>68526</v>
      </c>
      <c r="M602">
        <v>3645</v>
      </c>
      <c r="N602" t="s">
        <v>410</v>
      </c>
    </row>
    <row r="603" spans="1:14" x14ac:dyDescent="0.3">
      <c r="A603" s="16">
        <v>45649</v>
      </c>
      <c r="B603" t="s">
        <v>416</v>
      </c>
      <c r="C603" t="s">
        <v>759</v>
      </c>
      <c r="D603" t="s">
        <v>418</v>
      </c>
      <c r="E603" t="s">
        <v>419</v>
      </c>
      <c r="F603" t="s">
        <v>451</v>
      </c>
      <c r="G603" t="s">
        <v>409</v>
      </c>
      <c r="H603">
        <v>94</v>
      </c>
      <c r="I603">
        <v>564</v>
      </c>
      <c r="J603">
        <v>941</v>
      </c>
      <c r="K603">
        <v>53016</v>
      </c>
      <c r="L603">
        <v>88454</v>
      </c>
      <c r="M603">
        <v>35438</v>
      </c>
      <c r="N603" t="s">
        <v>410</v>
      </c>
    </row>
    <row r="604" spans="1:14" x14ac:dyDescent="0.3">
      <c r="A604" s="16">
        <v>45409</v>
      </c>
      <c r="B604" t="s">
        <v>449</v>
      </c>
      <c r="C604" t="s">
        <v>655</v>
      </c>
      <c r="D604" t="s">
        <v>413</v>
      </c>
      <c r="E604" t="s">
        <v>414</v>
      </c>
      <c r="F604" t="s">
        <v>465</v>
      </c>
      <c r="G604" t="s">
        <v>409</v>
      </c>
      <c r="H604">
        <v>26</v>
      </c>
      <c r="I604">
        <v>983</v>
      </c>
      <c r="J604">
        <v>1270</v>
      </c>
      <c r="K604">
        <v>25558</v>
      </c>
      <c r="L604">
        <v>33020</v>
      </c>
      <c r="M604">
        <v>7462</v>
      </c>
      <c r="N604" t="s">
        <v>410</v>
      </c>
    </row>
    <row r="605" spans="1:14" x14ac:dyDescent="0.3">
      <c r="A605" s="16">
        <v>45617</v>
      </c>
      <c r="B605" t="s">
        <v>411</v>
      </c>
      <c r="C605" t="s">
        <v>656</v>
      </c>
      <c r="D605" t="s">
        <v>413</v>
      </c>
      <c r="E605" t="s">
        <v>414</v>
      </c>
      <c r="F605" t="s">
        <v>451</v>
      </c>
      <c r="G605" t="s">
        <v>428</v>
      </c>
      <c r="H605">
        <v>26</v>
      </c>
      <c r="I605">
        <v>625</v>
      </c>
      <c r="J605">
        <v>1298</v>
      </c>
      <c r="K605">
        <v>16250</v>
      </c>
      <c r="L605">
        <v>33748</v>
      </c>
      <c r="M605">
        <v>17498</v>
      </c>
      <c r="N605" t="s">
        <v>410</v>
      </c>
    </row>
    <row r="606" spans="1:14" x14ac:dyDescent="0.3">
      <c r="A606" s="16">
        <v>45413</v>
      </c>
      <c r="B606" t="s">
        <v>437</v>
      </c>
      <c r="C606" t="s">
        <v>760</v>
      </c>
      <c r="D606" t="s">
        <v>413</v>
      </c>
      <c r="E606" t="s">
        <v>414</v>
      </c>
      <c r="F606" t="s">
        <v>442</v>
      </c>
      <c r="G606" t="s">
        <v>409</v>
      </c>
      <c r="H606">
        <v>21</v>
      </c>
      <c r="I606">
        <v>571</v>
      </c>
      <c r="J606">
        <v>900</v>
      </c>
      <c r="K606">
        <v>11991</v>
      </c>
      <c r="L606">
        <v>18900</v>
      </c>
      <c r="M606">
        <v>6909</v>
      </c>
      <c r="N606" t="s">
        <v>410</v>
      </c>
    </row>
    <row r="607" spans="1:14" x14ac:dyDescent="0.3">
      <c r="A607" s="16">
        <v>45699</v>
      </c>
      <c r="B607" t="s">
        <v>459</v>
      </c>
      <c r="C607" t="s">
        <v>715</v>
      </c>
      <c r="D607" t="s">
        <v>413</v>
      </c>
      <c r="E607" t="s">
        <v>444</v>
      </c>
      <c r="F607" t="s">
        <v>408</v>
      </c>
      <c r="G607" t="s">
        <v>409</v>
      </c>
      <c r="H607">
        <v>29</v>
      </c>
      <c r="I607">
        <v>623</v>
      </c>
      <c r="J607">
        <v>919</v>
      </c>
      <c r="K607">
        <v>18067</v>
      </c>
      <c r="L607">
        <v>26651</v>
      </c>
      <c r="M607">
        <v>8584</v>
      </c>
      <c r="N607" t="s">
        <v>410</v>
      </c>
    </row>
    <row r="608" spans="1:14" x14ac:dyDescent="0.3">
      <c r="A608" s="16">
        <v>45707</v>
      </c>
      <c r="B608" t="s">
        <v>459</v>
      </c>
      <c r="C608" t="s">
        <v>659</v>
      </c>
      <c r="D608" t="s">
        <v>418</v>
      </c>
      <c r="E608" t="s">
        <v>453</v>
      </c>
      <c r="F608" t="s">
        <v>420</v>
      </c>
      <c r="G608" t="s">
        <v>428</v>
      </c>
      <c r="H608">
        <v>96</v>
      </c>
      <c r="I608">
        <v>790</v>
      </c>
      <c r="J608">
        <v>1335</v>
      </c>
      <c r="K608">
        <v>75840</v>
      </c>
      <c r="L608">
        <v>128160</v>
      </c>
      <c r="M608">
        <v>52320</v>
      </c>
      <c r="N608" t="s">
        <v>410</v>
      </c>
    </row>
    <row r="609" spans="1:14" x14ac:dyDescent="0.3">
      <c r="A609" s="16">
        <v>45683</v>
      </c>
      <c r="B609" t="s">
        <v>462</v>
      </c>
      <c r="C609" t="s">
        <v>567</v>
      </c>
      <c r="D609" t="s">
        <v>406</v>
      </c>
      <c r="E609" t="s">
        <v>407</v>
      </c>
      <c r="F609" t="s">
        <v>532</v>
      </c>
      <c r="G609" t="s">
        <v>409</v>
      </c>
      <c r="H609">
        <v>18</v>
      </c>
      <c r="I609">
        <v>910</v>
      </c>
      <c r="J609">
        <v>1065</v>
      </c>
      <c r="K609">
        <v>16380</v>
      </c>
      <c r="L609">
        <v>19170</v>
      </c>
      <c r="M609">
        <v>2790</v>
      </c>
      <c r="N609" t="s">
        <v>410</v>
      </c>
    </row>
    <row r="610" spans="1:14" x14ac:dyDescent="0.3">
      <c r="A610" s="16">
        <v>45447</v>
      </c>
      <c r="B610" t="s">
        <v>404</v>
      </c>
      <c r="C610" t="s">
        <v>660</v>
      </c>
      <c r="D610" t="s">
        <v>418</v>
      </c>
      <c r="E610" t="s">
        <v>419</v>
      </c>
      <c r="F610" t="s">
        <v>454</v>
      </c>
      <c r="G610" t="s">
        <v>428</v>
      </c>
      <c r="H610">
        <v>52</v>
      </c>
      <c r="I610">
        <v>550</v>
      </c>
      <c r="J610">
        <v>869</v>
      </c>
      <c r="K610">
        <v>28600</v>
      </c>
      <c r="L610">
        <v>45188</v>
      </c>
      <c r="M610">
        <v>16588</v>
      </c>
      <c r="N610" t="s">
        <v>410</v>
      </c>
    </row>
    <row r="611" spans="1:14" x14ac:dyDescent="0.3">
      <c r="A611" s="16">
        <v>45561</v>
      </c>
      <c r="B611" t="s">
        <v>431</v>
      </c>
      <c r="C611" t="s">
        <v>511</v>
      </c>
      <c r="D611" t="s">
        <v>418</v>
      </c>
      <c r="E611" t="s">
        <v>419</v>
      </c>
      <c r="F611" t="s">
        <v>445</v>
      </c>
      <c r="G611" t="s">
        <v>428</v>
      </c>
      <c r="H611">
        <v>58</v>
      </c>
      <c r="I611">
        <v>758</v>
      </c>
      <c r="J611">
        <v>1241</v>
      </c>
      <c r="K611">
        <v>43964</v>
      </c>
      <c r="L611">
        <v>71978</v>
      </c>
      <c r="M611">
        <v>28014</v>
      </c>
      <c r="N611" t="s">
        <v>410</v>
      </c>
    </row>
    <row r="612" spans="1:14" x14ac:dyDescent="0.3">
      <c r="A612" s="16">
        <v>45618</v>
      </c>
      <c r="B612" t="s">
        <v>411</v>
      </c>
      <c r="C612" t="s">
        <v>724</v>
      </c>
      <c r="D612" t="s">
        <v>413</v>
      </c>
      <c r="E612" t="s">
        <v>414</v>
      </c>
      <c r="F612" t="s">
        <v>532</v>
      </c>
      <c r="G612" t="s">
        <v>428</v>
      </c>
      <c r="H612">
        <v>23</v>
      </c>
      <c r="I612">
        <v>706</v>
      </c>
      <c r="J612">
        <v>988</v>
      </c>
      <c r="K612">
        <v>16238</v>
      </c>
      <c r="L612">
        <v>22724</v>
      </c>
      <c r="M612">
        <v>6486</v>
      </c>
      <c r="N612" t="s">
        <v>410</v>
      </c>
    </row>
    <row r="613" spans="1:14" x14ac:dyDescent="0.3">
      <c r="A613" s="16">
        <v>45455</v>
      </c>
      <c r="B613" t="s">
        <v>404</v>
      </c>
      <c r="C613" t="s">
        <v>634</v>
      </c>
      <c r="D613" t="s">
        <v>406</v>
      </c>
      <c r="E613" t="s">
        <v>470</v>
      </c>
      <c r="F613" t="s">
        <v>439</v>
      </c>
      <c r="G613" t="s">
        <v>409</v>
      </c>
      <c r="H613">
        <v>18</v>
      </c>
      <c r="I613">
        <v>920</v>
      </c>
      <c r="J613">
        <v>1360</v>
      </c>
      <c r="K613">
        <v>16560</v>
      </c>
      <c r="L613">
        <v>24480</v>
      </c>
      <c r="M613">
        <v>7920</v>
      </c>
      <c r="N613" t="s">
        <v>410</v>
      </c>
    </row>
    <row r="614" spans="1:14" x14ac:dyDescent="0.3">
      <c r="A614" s="16">
        <v>45661</v>
      </c>
      <c r="B614" t="s">
        <v>462</v>
      </c>
      <c r="C614" t="s">
        <v>739</v>
      </c>
      <c r="D614" t="s">
        <v>406</v>
      </c>
      <c r="E614" t="s">
        <v>470</v>
      </c>
      <c r="F614" t="s">
        <v>542</v>
      </c>
      <c r="G614" t="s">
        <v>409</v>
      </c>
      <c r="H614">
        <v>14</v>
      </c>
      <c r="I614">
        <v>734</v>
      </c>
      <c r="J614">
        <v>1058</v>
      </c>
      <c r="K614">
        <v>10276</v>
      </c>
      <c r="L614">
        <v>14812</v>
      </c>
      <c r="M614">
        <v>4536</v>
      </c>
      <c r="N614" t="s">
        <v>410</v>
      </c>
    </row>
    <row r="615" spans="1:14" x14ac:dyDescent="0.3">
      <c r="A615" s="16">
        <v>45500</v>
      </c>
      <c r="B615" t="s">
        <v>482</v>
      </c>
      <c r="C615" t="s">
        <v>761</v>
      </c>
      <c r="D615" t="s">
        <v>418</v>
      </c>
      <c r="E615" t="s">
        <v>453</v>
      </c>
      <c r="F615" t="s">
        <v>465</v>
      </c>
      <c r="G615" t="s">
        <v>409</v>
      </c>
      <c r="H615">
        <v>98</v>
      </c>
      <c r="I615">
        <v>605</v>
      </c>
      <c r="J615">
        <v>1155</v>
      </c>
      <c r="K615">
        <v>59290</v>
      </c>
      <c r="L615">
        <v>113190</v>
      </c>
      <c r="M615">
        <v>53900</v>
      </c>
      <c r="N615" t="s">
        <v>410</v>
      </c>
    </row>
    <row r="616" spans="1:14" x14ac:dyDescent="0.3">
      <c r="A616" s="16">
        <v>45540</v>
      </c>
      <c r="B616" t="s">
        <v>431</v>
      </c>
      <c r="C616" t="s">
        <v>748</v>
      </c>
      <c r="D616" t="s">
        <v>418</v>
      </c>
      <c r="E616" t="s">
        <v>419</v>
      </c>
      <c r="F616" t="s">
        <v>465</v>
      </c>
      <c r="G616" t="s">
        <v>409</v>
      </c>
      <c r="H616">
        <v>68</v>
      </c>
      <c r="I616">
        <v>777</v>
      </c>
      <c r="J616">
        <v>1433</v>
      </c>
      <c r="K616">
        <v>52836</v>
      </c>
      <c r="L616">
        <v>97444</v>
      </c>
      <c r="M616">
        <v>44608</v>
      </c>
      <c r="N616" t="s">
        <v>410</v>
      </c>
    </row>
    <row r="617" spans="1:14" x14ac:dyDescent="0.3">
      <c r="A617" s="16">
        <v>45635</v>
      </c>
      <c r="B617" t="s">
        <v>416</v>
      </c>
      <c r="C617" t="s">
        <v>617</v>
      </c>
      <c r="D617" t="s">
        <v>413</v>
      </c>
      <c r="E617" t="s">
        <v>444</v>
      </c>
      <c r="F617" t="s">
        <v>442</v>
      </c>
      <c r="G617" t="s">
        <v>428</v>
      </c>
      <c r="H617">
        <v>20</v>
      </c>
      <c r="I617">
        <v>565</v>
      </c>
      <c r="J617">
        <v>943</v>
      </c>
      <c r="K617">
        <v>11300</v>
      </c>
      <c r="L617">
        <v>18860</v>
      </c>
      <c r="M617">
        <v>7560</v>
      </c>
      <c r="N617" t="s">
        <v>410</v>
      </c>
    </row>
    <row r="618" spans="1:14" x14ac:dyDescent="0.3">
      <c r="A618" s="16">
        <v>45498</v>
      </c>
      <c r="B618" t="s">
        <v>482</v>
      </c>
      <c r="C618" t="s">
        <v>762</v>
      </c>
      <c r="D618" t="s">
        <v>418</v>
      </c>
      <c r="E618" t="s">
        <v>453</v>
      </c>
      <c r="F618" t="s">
        <v>424</v>
      </c>
      <c r="G618" t="s">
        <v>409</v>
      </c>
      <c r="H618">
        <v>56</v>
      </c>
      <c r="I618">
        <v>740</v>
      </c>
      <c r="J618">
        <v>1464</v>
      </c>
      <c r="K618">
        <v>41440</v>
      </c>
      <c r="L618">
        <v>81984</v>
      </c>
      <c r="M618">
        <v>40544</v>
      </c>
      <c r="N618" t="s">
        <v>410</v>
      </c>
    </row>
    <row r="619" spans="1:14" x14ac:dyDescent="0.3">
      <c r="A619" s="16">
        <v>45395</v>
      </c>
      <c r="B619" t="s">
        <v>449</v>
      </c>
      <c r="C619" t="s">
        <v>556</v>
      </c>
      <c r="D619" t="s">
        <v>413</v>
      </c>
      <c r="E619" t="s">
        <v>430</v>
      </c>
      <c r="F619" t="s">
        <v>451</v>
      </c>
      <c r="G619" t="s">
        <v>409</v>
      </c>
      <c r="H619">
        <v>22</v>
      </c>
      <c r="I619">
        <v>755</v>
      </c>
      <c r="J619">
        <v>996</v>
      </c>
      <c r="K619">
        <v>16610</v>
      </c>
      <c r="L619">
        <v>21912</v>
      </c>
      <c r="M619">
        <v>5302</v>
      </c>
      <c r="N619" t="s">
        <v>410</v>
      </c>
    </row>
    <row r="620" spans="1:14" x14ac:dyDescent="0.3">
      <c r="A620" s="16">
        <v>45456</v>
      </c>
      <c r="B620" t="s">
        <v>404</v>
      </c>
      <c r="C620" t="s">
        <v>503</v>
      </c>
      <c r="D620" t="s">
        <v>406</v>
      </c>
      <c r="E620" t="s">
        <v>470</v>
      </c>
      <c r="F620" t="s">
        <v>504</v>
      </c>
      <c r="G620" t="s">
        <v>409</v>
      </c>
      <c r="H620">
        <v>19</v>
      </c>
      <c r="I620">
        <v>982</v>
      </c>
      <c r="J620">
        <v>1457</v>
      </c>
      <c r="K620">
        <v>18658</v>
      </c>
      <c r="L620">
        <v>27683</v>
      </c>
      <c r="M620">
        <v>9025</v>
      </c>
      <c r="N620" t="s">
        <v>410</v>
      </c>
    </row>
    <row r="621" spans="1:14" x14ac:dyDescent="0.3">
      <c r="A621" s="16">
        <v>45472</v>
      </c>
      <c r="B621" t="s">
        <v>404</v>
      </c>
      <c r="C621" t="s">
        <v>405</v>
      </c>
      <c r="D621" t="s">
        <v>406</v>
      </c>
      <c r="E621" t="s">
        <v>407</v>
      </c>
      <c r="F621" t="s">
        <v>408</v>
      </c>
      <c r="G621" t="s">
        <v>409</v>
      </c>
      <c r="H621">
        <v>19</v>
      </c>
      <c r="I621">
        <v>952</v>
      </c>
      <c r="J621">
        <v>1486</v>
      </c>
      <c r="K621">
        <v>18088</v>
      </c>
      <c r="L621">
        <v>28234</v>
      </c>
      <c r="M621">
        <v>10146</v>
      </c>
      <c r="N621" t="s">
        <v>410</v>
      </c>
    </row>
    <row r="622" spans="1:14" x14ac:dyDescent="0.3">
      <c r="A622" s="16">
        <v>45643</v>
      </c>
      <c r="B622" t="s">
        <v>416</v>
      </c>
      <c r="C622" t="s">
        <v>581</v>
      </c>
      <c r="D622" t="s">
        <v>418</v>
      </c>
      <c r="E622" t="s">
        <v>453</v>
      </c>
      <c r="F622" t="s">
        <v>426</v>
      </c>
      <c r="G622" t="s">
        <v>409</v>
      </c>
      <c r="H622">
        <v>92</v>
      </c>
      <c r="I622">
        <v>789</v>
      </c>
      <c r="J622">
        <v>1229</v>
      </c>
      <c r="K622">
        <v>72588</v>
      </c>
      <c r="L622">
        <v>113068</v>
      </c>
      <c r="M622">
        <v>40480</v>
      </c>
      <c r="N622" t="s">
        <v>410</v>
      </c>
    </row>
    <row r="623" spans="1:14" x14ac:dyDescent="0.3">
      <c r="A623" s="16">
        <v>45552</v>
      </c>
      <c r="B623" t="s">
        <v>431</v>
      </c>
      <c r="C623" t="s">
        <v>497</v>
      </c>
      <c r="D623" t="s">
        <v>406</v>
      </c>
      <c r="E623" t="s">
        <v>407</v>
      </c>
      <c r="F623" t="s">
        <v>408</v>
      </c>
      <c r="G623" t="s">
        <v>409</v>
      </c>
      <c r="H623">
        <v>18</v>
      </c>
      <c r="I623">
        <v>717</v>
      </c>
      <c r="J623">
        <v>833</v>
      </c>
      <c r="K623">
        <v>12906</v>
      </c>
      <c r="L623">
        <v>14994</v>
      </c>
      <c r="M623">
        <v>2088</v>
      </c>
      <c r="N623" t="s">
        <v>410</v>
      </c>
    </row>
    <row r="624" spans="1:14" x14ac:dyDescent="0.3">
      <c r="A624" s="16">
        <v>45668</v>
      </c>
      <c r="B624" t="s">
        <v>462</v>
      </c>
      <c r="C624" t="s">
        <v>763</v>
      </c>
      <c r="D624" t="s">
        <v>418</v>
      </c>
      <c r="E624" t="s">
        <v>453</v>
      </c>
      <c r="F624" t="s">
        <v>433</v>
      </c>
      <c r="G624" t="s">
        <v>428</v>
      </c>
      <c r="H624">
        <v>92</v>
      </c>
      <c r="I624">
        <v>978</v>
      </c>
      <c r="J624">
        <v>1062</v>
      </c>
      <c r="K624">
        <v>89976</v>
      </c>
      <c r="L624">
        <v>97704</v>
      </c>
      <c r="M624">
        <v>7728</v>
      </c>
      <c r="N624" t="s">
        <v>410</v>
      </c>
    </row>
    <row r="625" spans="1:14" x14ac:dyDescent="0.3">
      <c r="A625" s="16">
        <v>45657</v>
      </c>
      <c r="B625" t="s">
        <v>416</v>
      </c>
      <c r="C625" t="s">
        <v>722</v>
      </c>
      <c r="D625" t="s">
        <v>418</v>
      </c>
      <c r="E625" t="s">
        <v>419</v>
      </c>
      <c r="F625" t="s">
        <v>532</v>
      </c>
      <c r="G625" t="s">
        <v>428</v>
      </c>
      <c r="H625">
        <v>67</v>
      </c>
      <c r="I625">
        <v>600</v>
      </c>
      <c r="J625">
        <v>1328</v>
      </c>
      <c r="K625">
        <v>40200</v>
      </c>
      <c r="L625">
        <v>88976</v>
      </c>
      <c r="M625">
        <v>48776</v>
      </c>
      <c r="N625" t="s">
        <v>410</v>
      </c>
    </row>
    <row r="626" spans="1:14" x14ac:dyDescent="0.3">
      <c r="A626" s="16">
        <v>45451</v>
      </c>
      <c r="B626" t="s">
        <v>404</v>
      </c>
      <c r="C626" t="s">
        <v>652</v>
      </c>
      <c r="D626" t="s">
        <v>418</v>
      </c>
      <c r="E626" t="s">
        <v>419</v>
      </c>
      <c r="F626" t="s">
        <v>451</v>
      </c>
      <c r="G626" t="s">
        <v>409</v>
      </c>
      <c r="H626">
        <v>55</v>
      </c>
      <c r="I626">
        <v>685</v>
      </c>
      <c r="J626">
        <v>824</v>
      </c>
      <c r="K626">
        <v>37675</v>
      </c>
      <c r="L626">
        <v>45320</v>
      </c>
      <c r="M626">
        <v>7645</v>
      </c>
      <c r="N626" t="s">
        <v>410</v>
      </c>
    </row>
    <row r="627" spans="1:14" x14ac:dyDescent="0.3">
      <c r="A627" s="16">
        <v>45632</v>
      </c>
      <c r="B627" t="s">
        <v>416</v>
      </c>
      <c r="C627" t="s">
        <v>721</v>
      </c>
      <c r="D627" t="s">
        <v>413</v>
      </c>
      <c r="E627" t="s">
        <v>444</v>
      </c>
      <c r="F627" t="s">
        <v>420</v>
      </c>
      <c r="G627" t="s">
        <v>428</v>
      </c>
      <c r="H627">
        <v>30</v>
      </c>
      <c r="I627">
        <v>557</v>
      </c>
      <c r="J627">
        <v>886</v>
      </c>
      <c r="K627">
        <v>16710</v>
      </c>
      <c r="L627">
        <v>26580</v>
      </c>
      <c r="M627">
        <v>9870</v>
      </c>
      <c r="N627" t="s">
        <v>410</v>
      </c>
    </row>
    <row r="628" spans="1:14" x14ac:dyDescent="0.3">
      <c r="A628" s="16">
        <v>45515</v>
      </c>
      <c r="B628" t="s">
        <v>434</v>
      </c>
      <c r="C628" t="s">
        <v>496</v>
      </c>
      <c r="D628" t="s">
        <v>406</v>
      </c>
      <c r="E628" t="s">
        <v>407</v>
      </c>
      <c r="F628" t="s">
        <v>451</v>
      </c>
      <c r="G628" t="s">
        <v>428</v>
      </c>
      <c r="H628">
        <v>12</v>
      </c>
      <c r="I628">
        <v>654</v>
      </c>
      <c r="J628">
        <v>788</v>
      </c>
      <c r="K628">
        <v>7848</v>
      </c>
      <c r="L628">
        <v>9456</v>
      </c>
      <c r="M628">
        <v>1608</v>
      </c>
      <c r="N628" t="s">
        <v>410</v>
      </c>
    </row>
    <row r="629" spans="1:14" x14ac:dyDescent="0.3">
      <c r="A629" s="16">
        <v>45606</v>
      </c>
      <c r="B629" t="s">
        <v>411</v>
      </c>
      <c r="C629" t="s">
        <v>579</v>
      </c>
      <c r="D629" t="s">
        <v>418</v>
      </c>
      <c r="E629" t="s">
        <v>448</v>
      </c>
      <c r="F629" t="s">
        <v>451</v>
      </c>
      <c r="G629" t="s">
        <v>409</v>
      </c>
      <c r="H629">
        <v>90</v>
      </c>
      <c r="I629">
        <v>962</v>
      </c>
      <c r="J629">
        <v>1495</v>
      </c>
      <c r="K629">
        <v>86580</v>
      </c>
      <c r="L629">
        <v>134550</v>
      </c>
      <c r="M629">
        <v>47970</v>
      </c>
      <c r="N629" t="s">
        <v>410</v>
      </c>
    </row>
    <row r="630" spans="1:14" x14ac:dyDescent="0.3">
      <c r="A630" s="16">
        <v>45444</v>
      </c>
      <c r="B630" t="s">
        <v>404</v>
      </c>
      <c r="C630" t="s">
        <v>756</v>
      </c>
      <c r="D630" t="s">
        <v>418</v>
      </c>
      <c r="E630" t="s">
        <v>419</v>
      </c>
      <c r="F630" t="s">
        <v>433</v>
      </c>
      <c r="G630" t="s">
        <v>409</v>
      </c>
      <c r="H630">
        <v>82</v>
      </c>
      <c r="I630">
        <v>641</v>
      </c>
      <c r="J630">
        <v>809</v>
      </c>
      <c r="K630">
        <v>52562</v>
      </c>
      <c r="L630">
        <v>66338</v>
      </c>
      <c r="M630">
        <v>13776</v>
      </c>
      <c r="N630" t="s">
        <v>410</v>
      </c>
    </row>
    <row r="631" spans="1:14" x14ac:dyDescent="0.3">
      <c r="A631" s="16">
        <v>45696</v>
      </c>
      <c r="B631" t="s">
        <v>459</v>
      </c>
      <c r="C631" t="s">
        <v>718</v>
      </c>
      <c r="D631" t="s">
        <v>413</v>
      </c>
      <c r="E631" t="s">
        <v>444</v>
      </c>
      <c r="F631" t="s">
        <v>424</v>
      </c>
      <c r="G631" t="s">
        <v>428</v>
      </c>
      <c r="H631">
        <v>23</v>
      </c>
      <c r="I631">
        <v>701</v>
      </c>
      <c r="J631">
        <v>1322</v>
      </c>
      <c r="K631">
        <v>16123</v>
      </c>
      <c r="L631">
        <v>30406</v>
      </c>
      <c r="M631">
        <v>14283</v>
      </c>
      <c r="N631" t="s">
        <v>410</v>
      </c>
    </row>
    <row r="632" spans="1:14" x14ac:dyDescent="0.3">
      <c r="A632" s="16">
        <v>45658</v>
      </c>
      <c r="B632" t="s">
        <v>462</v>
      </c>
      <c r="C632" t="s">
        <v>518</v>
      </c>
      <c r="D632" t="s">
        <v>418</v>
      </c>
      <c r="E632" t="s">
        <v>419</v>
      </c>
      <c r="F632" t="s">
        <v>465</v>
      </c>
      <c r="G632" t="s">
        <v>409</v>
      </c>
      <c r="H632">
        <v>72</v>
      </c>
      <c r="I632">
        <v>749</v>
      </c>
      <c r="J632">
        <v>1262</v>
      </c>
      <c r="K632">
        <v>53928</v>
      </c>
      <c r="L632">
        <v>90864</v>
      </c>
      <c r="M632">
        <v>36936</v>
      </c>
      <c r="N632" t="s">
        <v>410</v>
      </c>
    </row>
    <row r="633" spans="1:14" x14ac:dyDescent="0.3">
      <c r="A633" s="16">
        <v>45573</v>
      </c>
      <c r="B633" t="s">
        <v>422</v>
      </c>
      <c r="C633" t="s">
        <v>764</v>
      </c>
      <c r="D633" t="s">
        <v>418</v>
      </c>
      <c r="E633" t="s">
        <v>453</v>
      </c>
      <c r="F633" t="s">
        <v>442</v>
      </c>
      <c r="G633" t="s">
        <v>409</v>
      </c>
      <c r="H633">
        <v>56</v>
      </c>
      <c r="I633">
        <v>840</v>
      </c>
      <c r="J633">
        <v>1353</v>
      </c>
      <c r="K633">
        <v>47040</v>
      </c>
      <c r="L633">
        <v>75768</v>
      </c>
      <c r="M633">
        <v>28728</v>
      </c>
      <c r="N633" t="s">
        <v>410</v>
      </c>
    </row>
    <row r="634" spans="1:14" x14ac:dyDescent="0.3">
      <c r="A634" s="16">
        <v>45560</v>
      </c>
      <c r="B634" t="s">
        <v>431</v>
      </c>
      <c r="C634" t="s">
        <v>644</v>
      </c>
      <c r="D634" t="s">
        <v>418</v>
      </c>
      <c r="E634" t="s">
        <v>419</v>
      </c>
      <c r="F634" t="s">
        <v>415</v>
      </c>
      <c r="G634" t="s">
        <v>428</v>
      </c>
      <c r="H634">
        <v>65</v>
      </c>
      <c r="I634">
        <v>568</v>
      </c>
      <c r="J634">
        <v>1482</v>
      </c>
      <c r="K634">
        <v>36920</v>
      </c>
      <c r="L634">
        <v>96330</v>
      </c>
      <c r="M634">
        <v>59410</v>
      </c>
      <c r="N634" t="s">
        <v>410</v>
      </c>
    </row>
    <row r="635" spans="1:14" x14ac:dyDescent="0.3">
      <c r="A635" s="16">
        <v>45575</v>
      </c>
      <c r="B635" t="s">
        <v>422</v>
      </c>
      <c r="C635" t="s">
        <v>564</v>
      </c>
      <c r="D635" t="s">
        <v>418</v>
      </c>
      <c r="E635" t="s">
        <v>419</v>
      </c>
      <c r="F635" t="s">
        <v>439</v>
      </c>
      <c r="G635" t="s">
        <v>409</v>
      </c>
      <c r="H635">
        <v>56</v>
      </c>
      <c r="I635">
        <v>611</v>
      </c>
      <c r="J635">
        <v>1240</v>
      </c>
      <c r="K635">
        <v>34216</v>
      </c>
      <c r="L635">
        <v>69440</v>
      </c>
      <c r="M635">
        <v>35224</v>
      </c>
      <c r="N635" t="s">
        <v>410</v>
      </c>
    </row>
    <row r="636" spans="1:14" x14ac:dyDescent="0.3">
      <c r="A636" s="16">
        <v>45393</v>
      </c>
      <c r="B636" t="s">
        <v>449</v>
      </c>
      <c r="C636" t="s">
        <v>467</v>
      </c>
      <c r="D636" t="s">
        <v>413</v>
      </c>
      <c r="E636" t="s">
        <v>430</v>
      </c>
      <c r="F636" t="s">
        <v>433</v>
      </c>
      <c r="G636" t="s">
        <v>409</v>
      </c>
      <c r="H636">
        <v>22</v>
      </c>
      <c r="I636">
        <v>832</v>
      </c>
      <c r="J636">
        <v>769</v>
      </c>
      <c r="K636">
        <v>18304</v>
      </c>
      <c r="L636">
        <v>16918</v>
      </c>
      <c r="M636">
        <v>-1386</v>
      </c>
      <c r="N636" t="s">
        <v>421</v>
      </c>
    </row>
    <row r="637" spans="1:14" x14ac:dyDescent="0.3">
      <c r="A637" s="16">
        <v>45554</v>
      </c>
      <c r="B637" t="s">
        <v>431</v>
      </c>
      <c r="C637" t="s">
        <v>765</v>
      </c>
      <c r="D637" t="s">
        <v>406</v>
      </c>
      <c r="E637" t="s">
        <v>407</v>
      </c>
      <c r="F637" t="s">
        <v>433</v>
      </c>
      <c r="G637" t="s">
        <v>428</v>
      </c>
      <c r="H637">
        <v>16</v>
      </c>
      <c r="I637">
        <v>689</v>
      </c>
      <c r="J637">
        <v>1068</v>
      </c>
      <c r="K637">
        <v>11024</v>
      </c>
      <c r="L637">
        <v>17088</v>
      </c>
      <c r="M637">
        <v>6064</v>
      </c>
      <c r="N637" t="s">
        <v>410</v>
      </c>
    </row>
    <row r="638" spans="1:14" x14ac:dyDescent="0.3">
      <c r="A638" s="16">
        <v>45548</v>
      </c>
      <c r="B638" t="s">
        <v>431</v>
      </c>
      <c r="C638" t="s">
        <v>704</v>
      </c>
      <c r="D638" t="s">
        <v>406</v>
      </c>
      <c r="E638" t="s">
        <v>407</v>
      </c>
      <c r="F638" t="s">
        <v>436</v>
      </c>
      <c r="G638" t="s">
        <v>409</v>
      </c>
      <c r="H638">
        <v>14</v>
      </c>
      <c r="I638">
        <v>933</v>
      </c>
      <c r="J638">
        <v>1064</v>
      </c>
      <c r="K638">
        <v>13062</v>
      </c>
      <c r="L638">
        <v>14896</v>
      </c>
      <c r="M638">
        <v>1834</v>
      </c>
      <c r="N638" t="s">
        <v>410</v>
      </c>
    </row>
    <row r="639" spans="1:14" x14ac:dyDescent="0.3">
      <c r="A639" s="16">
        <v>45529</v>
      </c>
      <c r="B639" t="s">
        <v>434</v>
      </c>
      <c r="C639" t="s">
        <v>747</v>
      </c>
      <c r="D639" t="s">
        <v>418</v>
      </c>
      <c r="E639" t="s">
        <v>453</v>
      </c>
      <c r="F639" t="s">
        <v>465</v>
      </c>
      <c r="G639" t="s">
        <v>409</v>
      </c>
      <c r="H639">
        <v>69</v>
      </c>
      <c r="I639">
        <v>993</v>
      </c>
      <c r="J639">
        <v>862</v>
      </c>
      <c r="K639">
        <v>68517</v>
      </c>
      <c r="L639">
        <v>59478</v>
      </c>
      <c r="M639">
        <v>-9039</v>
      </c>
      <c r="N639" t="s">
        <v>421</v>
      </c>
    </row>
    <row r="640" spans="1:14" x14ac:dyDescent="0.3">
      <c r="A640" s="16">
        <v>45622</v>
      </c>
      <c r="B640" t="s">
        <v>411</v>
      </c>
      <c r="C640" t="s">
        <v>412</v>
      </c>
      <c r="D640" t="s">
        <v>413</v>
      </c>
      <c r="E640" t="s">
        <v>414</v>
      </c>
      <c r="F640" t="s">
        <v>415</v>
      </c>
      <c r="G640" t="s">
        <v>409</v>
      </c>
      <c r="H640">
        <v>21</v>
      </c>
      <c r="I640">
        <v>978</v>
      </c>
      <c r="J640">
        <v>1139</v>
      </c>
      <c r="K640">
        <v>20538</v>
      </c>
      <c r="L640">
        <v>23919</v>
      </c>
      <c r="M640">
        <v>3381</v>
      </c>
      <c r="N640" t="s">
        <v>410</v>
      </c>
    </row>
    <row r="641" spans="1:14" x14ac:dyDescent="0.3">
      <c r="A641" s="16">
        <v>45394</v>
      </c>
      <c r="B641" t="s">
        <v>449</v>
      </c>
      <c r="C641" t="s">
        <v>705</v>
      </c>
      <c r="D641" t="s">
        <v>413</v>
      </c>
      <c r="E641" t="s">
        <v>430</v>
      </c>
      <c r="F641" t="s">
        <v>433</v>
      </c>
      <c r="G641" t="s">
        <v>409</v>
      </c>
      <c r="H641">
        <v>20</v>
      </c>
      <c r="I641">
        <v>557</v>
      </c>
      <c r="J641">
        <v>1002</v>
      </c>
      <c r="K641">
        <v>11140</v>
      </c>
      <c r="L641">
        <v>20040</v>
      </c>
      <c r="M641">
        <v>8900</v>
      </c>
      <c r="N641" t="s">
        <v>410</v>
      </c>
    </row>
    <row r="642" spans="1:14" x14ac:dyDescent="0.3">
      <c r="A642" s="16">
        <v>45500</v>
      </c>
      <c r="B642" t="s">
        <v>482</v>
      </c>
      <c r="C642" t="s">
        <v>761</v>
      </c>
      <c r="D642" t="s">
        <v>418</v>
      </c>
      <c r="E642" t="s">
        <v>453</v>
      </c>
      <c r="F642" t="s">
        <v>465</v>
      </c>
      <c r="G642" t="s">
        <v>409</v>
      </c>
      <c r="H642">
        <v>73</v>
      </c>
      <c r="I642">
        <v>857</v>
      </c>
      <c r="J642">
        <v>1024</v>
      </c>
      <c r="K642">
        <v>62561</v>
      </c>
      <c r="L642">
        <v>74752</v>
      </c>
      <c r="M642">
        <v>12191</v>
      </c>
      <c r="N642" t="s">
        <v>410</v>
      </c>
    </row>
    <row r="643" spans="1:14" x14ac:dyDescent="0.3">
      <c r="A643" s="16">
        <v>45703</v>
      </c>
      <c r="B643" t="s">
        <v>459</v>
      </c>
      <c r="C643" t="s">
        <v>535</v>
      </c>
      <c r="D643" t="s">
        <v>418</v>
      </c>
      <c r="E643" t="s">
        <v>453</v>
      </c>
      <c r="F643" t="s">
        <v>426</v>
      </c>
      <c r="G643" t="s">
        <v>409</v>
      </c>
      <c r="H643">
        <v>78</v>
      </c>
      <c r="I643">
        <v>964</v>
      </c>
      <c r="J643">
        <v>1264</v>
      </c>
      <c r="K643">
        <v>75192</v>
      </c>
      <c r="L643">
        <v>98592</v>
      </c>
      <c r="M643">
        <v>23400</v>
      </c>
      <c r="N643" t="s">
        <v>410</v>
      </c>
    </row>
    <row r="644" spans="1:14" x14ac:dyDescent="0.3">
      <c r="A644" s="16">
        <v>45662</v>
      </c>
      <c r="B644" t="s">
        <v>462</v>
      </c>
      <c r="C644" t="s">
        <v>719</v>
      </c>
      <c r="D644" t="s">
        <v>406</v>
      </c>
      <c r="E644" t="s">
        <v>470</v>
      </c>
      <c r="F644" t="s">
        <v>451</v>
      </c>
      <c r="G644" t="s">
        <v>409</v>
      </c>
      <c r="H644">
        <v>15</v>
      </c>
      <c r="I644">
        <v>992</v>
      </c>
      <c r="J644">
        <v>1404</v>
      </c>
      <c r="K644">
        <v>14880</v>
      </c>
      <c r="L644">
        <v>21060</v>
      </c>
      <c r="M644">
        <v>6180</v>
      </c>
      <c r="N644" t="s">
        <v>410</v>
      </c>
    </row>
    <row r="645" spans="1:14" x14ac:dyDescent="0.3">
      <c r="A645" s="16">
        <v>45631</v>
      </c>
      <c r="B645" t="s">
        <v>416</v>
      </c>
      <c r="C645" t="s">
        <v>466</v>
      </c>
      <c r="D645" t="s">
        <v>413</v>
      </c>
      <c r="E645" t="s">
        <v>444</v>
      </c>
      <c r="F645" t="s">
        <v>465</v>
      </c>
      <c r="G645" t="s">
        <v>428</v>
      </c>
      <c r="H645">
        <v>21</v>
      </c>
      <c r="I645">
        <v>540</v>
      </c>
      <c r="J645">
        <v>812</v>
      </c>
      <c r="K645">
        <v>11340</v>
      </c>
      <c r="L645">
        <v>17052</v>
      </c>
      <c r="M645">
        <v>5712</v>
      </c>
      <c r="N645" t="s">
        <v>410</v>
      </c>
    </row>
    <row r="646" spans="1:14" x14ac:dyDescent="0.3">
      <c r="A646" s="16">
        <v>45531</v>
      </c>
      <c r="B646" t="s">
        <v>434</v>
      </c>
      <c r="C646" t="s">
        <v>766</v>
      </c>
      <c r="D646" t="s">
        <v>418</v>
      </c>
      <c r="E646" t="s">
        <v>453</v>
      </c>
      <c r="F646" t="s">
        <v>451</v>
      </c>
      <c r="G646" t="s">
        <v>409</v>
      </c>
      <c r="H646">
        <v>91</v>
      </c>
      <c r="I646">
        <v>808</v>
      </c>
      <c r="J646">
        <v>928</v>
      </c>
      <c r="K646">
        <v>73528</v>
      </c>
      <c r="L646">
        <v>84448</v>
      </c>
      <c r="M646">
        <v>10920</v>
      </c>
      <c r="N646" t="s">
        <v>410</v>
      </c>
    </row>
    <row r="647" spans="1:14" x14ac:dyDescent="0.3">
      <c r="A647" s="16">
        <v>45633</v>
      </c>
      <c r="B647" t="s">
        <v>416</v>
      </c>
      <c r="C647" t="s">
        <v>679</v>
      </c>
      <c r="D647" t="s">
        <v>413</v>
      </c>
      <c r="E647" t="s">
        <v>444</v>
      </c>
      <c r="F647" t="s">
        <v>451</v>
      </c>
      <c r="G647" t="s">
        <v>409</v>
      </c>
      <c r="H647">
        <v>29</v>
      </c>
      <c r="I647">
        <v>932</v>
      </c>
      <c r="J647">
        <v>1316</v>
      </c>
      <c r="K647">
        <v>27028</v>
      </c>
      <c r="L647">
        <v>38164</v>
      </c>
      <c r="M647">
        <v>11136</v>
      </c>
      <c r="N647" t="s">
        <v>410</v>
      </c>
    </row>
    <row r="648" spans="1:14" x14ac:dyDescent="0.3">
      <c r="A648" s="16">
        <v>45491</v>
      </c>
      <c r="B648" t="s">
        <v>482</v>
      </c>
      <c r="C648" t="s">
        <v>586</v>
      </c>
      <c r="D648" t="s">
        <v>413</v>
      </c>
      <c r="E648" t="s">
        <v>444</v>
      </c>
      <c r="F648" t="s">
        <v>451</v>
      </c>
      <c r="G648" t="s">
        <v>409</v>
      </c>
      <c r="H648">
        <v>25</v>
      </c>
      <c r="I648">
        <v>861</v>
      </c>
      <c r="J648">
        <v>843</v>
      </c>
      <c r="K648">
        <v>21525</v>
      </c>
      <c r="L648">
        <v>21075</v>
      </c>
      <c r="M648">
        <v>-450</v>
      </c>
      <c r="N648" t="s">
        <v>421</v>
      </c>
    </row>
    <row r="649" spans="1:14" x14ac:dyDescent="0.3">
      <c r="A649" s="16">
        <v>45485</v>
      </c>
      <c r="B649" t="s">
        <v>482</v>
      </c>
      <c r="C649" t="s">
        <v>677</v>
      </c>
      <c r="D649" t="s">
        <v>413</v>
      </c>
      <c r="E649" t="s">
        <v>444</v>
      </c>
      <c r="F649" t="s">
        <v>426</v>
      </c>
      <c r="G649" t="s">
        <v>428</v>
      </c>
      <c r="H649">
        <v>30</v>
      </c>
      <c r="I649">
        <v>859</v>
      </c>
      <c r="J649">
        <v>1123</v>
      </c>
      <c r="K649">
        <v>25770</v>
      </c>
      <c r="L649">
        <v>33690</v>
      </c>
      <c r="M649">
        <v>7920</v>
      </c>
      <c r="N649" t="s">
        <v>410</v>
      </c>
    </row>
    <row r="650" spans="1:14" x14ac:dyDescent="0.3">
      <c r="A650" s="16">
        <v>45489</v>
      </c>
      <c r="B650" t="s">
        <v>482</v>
      </c>
      <c r="C650" t="s">
        <v>487</v>
      </c>
      <c r="D650" t="s">
        <v>413</v>
      </c>
      <c r="E650" t="s">
        <v>444</v>
      </c>
      <c r="F650" t="s">
        <v>465</v>
      </c>
      <c r="G650" t="s">
        <v>409</v>
      </c>
      <c r="H650">
        <v>23</v>
      </c>
      <c r="I650">
        <v>641</v>
      </c>
      <c r="J650">
        <v>1445</v>
      </c>
      <c r="K650">
        <v>14743</v>
      </c>
      <c r="L650">
        <v>33235</v>
      </c>
      <c r="M650">
        <v>18492</v>
      </c>
      <c r="N650" t="s">
        <v>410</v>
      </c>
    </row>
    <row r="651" spans="1:14" x14ac:dyDescent="0.3">
      <c r="A651" s="16">
        <v>45669</v>
      </c>
      <c r="B651" t="s">
        <v>462</v>
      </c>
      <c r="C651" t="s">
        <v>502</v>
      </c>
      <c r="D651" t="s">
        <v>418</v>
      </c>
      <c r="E651" t="s">
        <v>453</v>
      </c>
      <c r="F651" t="s">
        <v>426</v>
      </c>
      <c r="G651" t="s">
        <v>409</v>
      </c>
      <c r="H651">
        <v>54</v>
      </c>
      <c r="I651">
        <v>664</v>
      </c>
      <c r="J651">
        <v>761</v>
      </c>
      <c r="K651">
        <v>35856</v>
      </c>
      <c r="L651">
        <v>41094</v>
      </c>
      <c r="M651">
        <v>5238</v>
      </c>
      <c r="N651" t="s">
        <v>410</v>
      </c>
    </row>
    <row r="652" spans="1:14" x14ac:dyDescent="0.3">
      <c r="A652" s="16">
        <v>45578</v>
      </c>
      <c r="B652" t="s">
        <v>422</v>
      </c>
      <c r="C652" t="s">
        <v>650</v>
      </c>
      <c r="D652" t="s">
        <v>418</v>
      </c>
      <c r="E652" t="s">
        <v>419</v>
      </c>
      <c r="F652" t="s">
        <v>424</v>
      </c>
      <c r="G652" t="s">
        <v>428</v>
      </c>
      <c r="H652">
        <v>86</v>
      </c>
      <c r="I652">
        <v>717</v>
      </c>
      <c r="J652">
        <v>1445</v>
      </c>
      <c r="K652">
        <v>61662</v>
      </c>
      <c r="L652">
        <v>124270</v>
      </c>
      <c r="M652">
        <v>62608</v>
      </c>
      <c r="N652" t="s">
        <v>410</v>
      </c>
    </row>
    <row r="653" spans="1:14" x14ac:dyDescent="0.3">
      <c r="A653" s="16">
        <v>45613</v>
      </c>
      <c r="B653" t="s">
        <v>411</v>
      </c>
      <c r="C653" t="s">
        <v>746</v>
      </c>
      <c r="D653" t="s">
        <v>413</v>
      </c>
      <c r="E653" t="s">
        <v>414</v>
      </c>
      <c r="F653" t="s">
        <v>454</v>
      </c>
      <c r="G653" t="s">
        <v>428</v>
      </c>
      <c r="H653">
        <v>29</v>
      </c>
      <c r="I653">
        <v>852</v>
      </c>
      <c r="J653">
        <v>1452</v>
      </c>
      <c r="K653">
        <v>24708</v>
      </c>
      <c r="L653">
        <v>42108</v>
      </c>
      <c r="M653">
        <v>17400</v>
      </c>
      <c r="N653" t="s">
        <v>410</v>
      </c>
    </row>
    <row r="654" spans="1:14" x14ac:dyDescent="0.3">
      <c r="A654" s="16">
        <v>45662</v>
      </c>
      <c r="B654" t="s">
        <v>462</v>
      </c>
      <c r="C654" t="s">
        <v>719</v>
      </c>
      <c r="D654" t="s">
        <v>406</v>
      </c>
      <c r="E654" t="s">
        <v>470</v>
      </c>
      <c r="F654" t="s">
        <v>451</v>
      </c>
      <c r="G654" t="s">
        <v>409</v>
      </c>
      <c r="H654">
        <v>13</v>
      </c>
      <c r="I654">
        <v>521</v>
      </c>
      <c r="J654">
        <v>1433</v>
      </c>
      <c r="K654">
        <v>6773</v>
      </c>
      <c r="L654">
        <v>18629</v>
      </c>
      <c r="M654">
        <v>11856</v>
      </c>
      <c r="N654" t="s">
        <v>410</v>
      </c>
    </row>
    <row r="655" spans="1:14" x14ac:dyDescent="0.3">
      <c r="A655" s="16">
        <v>45557</v>
      </c>
      <c r="B655" t="s">
        <v>431</v>
      </c>
      <c r="C655" t="s">
        <v>725</v>
      </c>
      <c r="D655" t="s">
        <v>418</v>
      </c>
      <c r="E655" t="s">
        <v>419</v>
      </c>
      <c r="F655" t="s">
        <v>451</v>
      </c>
      <c r="G655" t="s">
        <v>428</v>
      </c>
      <c r="H655">
        <v>80</v>
      </c>
      <c r="I655">
        <v>771</v>
      </c>
      <c r="J655">
        <v>1090</v>
      </c>
      <c r="K655">
        <v>61680</v>
      </c>
      <c r="L655">
        <v>87200</v>
      </c>
      <c r="M655">
        <v>25520</v>
      </c>
      <c r="N655" t="s">
        <v>410</v>
      </c>
    </row>
    <row r="656" spans="1:14" x14ac:dyDescent="0.3">
      <c r="A656" s="16">
        <v>45428</v>
      </c>
      <c r="B656" t="s">
        <v>437</v>
      </c>
      <c r="C656" t="s">
        <v>675</v>
      </c>
      <c r="D656" t="s">
        <v>413</v>
      </c>
      <c r="E656" t="s">
        <v>444</v>
      </c>
      <c r="F656" t="s">
        <v>436</v>
      </c>
      <c r="G656" t="s">
        <v>428</v>
      </c>
      <c r="H656">
        <v>30</v>
      </c>
      <c r="I656">
        <v>987</v>
      </c>
      <c r="J656">
        <v>1366</v>
      </c>
      <c r="K656">
        <v>29610</v>
      </c>
      <c r="L656">
        <v>40980</v>
      </c>
      <c r="M656">
        <v>11370</v>
      </c>
      <c r="N656" t="s">
        <v>410</v>
      </c>
    </row>
    <row r="657" spans="1:14" x14ac:dyDescent="0.3">
      <c r="A657" s="16">
        <v>45676</v>
      </c>
      <c r="B657" t="s">
        <v>462</v>
      </c>
      <c r="C657" t="s">
        <v>600</v>
      </c>
      <c r="D657" t="s">
        <v>418</v>
      </c>
      <c r="E657" t="s">
        <v>419</v>
      </c>
      <c r="F657" t="s">
        <v>566</v>
      </c>
      <c r="G657" t="s">
        <v>409</v>
      </c>
      <c r="H657">
        <v>84</v>
      </c>
      <c r="I657">
        <v>521</v>
      </c>
      <c r="J657">
        <v>1320</v>
      </c>
      <c r="K657">
        <v>43764</v>
      </c>
      <c r="L657">
        <v>110880</v>
      </c>
      <c r="M657">
        <v>67116</v>
      </c>
      <c r="N657" t="s">
        <v>410</v>
      </c>
    </row>
    <row r="658" spans="1:14" x14ac:dyDescent="0.3">
      <c r="A658" s="16">
        <v>45412</v>
      </c>
      <c r="B658" t="s">
        <v>449</v>
      </c>
      <c r="C658" t="s">
        <v>717</v>
      </c>
      <c r="D658" t="s">
        <v>413</v>
      </c>
      <c r="E658" t="s">
        <v>414</v>
      </c>
      <c r="F658" t="s">
        <v>566</v>
      </c>
      <c r="G658" t="s">
        <v>409</v>
      </c>
      <c r="H658">
        <v>28</v>
      </c>
      <c r="I658">
        <v>901</v>
      </c>
      <c r="J658">
        <v>1260</v>
      </c>
      <c r="K658">
        <v>25228</v>
      </c>
      <c r="L658">
        <v>35280</v>
      </c>
      <c r="M658">
        <v>10052</v>
      </c>
      <c r="N658" t="s">
        <v>410</v>
      </c>
    </row>
    <row r="659" spans="1:14" x14ac:dyDescent="0.3">
      <c r="A659" s="16">
        <v>45425</v>
      </c>
      <c r="B659" t="s">
        <v>437</v>
      </c>
      <c r="C659" t="s">
        <v>616</v>
      </c>
      <c r="D659" t="s">
        <v>413</v>
      </c>
      <c r="E659" t="s">
        <v>444</v>
      </c>
      <c r="F659" t="s">
        <v>424</v>
      </c>
      <c r="G659" t="s">
        <v>409</v>
      </c>
      <c r="H659">
        <v>26</v>
      </c>
      <c r="I659">
        <v>781</v>
      </c>
      <c r="J659">
        <v>1019</v>
      </c>
      <c r="K659">
        <v>20306</v>
      </c>
      <c r="L659">
        <v>26494</v>
      </c>
      <c r="M659">
        <v>6188</v>
      </c>
      <c r="N659" t="s">
        <v>410</v>
      </c>
    </row>
    <row r="660" spans="1:14" x14ac:dyDescent="0.3">
      <c r="A660" s="16">
        <v>45452</v>
      </c>
      <c r="B660" t="s">
        <v>404</v>
      </c>
      <c r="C660" t="s">
        <v>728</v>
      </c>
      <c r="D660" t="s">
        <v>418</v>
      </c>
      <c r="E660" t="s">
        <v>419</v>
      </c>
      <c r="F660" t="s">
        <v>566</v>
      </c>
      <c r="G660" t="s">
        <v>409</v>
      </c>
      <c r="H660">
        <v>55</v>
      </c>
      <c r="I660">
        <v>661</v>
      </c>
      <c r="J660">
        <v>1133</v>
      </c>
      <c r="K660">
        <v>36355</v>
      </c>
      <c r="L660">
        <v>62315</v>
      </c>
      <c r="M660">
        <v>25960</v>
      </c>
      <c r="N660" t="s">
        <v>410</v>
      </c>
    </row>
    <row r="661" spans="1:14" x14ac:dyDescent="0.3">
      <c r="A661" s="16">
        <v>45623</v>
      </c>
      <c r="B661" t="s">
        <v>411</v>
      </c>
      <c r="C661" t="s">
        <v>490</v>
      </c>
      <c r="D661" t="s">
        <v>413</v>
      </c>
      <c r="E661" t="s">
        <v>414</v>
      </c>
      <c r="F661" t="s">
        <v>445</v>
      </c>
      <c r="G661" t="s">
        <v>409</v>
      </c>
      <c r="H661">
        <v>24</v>
      </c>
      <c r="I661">
        <v>830</v>
      </c>
      <c r="J661">
        <v>1355</v>
      </c>
      <c r="K661">
        <v>19920</v>
      </c>
      <c r="L661">
        <v>32520</v>
      </c>
      <c r="M661">
        <v>12600</v>
      </c>
      <c r="N661" t="s">
        <v>410</v>
      </c>
    </row>
    <row r="662" spans="1:14" x14ac:dyDescent="0.3">
      <c r="A662" s="16">
        <v>45539</v>
      </c>
      <c r="B662" t="s">
        <v>431</v>
      </c>
      <c r="C662" t="s">
        <v>767</v>
      </c>
      <c r="D662" t="s">
        <v>418</v>
      </c>
      <c r="E662" t="s">
        <v>419</v>
      </c>
      <c r="F662" t="s">
        <v>532</v>
      </c>
      <c r="G662" t="s">
        <v>409</v>
      </c>
      <c r="H662">
        <v>95</v>
      </c>
      <c r="I662">
        <v>944</v>
      </c>
      <c r="J662">
        <v>1263</v>
      </c>
      <c r="K662">
        <v>89680</v>
      </c>
      <c r="L662">
        <v>119985</v>
      </c>
      <c r="M662">
        <v>30305</v>
      </c>
      <c r="N662" t="s">
        <v>410</v>
      </c>
    </row>
    <row r="663" spans="1:14" x14ac:dyDescent="0.3">
      <c r="A663" s="16">
        <v>45603</v>
      </c>
      <c r="B663" t="s">
        <v>411</v>
      </c>
      <c r="C663" t="s">
        <v>447</v>
      </c>
      <c r="D663" t="s">
        <v>418</v>
      </c>
      <c r="E663" t="s">
        <v>448</v>
      </c>
      <c r="F663" t="s">
        <v>424</v>
      </c>
      <c r="G663" t="s">
        <v>409</v>
      </c>
      <c r="H663">
        <v>67</v>
      </c>
      <c r="I663">
        <v>674</v>
      </c>
      <c r="J663">
        <v>1413</v>
      </c>
      <c r="K663">
        <v>45158</v>
      </c>
      <c r="L663">
        <v>94671</v>
      </c>
      <c r="M663">
        <v>49513</v>
      </c>
      <c r="N663" t="s">
        <v>410</v>
      </c>
    </row>
    <row r="664" spans="1:14" x14ac:dyDescent="0.3">
      <c r="A664" s="16">
        <v>45579</v>
      </c>
      <c r="B664" t="s">
        <v>422</v>
      </c>
      <c r="C664" t="s">
        <v>583</v>
      </c>
      <c r="D664" t="s">
        <v>418</v>
      </c>
      <c r="E664" t="s">
        <v>419</v>
      </c>
      <c r="F664" t="s">
        <v>532</v>
      </c>
      <c r="G664" t="s">
        <v>428</v>
      </c>
      <c r="H664">
        <v>75</v>
      </c>
      <c r="I664">
        <v>549</v>
      </c>
      <c r="J664">
        <v>1108</v>
      </c>
      <c r="K664">
        <v>41175</v>
      </c>
      <c r="L664">
        <v>83100</v>
      </c>
      <c r="M664">
        <v>41925</v>
      </c>
      <c r="N664" t="s">
        <v>410</v>
      </c>
    </row>
    <row r="665" spans="1:14" x14ac:dyDescent="0.3">
      <c r="A665" s="16">
        <v>45411</v>
      </c>
      <c r="B665" t="s">
        <v>449</v>
      </c>
      <c r="C665" t="s">
        <v>742</v>
      </c>
      <c r="D665" t="s">
        <v>413</v>
      </c>
      <c r="E665" t="s">
        <v>414</v>
      </c>
      <c r="F665" t="s">
        <v>451</v>
      </c>
      <c r="G665" t="s">
        <v>409</v>
      </c>
      <c r="H665">
        <v>26</v>
      </c>
      <c r="I665">
        <v>835</v>
      </c>
      <c r="J665">
        <v>973</v>
      </c>
      <c r="K665">
        <v>21710</v>
      </c>
      <c r="L665">
        <v>25298</v>
      </c>
      <c r="M665">
        <v>3588</v>
      </c>
      <c r="N665" t="s">
        <v>410</v>
      </c>
    </row>
    <row r="666" spans="1:14" x14ac:dyDescent="0.3">
      <c r="A666" s="16">
        <v>45511</v>
      </c>
      <c r="B666" t="s">
        <v>434</v>
      </c>
      <c r="C666" t="s">
        <v>533</v>
      </c>
      <c r="D666" t="s">
        <v>406</v>
      </c>
      <c r="E666" t="s">
        <v>407</v>
      </c>
      <c r="F666" t="s">
        <v>454</v>
      </c>
      <c r="G666" t="s">
        <v>409</v>
      </c>
      <c r="H666">
        <v>14</v>
      </c>
      <c r="I666">
        <v>815</v>
      </c>
      <c r="J666">
        <v>1341</v>
      </c>
      <c r="K666">
        <v>11410</v>
      </c>
      <c r="L666">
        <v>18774</v>
      </c>
      <c r="M666">
        <v>7364</v>
      </c>
      <c r="N666" t="s">
        <v>410</v>
      </c>
    </row>
    <row r="667" spans="1:14" x14ac:dyDescent="0.3">
      <c r="A667" s="16">
        <v>45543</v>
      </c>
      <c r="B667" t="s">
        <v>431</v>
      </c>
      <c r="C667" t="s">
        <v>624</v>
      </c>
      <c r="D667" t="s">
        <v>406</v>
      </c>
      <c r="E667" t="s">
        <v>407</v>
      </c>
      <c r="F667" t="s">
        <v>542</v>
      </c>
      <c r="G667" t="s">
        <v>428</v>
      </c>
      <c r="H667">
        <v>11</v>
      </c>
      <c r="I667">
        <v>960</v>
      </c>
      <c r="J667">
        <v>939</v>
      </c>
      <c r="K667">
        <v>10560</v>
      </c>
      <c r="L667">
        <v>10329</v>
      </c>
      <c r="M667">
        <v>-231</v>
      </c>
      <c r="N667" t="s">
        <v>421</v>
      </c>
    </row>
    <row r="668" spans="1:14" x14ac:dyDescent="0.3">
      <c r="A668" s="16">
        <v>45523</v>
      </c>
      <c r="B668" t="s">
        <v>434</v>
      </c>
      <c r="C668" t="s">
        <v>517</v>
      </c>
      <c r="D668" t="s">
        <v>413</v>
      </c>
      <c r="E668" t="s">
        <v>444</v>
      </c>
      <c r="F668" t="s">
        <v>433</v>
      </c>
      <c r="G668" t="s">
        <v>428</v>
      </c>
      <c r="H668">
        <v>30</v>
      </c>
      <c r="I668">
        <v>624</v>
      </c>
      <c r="J668">
        <v>999</v>
      </c>
      <c r="K668">
        <v>18720</v>
      </c>
      <c r="L668">
        <v>29970</v>
      </c>
      <c r="M668">
        <v>11250</v>
      </c>
      <c r="N668" t="s">
        <v>410</v>
      </c>
    </row>
    <row r="669" spans="1:14" x14ac:dyDescent="0.3">
      <c r="A669" s="16">
        <v>45441</v>
      </c>
      <c r="B669" t="s">
        <v>437</v>
      </c>
      <c r="C669" t="s">
        <v>736</v>
      </c>
      <c r="D669" t="s">
        <v>418</v>
      </c>
      <c r="E669" t="s">
        <v>453</v>
      </c>
      <c r="F669" t="s">
        <v>445</v>
      </c>
      <c r="G669" t="s">
        <v>428</v>
      </c>
      <c r="H669">
        <v>59</v>
      </c>
      <c r="I669">
        <v>716</v>
      </c>
      <c r="J669">
        <v>1257</v>
      </c>
      <c r="K669">
        <v>42244</v>
      </c>
      <c r="L669">
        <v>74163</v>
      </c>
      <c r="M669">
        <v>31919</v>
      </c>
      <c r="N669" t="s">
        <v>410</v>
      </c>
    </row>
    <row r="670" spans="1:14" x14ac:dyDescent="0.3">
      <c r="A670" s="16">
        <v>45420</v>
      </c>
      <c r="B670" t="s">
        <v>437</v>
      </c>
      <c r="C670" t="s">
        <v>768</v>
      </c>
      <c r="D670" t="s">
        <v>413</v>
      </c>
      <c r="E670" t="s">
        <v>444</v>
      </c>
      <c r="F670" t="s">
        <v>465</v>
      </c>
      <c r="G670" t="s">
        <v>409</v>
      </c>
      <c r="H670">
        <v>26</v>
      </c>
      <c r="I670">
        <v>595</v>
      </c>
      <c r="J670">
        <v>914</v>
      </c>
      <c r="K670">
        <v>15470</v>
      </c>
      <c r="L670">
        <v>23764</v>
      </c>
      <c r="M670">
        <v>8294</v>
      </c>
      <c r="N670" t="s">
        <v>410</v>
      </c>
    </row>
    <row r="671" spans="1:14" x14ac:dyDescent="0.3">
      <c r="A671" s="16">
        <v>45579</v>
      </c>
      <c r="B671" t="s">
        <v>422</v>
      </c>
      <c r="C671" t="s">
        <v>583</v>
      </c>
      <c r="D671" t="s">
        <v>418</v>
      </c>
      <c r="E671" t="s">
        <v>419</v>
      </c>
      <c r="F671" t="s">
        <v>532</v>
      </c>
      <c r="G671" t="s">
        <v>428</v>
      </c>
      <c r="H671">
        <v>60</v>
      </c>
      <c r="I671">
        <v>937</v>
      </c>
      <c r="J671">
        <v>948</v>
      </c>
      <c r="K671">
        <v>56220</v>
      </c>
      <c r="L671">
        <v>56880</v>
      </c>
      <c r="M671">
        <v>660</v>
      </c>
      <c r="N671" t="s">
        <v>410</v>
      </c>
    </row>
    <row r="672" spans="1:14" x14ac:dyDescent="0.3">
      <c r="A672" s="16">
        <v>45385</v>
      </c>
      <c r="B672" t="s">
        <v>449</v>
      </c>
      <c r="C672" t="s">
        <v>614</v>
      </c>
      <c r="D672" t="s">
        <v>413</v>
      </c>
      <c r="E672" t="s">
        <v>494</v>
      </c>
      <c r="F672" t="s">
        <v>424</v>
      </c>
      <c r="G672" t="s">
        <v>428</v>
      </c>
      <c r="H672">
        <v>20</v>
      </c>
      <c r="I672">
        <v>940</v>
      </c>
      <c r="J672">
        <v>1259</v>
      </c>
      <c r="K672">
        <v>18800</v>
      </c>
      <c r="L672">
        <v>25180</v>
      </c>
      <c r="M672">
        <v>6380</v>
      </c>
      <c r="N672" t="s">
        <v>410</v>
      </c>
    </row>
    <row r="673" spans="1:14" x14ac:dyDescent="0.3">
      <c r="A673" s="16">
        <v>45518</v>
      </c>
      <c r="B673" t="s">
        <v>434</v>
      </c>
      <c r="C673" t="s">
        <v>604</v>
      </c>
      <c r="D673" t="s">
        <v>413</v>
      </c>
      <c r="E673" t="s">
        <v>444</v>
      </c>
      <c r="F673" t="s">
        <v>472</v>
      </c>
      <c r="G673" t="s">
        <v>428</v>
      </c>
      <c r="H673">
        <v>23</v>
      </c>
      <c r="I673">
        <v>694</v>
      </c>
      <c r="J673">
        <v>1309</v>
      </c>
      <c r="K673">
        <v>15962</v>
      </c>
      <c r="L673">
        <v>30107</v>
      </c>
      <c r="M673">
        <v>14145</v>
      </c>
      <c r="N673" t="s">
        <v>410</v>
      </c>
    </row>
    <row r="674" spans="1:14" x14ac:dyDescent="0.3">
      <c r="A674" s="16">
        <v>45663</v>
      </c>
      <c r="B674" t="s">
        <v>462</v>
      </c>
      <c r="C674" t="s">
        <v>618</v>
      </c>
      <c r="D674" t="s">
        <v>406</v>
      </c>
      <c r="E674" t="s">
        <v>470</v>
      </c>
      <c r="F674" t="s">
        <v>439</v>
      </c>
      <c r="G674" t="s">
        <v>409</v>
      </c>
      <c r="H674">
        <v>17</v>
      </c>
      <c r="I674">
        <v>825</v>
      </c>
      <c r="J674">
        <v>1080</v>
      </c>
      <c r="K674">
        <v>14025</v>
      </c>
      <c r="L674">
        <v>18360</v>
      </c>
      <c r="M674">
        <v>4335</v>
      </c>
      <c r="N674" t="s">
        <v>410</v>
      </c>
    </row>
    <row r="675" spans="1:14" x14ac:dyDescent="0.3">
      <c r="A675" s="16">
        <v>45523</v>
      </c>
      <c r="B675" t="s">
        <v>434</v>
      </c>
      <c r="C675" t="s">
        <v>517</v>
      </c>
      <c r="D675" t="s">
        <v>413</v>
      </c>
      <c r="E675" t="s">
        <v>444</v>
      </c>
      <c r="F675" t="s">
        <v>433</v>
      </c>
      <c r="G675" t="s">
        <v>428</v>
      </c>
      <c r="H675">
        <v>27</v>
      </c>
      <c r="I675">
        <v>674</v>
      </c>
      <c r="J675">
        <v>1119</v>
      </c>
      <c r="K675">
        <v>18198</v>
      </c>
      <c r="L675">
        <v>30213</v>
      </c>
      <c r="M675">
        <v>12015</v>
      </c>
      <c r="N675" t="s">
        <v>410</v>
      </c>
    </row>
    <row r="676" spans="1:14" x14ac:dyDescent="0.3">
      <c r="A676" s="16">
        <v>45464</v>
      </c>
      <c r="B676" t="s">
        <v>404</v>
      </c>
      <c r="C676" t="s">
        <v>731</v>
      </c>
      <c r="D676" t="s">
        <v>418</v>
      </c>
      <c r="E676" t="s">
        <v>453</v>
      </c>
      <c r="F676" t="s">
        <v>451</v>
      </c>
      <c r="G676" t="s">
        <v>409</v>
      </c>
      <c r="H676">
        <v>83</v>
      </c>
      <c r="I676">
        <v>889</v>
      </c>
      <c r="J676">
        <v>1075</v>
      </c>
      <c r="K676">
        <v>73787</v>
      </c>
      <c r="L676">
        <v>89225</v>
      </c>
      <c r="M676">
        <v>15438</v>
      </c>
      <c r="N676" t="s">
        <v>410</v>
      </c>
    </row>
    <row r="677" spans="1:14" x14ac:dyDescent="0.3">
      <c r="A677" s="16">
        <v>45551</v>
      </c>
      <c r="B677" t="s">
        <v>431</v>
      </c>
      <c r="C677" t="s">
        <v>552</v>
      </c>
      <c r="D677" t="s">
        <v>406</v>
      </c>
      <c r="E677" t="s">
        <v>407</v>
      </c>
      <c r="F677" t="s">
        <v>454</v>
      </c>
      <c r="G677" t="s">
        <v>409</v>
      </c>
      <c r="H677">
        <v>12</v>
      </c>
      <c r="I677">
        <v>500</v>
      </c>
      <c r="J677">
        <v>1276</v>
      </c>
      <c r="K677">
        <v>6000</v>
      </c>
      <c r="L677">
        <v>15312</v>
      </c>
      <c r="M677">
        <v>9312</v>
      </c>
      <c r="N677" t="s">
        <v>410</v>
      </c>
    </row>
    <row r="678" spans="1:14" x14ac:dyDescent="0.3">
      <c r="A678" s="16">
        <v>45687</v>
      </c>
      <c r="B678" t="s">
        <v>462</v>
      </c>
      <c r="C678" t="s">
        <v>769</v>
      </c>
      <c r="D678" t="s">
        <v>406</v>
      </c>
      <c r="E678" t="s">
        <v>407</v>
      </c>
      <c r="F678" t="s">
        <v>465</v>
      </c>
      <c r="G678" t="s">
        <v>428</v>
      </c>
      <c r="H678">
        <v>11</v>
      </c>
      <c r="I678">
        <v>543</v>
      </c>
      <c r="J678">
        <v>1153</v>
      </c>
      <c r="K678">
        <v>5973</v>
      </c>
      <c r="L678">
        <v>12683</v>
      </c>
      <c r="M678">
        <v>6710</v>
      </c>
      <c r="N678" t="s">
        <v>410</v>
      </c>
    </row>
    <row r="679" spans="1:14" x14ac:dyDescent="0.3">
      <c r="A679" s="16">
        <v>45705</v>
      </c>
      <c r="B679" t="s">
        <v>459</v>
      </c>
      <c r="C679" t="s">
        <v>750</v>
      </c>
      <c r="D679" t="s">
        <v>418</v>
      </c>
      <c r="E679" t="s">
        <v>453</v>
      </c>
      <c r="F679" t="s">
        <v>433</v>
      </c>
      <c r="G679" t="s">
        <v>428</v>
      </c>
      <c r="H679">
        <v>93</v>
      </c>
      <c r="I679">
        <v>736</v>
      </c>
      <c r="J679">
        <v>864</v>
      </c>
      <c r="K679">
        <v>68448</v>
      </c>
      <c r="L679">
        <v>80352</v>
      </c>
      <c r="M679">
        <v>11904</v>
      </c>
      <c r="N679" t="s">
        <v>410</v>
      </c>
    </row>
    <row r="680" spans="1:14" x14ac:dyDescent="0.3">
      <c r="A680" s="16">
        <v>45484</v>
      </c>
      <c r="B680" t="s">
        <v>482</v>
      </c>
      <c r="C680" t="s">
        <v>520</v>
      </c>
      <c r="D680" t="s">
        <v>413</v>
      </c>
      <c r="E680" t="s">
        <v>444</v>
      </c>
      <c r="F680" t="s">
        <v>433</v>
      </c>
      <c r="G680" t="s">
        <v>428</v>
      </c>
      <c r="H680">
        <v>26</v>
      </c>
      <c r="I680">
        <v>766</v>
      </c>
      <c r="J680">
        <v>836</v>
      </c>
      <c r="K680">
        <v>19916</v>
      </c>
      <c r="L680">
        <v>21736</v>
      </c>
      <c r="M680">
        <v>1820</v>
      </c>
      <c r="N680" t="s">
        <v>410</v>
      </c>
    </row>
    <row r="681" spans="1:14" x14ac:dyDescent="0.3">
      <c r="A681" s="16">
        <v>45554</v>
      </c>
      <c r="B681" t="s">
        <v>431</v>
      </c>
      <c r="C681" t="s">
        <v>765</v>
      </c>
      <c r="D681" t="s">
        <v>406</v>
      </c>
      <c r="E681" t="s">
        <v>407</v>
      </c>
      <c r="F681" t="s">
        <v>433</v>
      </c>
      <c r="G681" t="s">
        <v>428</v>
      </c>
      <c r="H681">
        <v>17</v>
      </c>
      <c r="I681">
        <v>614</v>
      </c>
      <c r="J681">
        <v>1273</v>
      </c>
      <c r="K681">
        <v>10438</v>
      </c>
      <c r="L681">
        <v>21641</v>
      </c>
      <c r="M681">
        <v>11203</v>
      </c>
      <c r="N681" t="s">
        <v>410</v>
      </c>
    </row>
    <row r="682" spans="1:14" x14ac:dyDescent="0.3">
      <c r="A682" s="16">
        <v>45490</v>
      </c>
      <c r="B682" t="s">
        <v>482</v>
      </c>
      <c r="C682" t="s">
        <v>505</v>
      </c>
      <c r="D682" t="s">
        <v>413</v>
      </c>
      <c r="E682" t="s">
        <v>444</v>
      </c>
      <c r="F682" t="s">
        <v>420</v>
      </c>
      <c r="G682" t="s">
        <v>409</v>
      </c>
      <c r="H682">
        <v>30</v>
      </c>
      <c r="I682">
        <v>916</v>
      </c>
      <c r="J682">
        <v>1497</v>
      </c>
      <c r="K682">
        <v>27480</v>
      </c>
      <c r="L682">
        <v>44910</v>
      </c>
      <c r="M682">
        <v>17430</v>
      </c>
      <c r="N682" t="s">
        <v>410</v>
      </c>
    </row>
    <row r="683" spans="1:14" x14ac:dyDescent="0.3">
      <c r="A683" s="16">
        <v>45701</v>
      </c>
      <c r="B683" t="s">
        <v>459</v>
      </c>
      <c r="C683" t="s">
        <v>703</v>
      </c>
      <c r="D683" t="s">
        <v>418</v>
      </c>
      <c r="E683" t="s">
        <v>453</v>
      </c>
      <c r="F683" t="s">
        <v>433</v>
      </c>
      <c r="G683" t="s">
        <v>409</v>
      </c>
      <c r="H683">
        <v>62</v>
      </c>
      <c r="I683">
        <v>562</v>
      </c>
      <c r="J683">
        <v>884</v>
      </c>
      <c r="K683">
        <v>34844</v>
      </c>
      <c r="L683">
        <v>54808</v>
      </c>
      <c r="M683">
        <v>19964</v>
      </c>
      <c r="N683" t="s">
        <v>410</v>
      </c>
    </row>
    <row r="684" spans="1:14" x14ac:dyDescent="0.3">
      <c r="A684" s="16">
        <v>45653</v>
      </c>
      <c r="B684" t="s">
        <v>416</v>
      </c>
      <c r="C684" t="s">
        <v>744</v>
      </c>
      <c r="D684" t="s">
        <v>418</v>
      </c>
      <c r="E684" t="s">
        <v>419</v>
      </c>
      <c r="F684" t="s">
        <v>439</v>
      </c>
      <c r="G684" t="s">
        <v>428</v>
      </c>
      <c r="H684">
        <v>93</v>
      </c>
      <c r="I684">
        <v>886</v>
      </c>
      <c r="J684">
        <v>1199</v>
      </c>
      <c r="K684">
        <v>82398</v>
      </c>
      <c r="L684">
        <v>111507</v>
      </c>
      <c r="M684">
        <v>29109</v>
      </c>
      <c r="N684" t="s">
        <v>410</v>
      </c>
    </row>
    <row r="685" spans="1:14" x14ac:dyDescent="0.3">
      <c r="A685" s="16">
        <v>45421</v>
      </c>
      <c r="B685" t="s">
        <v>437</v>
      </c>
      <c r="C685" t="s">
        <v>745</v>
      </c>
      <c r="D685" t="s">
        <v>413</v>
      </c>
      <c r="E685" t="s">
        <v>444</v>
      </c>
      <c r="F685" t="s">
        <v>424</v>
      </c>
      <c r="G685" t="s">
        <v>409</v>
      </c>
      <c r="H685">
        <v>26</v>
      </c>
      <c r="I685">
        <v>509</v>
      </c>
      <c r="J685">
        <v>1120</v>
      </c>
      <c r="K685">
        <v>13234</v>
      </c>
      <c r="L685">
        <v>29120</v>
      </c>
      <c r="M685">
        <v>15886</v>
      </c>
      <c r="N685" t="s">
        <v>410</v>
      </c>
    </row>
    <row r="686" spans="1:14" x14ac:dyDescent="0.3">
      <c r="A686" s="16">
        <v>45698</v>
      </c>
      <c r="B686" t="s">
        <v>459</v>
      </c>
      <c r="C686" t="s">
        <v>730</v>
      </c>
      <c r="D686" t="s">
        <v>413</v>
      </c>
      <c r="E686" t="s">
        <v>444</v>
      </c>
      <c r="F686" t="s">
        <v>465</v>
      </c>
      <c r="G686" t="s">
        <v>409</v>
      </c>
      <c r="H686">
        <v>22</v>
      </c>
      <c r="I686">
        <v>745</v>
      </c>
      <c r="J686">
        <v>1153</v>
      </c>
      <c r="K686">
        <v>16390</v>
      </c>
      <c r="L686">
        <v>25366</v>
      </c>
      <c r="M686">
        <v>8976</v>
      </c>
      <c r="N686" t="s">
        <v>410</v>
      </c>
    </row>
    <row r="687" spans="1:14" x14ac:dyDescent="0.3">
      <c r="A687" s="16">
        <v>45649</v>
      </c>
      <c r="B687" t="s">
        <v>416</v>
      </c>
      <c r="C687" t="s">
        <v>759</v>
      </c>
      <c r="D687" t="s">
        <v>418</v>
      </c>
      <c r="E687" t="s">
        <v>419</v>
      </c>
      <c r="F687" t="s">
        <v>451</v>
      </c>
      <c r="G687" t="s">
        <v>409</v>
      </c>
      <c r="H687">
        <v>72</v>
      </c>
      <c r="I687">
        <v>943</v>
      </c>
      <c r="J687">
        <v>1233</v>
      </c>
      <c r="K687">
        <v>67896</v>
      </c>
      <c r="L687">
        <v>88776</v>
      </c>
      <c r="M687">
        <v>20880</v>
      </c>
      <c r="N687" t="s">
        <v>410</v>
      </c>
    </row>
    <row r="688" spans="1:14" x14ac:dyDescent="0.3">
      <c r="A688" s="16">
        <v>45516</v>
      </c>
      <c r="B688" t="s">
        <v>434</v>
      </c>
      <c r="C688" t="s">
        <v>548</v>
      </c>
      <c r="D688" t="s">
        <v>406</v>
      </c>
      <c r="E688" t="s">
        <v>407</v>
      </c>
      <c r="F688" t="s">
        <v>532</v>
      </c>
      <c r="G688" t="s">
        <v>428</v>
      </c>
      <c r="H688">
        <v>20</v>
      </c>
      <c r="I688">
        <v>966</v>
      </c>
      <c r="J688">
        <v>924</v>
      </c>
      <c r="K688">
        <v>19320</v>
      </c>
      <c r="L688">
        <v>18480</v>
      </c>
      <c r="M688">
        <v>-840</v>
      </c>
      <c r="N688" t="s">
        <v>421</v>
      </c>
    </row>
    <row r="689" spans="1:14" x14ac:dyDescent="0.3">
      <c r="A689" s="16">
        <v>45478</v>
      </c>
      <c r="B689" t="s">
        <v>482</v>
      </c>
      <c r="C689" t="s">
        <v>690</v>
      </c>
      <c r="D689" t="s">
        <v>406</v>
      </c>
      <c r="E689" t="s">
        <v>407</v>
      </c>
      <c r="F689" t="s">
        <v>472</v>
      </c>
      <c r="G689" t="s">
        <v>409</v>
      </c>
      <c r="H689">
        <v>11</v>
      </c>
      <c r="I689">
        <v>674</v>
      </c>
      <c r="J689">
        <v>1415</v>
      </c>
      <c r="K689">
        <v>7414</v>
      </c>
      <c r="L689">
        <v>15565</v>
      </c>
      <c r="M689">
        <v>8151</v>
      </c>
      <c r="N689" t="s">
        <v>410</v>
      </c>
    </row>
    <row r="690" spans="1:14" x14ac:dyDescent="0.3">
      <c r="A690" s="16">
        <v>45421</v>
      </c>
      <c r="B690" t="s">
        <v>437</v>
      </c>
      <c r="C690" t="s">
        <v>745</v>
      </c>
      <c r="D690" t="s">
        <v>413</v>
      </c>
      <c r="E690" t="s">
        <v>444</v>
      </c>
      <c r="F690" t="s">
        <v>424</v>
      </c>
      <c r="G690" t="s">
        <v>409</v>
      </c>
      <c r="H690">
        <v>22</v>
      </c>
      <c r="I690">
        <v>695</v>
      </c>
      <c r="J690">
        <v>830</v>
      </c>
      <c r="K690">
        <v>15290</v>
      </c>
      <c r="L690">
        <v>18260</v>
      </c>
      <c r="M690">
        <v>2970</v>
      </c>
      <c r="N690" t="s">
        <v>410</v>
      </c>
    </row>
    <row r="691" spans="1:14" x14ac:dyDescent="0.3">
      <c r="A691" s="16">
        <v>45525</v>
      </c>
      <c r="B691" t="s">
        <v>434</v>
      </c>
      <c r="C691" t="s">
        <v>580</v>
      </c>
      <c r="D691" t="s">
        <v>413</v>
      </c>
      <c r="E691" t="s">
        <v>444</v>
      </c>
      <c r="F691" t="s">
        <v>426</v>
      </c>
      <c r="G691" t="s">
        <v>409</v>
      </c>
      <c r="H691">
        <v>21</v>
      </c>
      <c r="I691">
        <v>929</v>
      </c>
      <c r="J691">
        <v>910</v>
      </c>
      <c r="K691">
        <v>19509</v>
      </c>
      <c r="L691">
        <v>19110</v>
      </c>
      <c r="M691">
        <v>-399</v>
      </c>
      <c r="N691" t="s">
        <v>421</v>
      </c>
    </row>
    <row r="692" spans="1:14" x14ac:dyDescent="0.3">
      <c r="A692" s="16">
        <v>45544</v>
      </c>
      <c r="B692" t="s">
        <v>431</v>
      </c>
      <c r="C692" t="s">
        <v>585</v>
      </c>
      <c r="D692" t="s">
        <v>406</v>
      </c>
      <c r="E692" t="s">
        <v>407</v>
      </c>
      <c r="F692" t="s">
        <v>451</v>
      </c>
      <c r="G692" t="s">
        <v>428</v>
      </c>
      <c r="H692">
        <v>10</v>
      </c>
      <c r="I692">
        <v>654</v>
      </c>
      <c r="J692">
        <v>1029</v>
      </c>
      <c r="K692">
        <v>6540</v>
      </c>
      <c r="L692">
        <v>10290</v>
      </c>
      <c r="M692">
        <v>3750</v>
      </c>
      <c r="N692" t="s">
        <v>410</v>
      </c>
    </row>
    <row r="693" spans="1:14" x14ac:dyDescent="0.3">
      <c r="A693" s="16">
        <v>45506</v>
      </c>
      <c r="B693" t="s">
        <v>434</v>
      </c>
      <c r="C693" t="s">
        <v>468</v>
      </c>
      <c r="D693" t="s">
        <v>418</v>
      </c>
      <c r="E693" t="s">
        <v>453</v>
      </c>
      <c r="F693" t="s">
        <v>426</v>
      </c>
      <c r="G693" t="s">
        <v>428</v>
      </c>
      <c r="H693">
        <v>75</v>
      </c>
      <c r="I693">
        <v>906</v>
      </c>
      <c r="J693">
        <v>954</v>
      </c>
      <c r="K693">
        <v>67950</v>
      </c>
      <c r="L693">
        <v>71550</v>
      </c>
      <c r="M693">
        <v>3600</v>
      </c>
      <c r="N693" t="s">
        <v>410</v>
      </c>
    </row>
    <row r="694" spans="1:14" x14ac:dyDescent="0.3">
      <c r="A694" s="16">
        <v>45436</v>
      </c>
      <c r="B694" t="s">
        <v>437</v>
      </c>
      <c r="C694" t="s">
        <v>672</v>
      </c>
      <c r="D694" t="s">
        <v>418</v>
      </c>
      <c r="E694" t="s">
        <v>453</v>
      </c>
      <c r="F694" t="s">
        <v>532</v>
      </c>
      <c r="G694" t="s">
        <v>409</v>
      </c>
      <c r="H694">
        <v>87</v>
      </c>
      <c r="I694">
        <v>742</v>
      </c>
      <c r="J694">
        <v>856</v>
      </c>
      <c r="K694">
        <v>64554</v>
      </c>
      <c r="L694">
        <v>74472</v>
      </c>
      <c r="M694">
        <v>9918</v>
      </c>
      <c r="N694" t="s">
        <v>410</v>
      </c>
    </row>
    <row r="695" spans="1:14" x14ac:dyDescent="0.3">
      <c r="A695" s="16">
        <v>45499</v>
      </c>
      <c r="B695" t="s">
        <v>482</v>
      </c>
      <c r="C695" t="s">
        <v>709</v>
      </c>
      <c r="D695" t="s">
        <v>418</v>
      </c>
      <c r="E695" t="s">
        <v>453</v>
      </c>
      <c r="F695" t="s">
        <v>532</v>
      </c>
      <c r="G695" t="s">
        <v>409</v>
      </c>
      <c r="H695">
        <v>63</v>
      </c>
      <c r="I695">
        <v>519</v>
      </c>
      <c r="J695">
        <v>826</v>
      </c>
      <c r="K695">
        <v>32697</v>
      </c>
      <c r="L695">
        <v>52038</v>
      </c>
      <c r="M695">
        <v>19341</v>
      </c>
      <c r="N695" t="s">
        <v>410</v>
      </c>
    </row>
    <row r="696" spans="1:14" x14ac:dyDescent="0.3">
      <c r="A696" s="16">
        <v>45501</v>
      </c>
      <c r="B696" t="s">
        <v>482</v>
      </c>
      <c r="C696" t="s">
        <v>627</v>
      </c>
      <c r="D696" t="s">
        <v>418</v>
      </c>
      <c r="E696" t="s">
        <v>453</v>
      </c>
      <c r="F696" t="s">
        <v>424</v>
      </c>
      <c r="G696" t="s">
        <v>409</v>
      </c>
      <c r="H696">
        <v>97</v>
      </c>
      <c r="I696">
        <v>565</v>
      </c>
      <c r="J696">
        <v>995</v>
      </c>
      <c r="K696">
        <v>54805</v>
      </c>
      <c r="L696">
        <v>96515</v>
      </c>
      <c r="M696">
        <v>41710</v>
      </c>
      <c r="N696" t="s">
        <v>410</v>
      </c>
    </row>
    <row r="697" spans="1:14" x14ac:dyDescent="0.3">
      <c r="A697" s="16">
        <v>45555</v>
      </c>
      <c r="B697" t="s">
        <v>431</v>
      </c>
      <c r="C697" t="s">
        <v>592</v>
      </c>
      <c r="D697" t="s">
        <v>418</v>
      </c>
      <c r="E697" t="s">
        <v>419</v>
      </c>
      <c r="F697" t="s">
        <v>451</v>
      </c>
      <c r="G697" t="s">
        <v>428</v>
      </c>
      <c r="H697">
        <v>62</v>
      </c>
      <c r="I697">
        <v>891</v>
      </c>
      <c r="J697">
        <v>1170</v>
      </c>
      <c r="K697">
        <v>55242</v>
      </c>
      <c r="L697">
        <v>72540</v>
      </c>
      <c r="M697">
        <v>17298</v>
      </c>
      <c r="N697" t="s">
        <v>410</v>
      </c>
    </row>
    <row r="698" spans="1:14" x14ac:dyDescent="0.3">
      <c r="A698" s="16">
        <v>45562</v>
      </c>
      <c r="B698" t="s">
        <v>431</v>
      </c>
      <c r="C698" t="s">
        <v>587</v>
      </c>
      <c r="D698" t="s">
        <v>406</v>
      </c>
      <c r="E698" t="s">
        <v>470</v>
      </c>
      <c r="F698" t="s">
        <v>408</v>
      </c>
      <c r="G698" t="s">
        <v>428</v>
      </c>
      <c r="H698">
        <v>17</v>
      </c>
      <c r="I698">
        <v>565</v>
      </c>
      <c r="J698">
        <v>1281</v>
      </c>
      <c r="K698">
        <v>9605</v>
      </c>
      <c r="L698">
        <v>21777</v>
      </c>
      <c r="M698">
        <v>12172</v>
      </c>
      <c r="N698" t="s">
        <v>410</v>
      </c>
    </row>
    <row r="699" spans="1:14" x14ac:dyDescent="0.3">
      <c r="A699" s="16">
        <v>45422</v>
      </c>
      <c r="B699" t="s">
        <v>437</v>
      </c>
      <c r="C699" t="s">
        <v>479</v>
      </c>
      <c r="D699" t="s">
        <v>413</v>
      </c>
      <c r="E699" t="s">
        <v>444</v>
      </c>
      <c r="F699" t="s">
        <v>478</v>
      </c>
      <c r="G699" t="s">
        <v>409</v>
      </c>
      <c r="H699">
        <v>21</v>
      </c>
      <c r="I699">
        <v>781</v>
      </c>
      <c r="J699">
        <v>816</v>
      </c>
      <c r="K699">
        <v>16401</v>
      </c>
      <c r="L699">
        <v>17136</v>
      </c>
      <c r="M699">
        <v>735</v>
      </c>
      <c r="N699" t="s">
        <v>410</v>
      </c>
    </row>
    <row r="700" spans="1:14" x14ac:dyDescent="0.3">
      <c r="A700" s="16">
        <v>45584</v>
      </c>
      <c r="B700" t="s">
        <v>422</v>
      </c>
      <c r="C700" t="s">
        <v>649</v>
      </c>
      <c r="D700" t="s">
        <v>406</v>
      </c>
      <c r="E700" t="s">
        <v>407</v>
      </c>
      <c r="F700" t="s">
        <v>408</v>
      </c>
      <c r="G700" t="s">
        <v>409</v>
      </c>
      <c r="H700">
        <v>15</v>
      </c>
      <c r="I700">
        <v>662</v>
      </c>
      <c r="J700">
        <v>1183</v>
      </c>
      <c r="K700">
        <v>9930</v>
      </c>
      <c r="L700">
        <v>17745</v>
      </c>
      <c r="M700">
        <v>7815</v>
      </c>
      <c r="N700" t="s">
        <v>410</v>
      </c>
    </row>
    <row r="701" spans="1:14" x14ac:dyDescent="0.3">
      <c r="A701" s="16">
        <v>45433</v>
      </c>
      <c r="B701" t="s">
        <v>437</v>
      </c>
      <c r="C701" t="s">
        <v>632</v>
      </c>
      <c r="D701" t="s">
        <v>418</v>
      </c>
      <c r="E701" t="s">
        <v>453</v>
      </c>
      <c r="F701" t="s">
        <v>433</v>
      </c>
      <c r="G701" t="s">
        <v>409</v>
      </c>
      <c r="H701">
        <v>72</v>
      </c>
      <c r="I701">
        <v>605</v>
      </c>
      <c r="J701">
        <v>1081</v>
      </c>
      <c r="K701">
        <v>43560</v>
      </c>
      <c r="L701">
        <v>77832</v>
      </c>
      <c r="M701">
        <v>34272</v>
      </c>
      <c r="N701" t="s">
        <v>410</v>
      </c>
    </row>
    <row r="702" spans="1:14" x14ac:dyDescent="0.3">
      <c r="A702" s="16">
        <v>45446</v>
      </c>
      <c r="B702" t="s">
        <v>404</v>
      </c>
      <c r="C702" t="s">
        <v>770</v>
      </c>
      <c r="D702" t="s">
        <v>418</v>
      </c>
      <c r="E702" t="s">
        <v>419</v>
      </c>
      <c r="F702" t="s">
        <v>426</v>
      </c>
      <c r="G702" t="s">
        <v>428</v>
      </c>
      <c r="H702">
        <v>83</v>
      </c>
      <c r="I702">
        <v>655</v>
      </c>
      <c r="J702">
        <v>1422</v>
      </c>
      <c r="K702">
        <v>54365</v>
      </c>
      <c r="L702">
        <v>118026</v>
      </c>
      <c r="M702">
        <v>63661</v>
      </c>
      <c r="N702" t="s">
        <v>410</v>
      </c>
    </row>
    <row r="703" spans="1:14" x14ac:dyDescent="0.3">
      <c r="A703" s="16">
        <v>45567</v>
      </c>
      <c r="B703" t="s">
        <v>422</v>
      </c>
      <c r="C703" t="s">
        <v>740</v>
      </c>
      <c r="D703" t="s">
        <v>406</v>
      </c>
      <c r="E703" t="s">
        <v>470</v>
      </c>
      <c r="F703" t="s">
        <v>454</v>
      </c>
      <c r="G703" t="s">
        <v>409</v>
      </c>
      <c r="H703">
        <v>11</v>
      </c>
      <c r="I703">
        <v>858</v>
      </c>
      <c r="J703">
        <v>1080</v>
      </c>
      <c r="K703">
        <v>9438</v>
      </c>
      <c r="L703">
        <v>11880</v>
      </c>
      <c r="M703">
        <v>2442</v>
      </c>
      <c r="N703" t="s">
        <v>410</v>
      </c>
    </row>
    <row r="704" spans="1:14" x14ac:dyDescent="0.3">
      <c r="A704" s="16">
        <v>45607</v>
      </c>
      <c r="B704" t="s">
        <v>411</v>
      </c>
      <c r="C704" t="s">
        <v>539</v>
      </c>
      <c r="D704" t="s">
        <v>418</v>
      </c>
      <c r="E704" t="s">
        <v>448</v>
      </c>
      <c r="F704" t="s">
        <v>424</v>
      </c>
      <c r="G704" t="s">
        <v>409</v>
      </c>
      <c r="H704">
        <v>92</v>
      </c>
      <c r="I704">
        <v>609</v>
      </c>
      <c r="J704">
        <v>792</v>
      </c>
      <c r="K704">
        <v>56028</v>
      </c>
      <c r="L704">
        <v>72864</v>
      </c>
      <c r="M704">
        <v>16836</v>
      </c>
      <c r="N704" t="s">
        <v>410</v>
      </c>
    </row>
    <row r="705" spans="1:14" x14ac:dyDescent="0.3">
      <c r="A705" s="16">
        <v>45637</v>
      </c>
      <c r="B705" t="s">
        <v>416</v>
      </c>
      <c r="C705" t="s">
        <v>771</v>
      </c>
      <c r="D705" t="s">
        <v>418</v>
      </c>
      <c r="E705" t="s">
        <v>453</v>
      </c>
      <c r="F705" t="s">
        <v>439</v>
      </c>
      <c r="G705" t="s">
        <v>428</v>
      </c>
      <c r="H705">
        <v>78</v>
      </c>
      <c r="I705">
        <v>522</v>
      </c>
      <c r="J705">
        <v>1064</v>
      </c>
      <c r="K705">
        <v>40716</v>
      </c>
      <c r="L705">
        <v>82992</v>
      </c>
      <c r="M705">
        <v>42276</v>
      </c>
      <c r="N705" t="s">
        <v>410</v>
      </c>
    </row>
    <row r="706" spans="1:14" x14ac:dyDescent="0.3">
      <c r="A706" s="16">
        <v>45632</v>
      </c>
      <c r="B706" t="s">
        <v>416</v>
      </c>
      <c r="C706" t="s">
        <v>721</v>
      </c>
      <c r="D706" t="s">
        <v>413</v>
      </c>
      <c r="E706" t="s">
        <v>444</v>
      </c>
      <c r="F706" t="s">
        <v>420</v>
      </c>
      <c r="G706" t="s">
        <v>428</v>
      </c>
      <c r="H706">
        <v>26</v>
      </c>
      <c r="I706">
        <v>909</v>
      </c>
      <c r="J706">
        <v>1206</v>
      </c>
      <c r="K706">
        <v>23634</v>
      </c>
      <c r="L706">
        <v>31356</v>
      </c>
      <c r="M706">
        <v>7722</v>
      </c>
      <c r="N706" t="s">
        <v>410</v>
      </c>
    </row>
    <row r="707" spans="1:14" x14ac:dyDescent="0.3">
      <c r="A707" s="16">
        <v>45502</v>
      </c>
      <c r="B707" t="s">
        <v>482</v>
      </c>
      <c r="C707" t="s">
        <v>643</v>
      </c>
      <c r="D707" t="s">
        <v>418</v>
      </c>
      <c r="E707" t="s">
        <v>453</v>
      </c>
      <c r="F707" t="s">
        <v>478</v>
      </c>
      <c r="G707" t="s">
        <v>409</v>
      </c>
      <c r="H707">
        <v>91</v>
      </c>
      <c r="I707">
        <v>938</v>
      </c>
      <c r="J707">
        <v>1156</v>
      </c>
      <c r="K707">
        <v>85358</v>
      </c>
      <c r="L707">
        <v>105196</v>
      </c>
      <c r="M707">
        <v>19838</v>
      </c>
      <c r="N707" t="s">
        <v>410</v>
      </c>
    </row>
    <row r="708" spans="1:14" x14ac:dyDescent="0.3">
      <c r="A708" s="16">
        <v>45693</v>
      </c>
      <c r="B708" t="s">
        <v>459</v>
      </c>
      <c r="C708" t="s">
        <v>772</v>
      </c>
      <c r="D708" t="s">
        <v>413</v>
      </c>
      <c r="E708" t="s">
        <v>444</v>
      </c>
      <c r="F708" t="s">
        <v>439</v>
      </c>
      <c r="G708" t="s">
        <v>428</v>
      </c>
      <c r="H708">
        <v>25</v>
      </c>
      <c r="I708">
        <v>975</v>
      </c>
      <c r="J708">
        <v>935</v>
      </c>
      <c r="K708">
        <v>24375</v>
      </c>
      <c r="L708">
        <v>23375</v>
      </c>
      <c r="M708">
        <v>-1000</v>
      </c>
      <c r="N708" t="s">
        <v>421</v>
      </c>
    </row>
    <row r="709" spans="1:14" x14ac:dyDescent="0.3">
      <c r="A709" s="16">
        <v>45444</v>
      </c>
      <c r="B709" t="s">
        <v>404</v>
      </c>
      <c r="C709" t="s">
        <v>756</v>
      </c>
      <c r="D709" t="s">
        <v>418</v>
      </c>
      <c r="E709" t="s">
        <v>419</v>
      </c>
      <c r="F709" t="s">
        <v>433</v>
      </c>
      <c r="G709" t="s">
        <v>409</v>
      </c>
      <c r="H709">
        <v>81</v>
      </c>
      <c r="I709">
        <v>528</v>
      </c>
      <c r="J709">
        <v>872</v>
      </c>
      <c r="K709">
        <v>42768</v>
      </c>
      <c r="L709">
        <v>70632</v>
      </c>
      <c r="M709">
        <v>27864</v>
      </c>
      <c r="N709" t="s">
        <v>410</v>
      </c>
    </row>
    <row r="710" spans="1:14" x14ac:dyDescent="0.3">
      <c r="A710" s="16">
        <v>45546</v>
      </c>
      <c r="B710" t="s">
        <v>431</v>
      </c>
      <c r="C710" t="s">
        <v>457</v>
      </c>
      <c r="D710" t="s">
        <v>406</v>
      </c>
      <c r="E710" t="s">
        <v>407</v>
      </c>
      <c r="F710" t="s">
        <v>426</v>
      </c>
      <c r="G710" t="s">
        <v>428</v>
      </c>
      <c r="H710">
        <v>10</v>
      </c>
      <c r="I710">
        <v>990</v>
      </c>
      <c r="J710">
        <v>1030</v>
      </c>
      <c r="K710">
        <v>9900</v>
      </c>
      <c r="L710">
        <v>10300</v>
      </c>
      <c r="M710">
        <v>400</v>
      </c>
      <c r="N710" t="s">
        <v>410</v>
      </c>
    </row>
    <row r="711" spans="1:14" x14ac:dyDescent="0.3">
      <c r="A711" s="16">
        <v>45576</v>
      </c>
      <c r="B711" t="s">
        <v>422</v>
      </c>
      <c r="C711" t="s">
        <v>525</v>
      </c>
      <c r="D711" t="s">
        <v>418</v>
      </c>
      <c r="E711" t="s">
        <v>419</v>
      </c>
      <c r="F711" t="s">
        <v>504</v>
      </c>
      <c r="G711" t="s">
        <v>409</v>
      </c>
      <c r="H711">
        <v>82</v>
      </c>
      <c r="I711">
        <v>652</v>
      </c>
      <c r="J711">
        <v>994</v>
      </c>
      <c r="K711">
        <v>53464</v>
      </c>
      <c r="L711">
        <v>81508</v>
      </c>
      <c r="M711">
        <v>28044</v>
      </c>
      <c r="N711" t="s">
        <v>410</v>
      </c>
    </row>
    <row r="712" spans="1:14" x14ac:dyDescent="0.3">
      <c r="A712" s="16">
        <v>45619</v>
      </c>
      <c r="B712" t="s">
        <v>411</v>
      </c>
      <c r="C712" t="s">
        <v>678</v>
      </c>
      <c r="D712" t="s">
        <v>413</v>
      </c>
      <c r="E712" t="s">
        <v>414</v>
      </c>
      <c r="F712" t="s">
        <v>451</v>
      </c>
      <c r="G712" t="s">
        <v>428</v>
      </c>
      <c r="H712">
        <v>28</v>
      </c>
      <c r="I712">
        <v>665</v>
      </c>
      <c r="J712">
        <v>1467</v>
      </c>
      <c r="K712">
        <v>18620</v>
      </c>
      <c r="L712">
        <v>41076</v>
      </c>
      <c r="M712">
        <v>22456</v>
      </c>
      <c r="N712" t="s">
        <v>410</v>
      </c>
    </row>
    <row r="713" spans="1:14" x14ac:dyDescent="0.3">
      <c r="A713" s="16">
        <v>45519</v>
      </c>
      <c r="B713" t="s">
        <v>434</v>
      </c>
      <c r="C713" t="s">
        <v>753</v>
      </c>
      <c r="D713" t="s">
        <v>413</v>
      </c>
      <c r="E713" t="s">
        <v>444</v>
      </c>
      <c r="F713" t="s">
        <v>532</v>
      </c>
      <c r="G713" t="s">
        <v>409</v>
      </c>
      <c r="H713">
        <v>29</v>
      </c>
      <c r="I713">
        <v>544</v>
      </c>
      <c r="J713">
        <v>1436</v>
      </c>
      <c r="K713">
        <v>15776</v>
      </c>
      <c r="L713">
        <v>41644</v>
      </c>
      <c r="M713">
        <v>25868</v>
      </c>
      <c r="N713" t="s">
        <v>410</v>
      </c>
    </row>
    <row r="714" spans="1:14" x14ac:dyDescent="0.3">
      <c r="A714" s="16">
        <v>45419</v>
      </c>
      <c r="B714" t="s">
        <v>437</v>
      </c>
      <c r="C714" t="s">
        <v>550</v>
      </c>
      <c r="D714" t="s">
        <v>413</v>
      </c>
      <c r="E714" t="s">
        <v>444</v>
      </c>
      <c r="F714" t="s">
        <v>532</v>
      </c>
      <c r="G714" t="s">
        <v>409</v>
      </c>
      <c r="H714">
        <v>20</v>
      </c>
      <c r="I714">
        <v>778</v>
      </c>
      <c r="J714">
        <v>1096</v>
      </c>
      <c r="K714">
        <v>15560</v>
      </c>
      <c r="L714">
        <v>21920</v>
      </c>
      <c r="M714">
        <v>6360</v>
      </c>
      <c r="N714" t="s">
        <v>410</v>
      </c>
    </row>
    <row r="715" spans="1:14" x14ac:dyDescent="0.3">
      <c r="A715" s="16">
        <v>45644</v>
      </c>
      <c r="B715" t="s">
        <v>416</v>
      </c>
      <c r="C715" t="s">
        <v>485</v>
      </c>
      <c r="D715" t="s">
        <v>418</v>
      </c>
      <c r="E715" t="s">
        <v>453</v>
      </c>
      <c r="F715" t="s">
        <v>426</v>
      </c>
      <c r="G715" t="s">
        <v>409</v>
      </c>
      <c r="H715">
        <v>59</v>
      </c>
      <c r="I715">
        <v>671</v>
      </c>
      <c r="J715">
        <v>1410</v>
      </c>
      <c r="K715">
        <v>39589</v>
      </c>
      <c r="L715">
        <v>83190</v>
      </c>
      <c r="M715">
        <v>43601</v>
      </c>
      <c r="N715" t="s">
        <v>410</v>
      </c>
    </row>
    <row r="716" spans="1:14" x14ac:dyDescent="0.3">
      <c r="A716" s="16">
        <v>45386</v>
      </c>
      <c r="B716" t="s">
        <v>449</v>
      </c>
      <c r="C716" t="s">
        <v>773</v>
      </c>
      <c r="D716" t="s">
        <v>413</v>
      </c>
      <c r="E716" t="s">
        <v>494</v>
      </c>
      <c r="F716" t="s">
        <v>426</v>
      </c>
      <c r="G716" t="s">
        <v>428</v>
      </c>
      <c r="H716">
        <v>22</v>
      </c>
      <c r="I716">
        <v>785</v>
      </c>
      <c r="J716">
        <v>1292</v>
      </c>
      <c r="K716">
        <v>17270</v>
      </c>
      <c r="L716">
        <v>28424</v>
      </c>
      <c r="M716">
        <v>11154</v>
      </c>
      <c r="N716" t="s">
        <v>410</v>
      </c>
    </row>
    <row r="717" spans="1:14" x14ac:dyDescent="0.3">
      <c r="A717" s="16">
        <v>45446</v>
      </c>
      <c r="B717" t="s">
        <v>404</v>
      </c>
      <c r="C717" t="s">
        <v>770</v>
      </c>
      <c r="D717" t="s">
        <v>418</v>
      </c>
      <c r="E717" t="s">
        <v>419</v>
      </c>
      <c r="F717" t="s">
        <v>426</v>
      </c>
      <c r="G717" t="s">
        <v>428</v>
      </c>
      <c r="H717">
        <v>76</v>
      </c>
      <c r="I717">
        <v>585</v>
      </c>
      <c r="J717">
        <v>1366</v>
      </c>
      <c r="K717">
        <v>44460</v>
      </c>
      <c r="L717">
        <v>103816</v>
      </c>
      <c r="M717">
        <v>59356</v>
      </c>
      <c r="N717" t="s">
        <v>410</v>
      </c>
    </row>
    <row r="718" spans="1:14" x14ac:dyDescent="0.3">
      <c r="A718" s="16">
        <v>45700</v>
      </c>
      <c r="B718" t="s">
        <v>459</v>
      </c>
      <c r="C718" t="s">
        <v>620</v>
      </c>
      <c r="D718" t="s">
        <v>418</v>
      </c>
      <c r="E718" t="s">
        <v>453</v>
      </c>
      <c r="F718" t="s">
        <v>433</v>
      </c>
      <c r="G718" t="s">
        <v>409</v>
      </c>
      <c r="H718">
        <v>78</v>
      </c>
      <c r="I718">
        <v>709</v>
      </c>
      <c r="J718">
        <v>1494</v>
      </c>
      <c r="K718">
        <v>55302</v>
      </c>
      <c r="L718">
        <v>116532</v>
      </c>
      <c r="M718">
        <v>61230</v>
      </c>
      <c r="N718" t="s">
        <v>410</v>
      </c>
    </row>
    <row r="719" spans="1:14" x14ac:dyDescent="0.3">
      <c r="A719" s="16">
        <v>45620</v>
      </c>
      <c r="B719" t="s">
        <v>411</v>
      </c>
      <c r="C719" t="s">
        <v>667</v>
      </c>
      <c r="D719" t="s">
        <v>413</v>
      </c>
      <c r="E719" t="s">
        <v>414</v>
      </c>
      <c r="F719" t="s">
        <v>472</v>
      </c>
      <c r="G719" t="s">
        <v>428</v>
      </c>
      <c r="H719">
        <v>26</v>
      </c>
      <c r="I719">
        <v>997</v>
      </c>
      <c r="J719">
        <v>982</v>
      </c>
      <c r="K719">
        <v>25922</v>
      </c>
      <c r="L719">
        <v>25532</v>
      </c>
      <c r="M719">
        <v>-390</v>
      </c>
      <c r="N719" t="s">
        <v>421</v>
      </c>
    </row>
    <row r="720" spans="1:14" x14ac:dyDescent="0.3">
      <c r="A720" s="16">
        <v>45642</v>
      </c>
      <c r="B720" t="s">
        <v>416</v>
      </c>
      <c r="C720" t="s">
        <v>638</v>
      </c>
      <c r="D720" t="s">
        <v>418</v>
      </c>
      <c r="E720" t="s">
        <v>453</v>
      </c>
      <c r="F720" t="s">
        <v>433</v>
      </c>
      <c r="G720" t="s">
        <v>409</v>
      </c>
      <c r="H720">
        <v>94</v>
      </c>
      <c r="I720">
        <v>616</v>
      </c>
      <c r="J720">
        <v>1200</v>
      </c>
      <c r="K720">
        <v>57904</v>
      </c>
      <c r="L720">
        <v>112800</v>
      </c>
      <c r="M720">
        <v>54896</v>
      </c>
      <c r="N720" t="s">
        <v>410</v>
      </c>
    </row>
    <row r="721" spans="1:14" x14ac:dyDescent="0.3">
      <c r="A721" s="16">
        <v>45682</v>
      </c>
      <c r="B721" t="s">
        <v>462</v>
      </c>
      <c r="C721" t="s">
        <v>484</v>
      </c>
      <c r="D721" t="s">
        <v>406</v>
      </c>
      <c r="E721" t="s">
        <v>407</v>
      </c>
      <c r="F721" t="s">
        <v>424</v>
      </c>
      <c r="G721" t="s">
        <v>409</v>
      </c>
      <c r="H721">
        <v>19</v>
      </c>
      <c r="I721">
        <v>795</v>
      </c>
      <c r="J721">
        <v>1471</v>
      </c>
      <c r="K721">
        <v>15105</v>
      </c>
      <c r="L721">
        <v>27949</v>
      </c>
      <c r="M721">
        <v>12844</v>
      </c>
      <c r="N721" t="s">
        <v>410</v>
      </c>
    </row>
    <row r="722" spans="1:14" x14ac:dyDescent="0.3">
      <c r="A722" s="16">
        <v>45674</v>
      </c>
      <c r="B722" t="s">
        <v>462</v>
      </c>
      <c r="C722" t="s">
        <v>599</v>
      </c>
      <c r="D722" t="s">
        <v>418</v>
      </c>
      <c r="E722" t="s">
        <v>419</v>
      </c>
      <c r="F722" t="s">
        <v>420</v>
      </c>
      <c r="G722" t="s">
        <v>409</v>
      </c>
      <c r="H722">
        <v>84</v>
      </c>
      <c r="I722">
        <v>948</v>
      </c>
      <c r="J722">
        <v>1156</v>
      </c>
      <c r="K722">
        <v>79632</v>
      </c>
      <c r="L722">
        <v>97104</v>
      </c>
      <c r="M722">
        <v>17472</v>
      </c>
      <c r="N722" t="s">
        <v>410</v>
      </c>
    </row>
    <row r="723" spans="1:14" x14ac:dyDescent="0.3">
      <c r="A723" s="16">
        <v>45418</v>
      </c>
      <c r="B723" t="s">
        <v>437</v>
      </c>
      <c r="C723" t="s">
        <v>500</v>
      </c>
      <c r="D723" t="s">
        <v>413</v>
      </c>
      <c r="E723" t="s">
        <v>414</v>
      </c>
      <c r="F723" t="s">
        <v>424</v>
      </c>
      <c r="G723" t="s">
        <v>409</v>
      </c>
      <c r="H723">
        <v>23</v>
      </c>
      <c r="I723">
        <v>584</v>
      </c>
      <c r="J723">
        <v>1168</v>
      </c>
      <c r="K723">
        <v>13432</v>
      </c>
      <c r="L723">
        <v>26864</v>
      </c>
      <c r="M723">
        <v>13432</v>
      </c>
      <c r="N723" t="s">
        <v>410</v>
      </c>
    </row>
    <row r="724" spans="1:14" x14ac:dyDescent="0.3">
      <c r="A724" s="16">
        <v>45401</v>
      </c>
      <c r="B724" t="s">
        <v>449</v>
      </c>
      <c r="C724" t="s">
        <v>598</v>
      </c>
      <c r="D724" t="s">
        <v>418</v>
      </c>
      <c r="E724" t="s">
        <v>448</v>
      </c>
      <c r="F724" t="s">
        <v>445</v>
      </c>
      <c r="G724" t="s">
        <v>409</v>
      </c>
      <c r="H724">
        <v>74</v>
      </c>
      <c r="I724">
        <v>645</v>
      </c>
      <c r="J724">
        <v>879</v>
      </c>
      <c r="K724">
        <v>47730</v>
      </c>
      <c r="L724">
        <v>65046</v>
      </c>
      <c r="M724">
        <v>17316</v>
      </c>
      <c r="N724" t="s">
        <v>410</v>
      </c>
    </row>
    <row r="725" spans="1:14" x14ac:dyDescent="0.3">
      <c r="A725" s="16">
        <v>45625</v>
      </c>
      <c r="B725" t="s">
        <v>411</v>
      </c>
      <c r="C725" t="s">
        <v>651</v>
      </c>
      <c r="D725" t="s">
        <v>413</v>
      </c>
      <c r="E725" t="s">
        <v>444</v>
      </c>
      <c r="F725" t="s">
        <v>433</v>
      </c>
      <c r="G725" t="s">
        <v>409</v>
      </c>
      <c r="H725">
        <v>27</v>
      </c>
      <c r="I725">
        <v>573</v>
      </c>
      <c r="J725">
        <v>1266</v>
      </c>
      <c r="K725">
        <v>15471</v>
      </c>
      <c r="L725">
        <v>34182</v>
      </c>
      <c r="M725">
        <v>18711</v>
      </c>
      <c r="N725" t="s">
        <v>410</v>
      </c>
    </row>
    <row r="726" spans="1:14" x14ac:dyDescent="0.3">
      <c r="A726" s="16">
        <v>45413</v>
      </c>
      <c r="B726" t="s">
        <v>437</v>
      </c>
      <c r="C726" t="s">
        <v>760</v>
      </c>
      <c r="D726" t="s">
        <v>413</v>
      </c>
      <c r="E726" t="s">
        <v>414</v>
      </c>
      <c r="F726" t="s">
        <v>442</v>
      </c>
      <c r="G726" t="s">
        <v>409</v>
      </c>
      <c r="H726">
        <v>24</v>
      </c>
      <c r="I726">
        <v>833</v>
      </c>
      <c r="J726">
        <v>1280</v>
      </c>
      <c r="K726">
        <v>19992</v>
      </c>
      <c r="L726">
        <v>30720</v>
      </c>
      <c r="M726">
        <v>10728</v>
      </c>
      <c r="N726" t="s">
        <v>410</v>
      </c>
    </row>
    <row r="727" spans="1:14" x14ac:dyDescent="0.3">
      <c r="A727" s="16">
        <v>45533</v>
      </c>
      <c r="B727" t="s">
        <v>434</v>
      </c>
      <c r="C727" t="s">
        <v>699</v>
      </c>
      <c r="D727" t="s">
        <v>418</v>
      </c>
      <c r="E727" t="s">
        <v>453</v>
      </c>
      <c r="F727" t="s">
        <v>442</v>
      </c>
      <c r="G727" t="s">
        <v>409</v>
      </c>
      <c r="H727">
        <v>52</v>
      </c>
      <c r="I727">
        <v>576</v>
      </c>
      <c r="J727">
        <v>1419</v>
      </c>
      <c r="K727">
        <v>29952</v>
      </c>
      <c r="L727">
        <v>73788</v>
      </c>
      <c r="M727">
        <v>43836</v>
      </c>
      <c r="N727" t="s">
        <v>410</v>
      </c>
    </row>
    <row r="728" spans="1:14" x14ac:dyDescent="0.3">
      <c r="A728" s="16">
        <v>45408</v>
      </c>
      <c r="B728" t="s">
        <v>449</v>
      </c>
      <c r="C728" t="s">
        <v>527</v>
      </c>
      <c r="D728" t="s">
        <v>413</v>
      </c>
      <c r="E728" t="s">
        <v>414</v>
      </c>
      <c r="F728" t="s">
        <v>433</v>
      </c>
      <c r="G728" t="s">
        <v>409</v>
      </c>
      <c r="H728">
        <v>24</v>
      </c>
      <c r="I728">
        <v>826</v>
      </c>
      <c r="J728">
        <v>975</v>
      </c>
      <c r="K728">
        <v>19824</v>
      </c>
      <c r="L728">
        <v>23400</v>
      </c>
      <c r="M728">
        <v>3576</v>
      </c>
      <c r="N728" t="s">
        <v>410</v>
      </c>
    </row>
    <row r="729" spans="1:14" x14ac:dyDescent="0.3">
      <c r="A729" s="16">
        <v>45630</v>
      </c>
      <c r="B729" t="s">
        <v>416</v>
      </c>
      <c r="C729" t="s">
        <v>774</v>
      </c>
      <c r="D729" t="s">
        <v>413</v>
      </c>
      <c r="E729" t="s">
        <v>444</v>
      </c>
      <c r="F729" t="s">
        <v>433</v>
      </c>
      <c r="G729" t="s">
        <v>428</v>
      </c>
      <c r="H729">
        <v>22</v>
      </c>
      <c r="I729">
        <v>781</v>
      </c>
      <c r="J729">
        <v>1423</v>
      </c>
      <c r="K729">
        <v>17182</v>
      </c>
      <c r="L729">
        <v>31306</v>
      </c>
      <c r="M729">
        <v>14124</v>
      </c>
      <c r="N729" t="s">
        <v>410</v>
      </c>
    </row>
    <row r="730" spans="1:14" x14ac:dyDescent="0.3">
      <c r="A730" s="16">
        <v>45468</v>
      </c>
      <c r="B730" t="s">
        <v>404</v>
      </c>
      <c r="C730" t="s">
        <v>458</v>
      </c>
      <c r="D730" t="s">
        <v>418</v>
      </c>
      <c r="E730" t="s">
        <v>419</v>
      </c>
      <c r="F730" t="s">
        <v>436</v>
      </c>
      <c r="G730" t="s">
        <v>428</v>
      </c>
      <c r="H730">
        <v>59</v>
      </c>
      <c r="I730">
        <v>502</v>
      </c>
      <c r="J730">
        <v>1212</v>
      </c>
      <c r="K730">
        <v>29618</v>
      </c>
      <c r="L730">
        <v>71508</v>
      </c>
      <c r="M730">
        <v>41890</v>
      </c>
      <c r="N730" t="s">
        <v>410</v>
      </c>
    </row>
    <row r="731" spans="1:14" x14ac:dyDescent="0.3">
      <c r="A731" s="16">
        <v>45513</v>
      </c>
      <c r="B731" t="s">
        <v>434</v>
      </c>
      <c r="C731" t="s">
        <v>729</v>
      </c>
      <c r="D731" t="s">
        <v>406</v>
      </c>
      <c r="E731" t="s">
        <v>407</v>
      </c>
      <c r="F731" t="s">
        <v>433</v>
      </c>
      <c r="G731" t="s">
        <v>409</v>
      </c>
      <c r="H731">
        <v>12</v>
      </c>
      <c r="I731">
        <v>606</v>
      </c>
      <c r="J731">
        <v>1154</v>
      </c>
      <c r="K731">
        <v>7272</v>
      </c>
      <c r="L731">
        <v>13848</v>
      </c>
      <c r="M731">
        <v>6576</v>
      </c>
      <c r="N731" t="s">
        <v>410</v>
      </c>
    </row>
    <row r="732" spans="1:14" x14ac:dyDescent="0.3">
      <c r="A732" s="16">
        <v>45477</v>
      </c>
      <c r="B732" t="s">
        <v>482</v>
      </c>
      <c r="C732" t="s">
        <v>558</v>
      </c>
      <c r="D732" t="s">
        <v>406</v>
      </c>
      <c r="E732" t="s">
        <v>407</v>
      </c>
      <c r="F732" t="s">
        <v>451</v>
      </c>
      <c r="G732" t="s">
        <v>409</v>
      </c>
      <c r="H732">
        <v>12</v>
      </c>
      <c r="I732">
        <v>734</v>
      </c>
      <c r="J732">
        <v>1181</v>
      </c>
      <c r="K732">
        <v>8808</v>
      </c>
      <c r="L732">
        <v>14172</v>
      </c>
      <c r="M732">
        <v>5364</v>
      </c>
      <c r="N732" t="s">
        <v>410</v>
      </c>
    </row>
    <row r="733" spans="1:14" x14ac:dyDescent="0.3">
      <c r="A733" s="16">
        <v>45701</v>
      </c>
      <c r="B733" t="s">
        <v>459</v>
      </c>
      <c r="C733" t="s">
        <v>703</v>
      </c>
      <c r="D733" t="s">
        <v>418</v>
      </c>
      <c r="E733" t="s">
        <v>453</v>
      </c>
      <c r="F733" t="s">
        <v>433</v>
      </c>
      <c r="G733" t="s">
        <v>409</v>
      </c>
      <c r="H733">
        <v>50</v>
      </c>
      <c r="I733">
        <v>581</v>
      </c>
      <c r="J733">
        <v>1380</v>
      </c>
      <c r="K733">
        <v>29050</v>
      </c>
      <c r="L733">
        <v>69000</v>
      </c>
      <c r="M733">
        <v>39950</v>
      </c>
      <c r="N733" t="s">
        <v>410</v>
      </c>
    </row>
    <row r="734" spans="1:14" x14ac:dyDescent="0.3">
      <c r="A734" s="16">
        <v>45397</v>
      </c>
      <c r="B734" t="s">
        <v>449</v>
      </c>
      <c r="C734" t="s">
        <v>707</v>
      </c>
      <c r="D734" t="s">
        <v>418</v>
      </c>
      <c r="E734" t="s">
        <v>448</v>
      </c>
      <c r="F734" t="s">
        <v>451</v>
      </c>
      <c r="G734" t="s">
        <v>409</v>
      </c>
      <c r="H734">
        <v>68</v>
      </c>
      <c r="I734">
        <v>534</v>
      </c>
      <c r="J734">
        <v>1085</v>
      </c>
      <c r="K734">
        <v>36312</v>
      </c>
      <c r="L734">
        <v>73780</v>
      </c>
      <c r="M734">
        <v>37468</v>
      </c>
      <c r="N734" t="s">
        <v>410</v>
      </c>
    </row>
    <row r="735" spans="1:14" x14ac:dyDescent="0.3">
      <c r="A735" s="16">
        <v>45529</v>
      </c>
      <c r="B735" t="s">
        <v>434</v>
      </c>
      <c r="C735" t="s">
        <v>747</v>
      </c>
      <c r="D735" t="s">
        <v>418</v>
      </c>
      <c r="E735" t="s">
        <v>453</v>
      </c>
      <c r="F735" t="s">
        <v>465</v>
      </c>
      <c r="G735" t="s">
        <v>409</v>
      </c>
      <c r="H735">
        <v>73</v>
      </c>
      <c r="I735">
        <v>709</v>
      </c>
      <c r="J735">
        <v>1344</v>
      </c>
      <c r="K735">
        <v>51757</v>
      </c>
      <c r="L735">
        <v>98112</v>
      </c>
      <c r="M735">
        <v>46355</v>
      </c>
      <c r="N735" t="s">
        <v>410</v>
      </c>
    </row>
    <row r="736" spans="1:14" x14ac:dyDescent="0.3">
      <c r="A736" s="16">
        <v>45481</v>
      </c>
      <c r="B736" t="s">
        <v>482</v>
      </c>
      <c r="C736" t="s">
        <v>619</v>
      </c>
      <c r="D736" t="s">
        <v>406</v>
      </c>
      <c r="E736" t="s">
        <v>407</v>
      </c>
      <c r="F736" t="s">
        <v>445</v>
      </c>
      <c r="G736" t="s">
        <v>428</v>
      </c>
      <c r="H736">
        <v>17</v>
      </c>
      <c r="I736">
        <v>990</v>
      </c>
      <c r="J736">
        <v>1391</v>
      </c>
      <c r="K736">
        <v>16830</v>
      </c>
      <c r="L736">
        <v>23647</v>
      </c>
      <c r="M736">
        <v>6817</v>
      </c>
      <c r="N736" t="s">
        <v>410</v>
      </c>
    </row>
    <row r="737" spans="1:14" x14ac:dyDescent="0.3">
      <c r="A737" s="16">
        <v>45709</v>
      </c>
      <c r="B737" t="s">
        <v>459</v>
      </c>
      <c r="C737" t="s">
        <v>647</v>
      </c>
      <c r="D737" t="s">
        <v>418</v>
      </c>
      <c r="E737" t="s">
        <v>453</v>
      </c>
      <c r="F737" t="s">
        <v>566</v>
      </c>
      <c r="G737" t="s">
        <v>428</v>
      </c>
      <c r="H737">
        <v>76</v>
      </c>
      <c r="I737">
        <v>526</v>
      </c>
      <c r="J737">
        <v>1260</v>
      </c>
      <c r="K737">
        <v>39976</v>
      </c>
      <c r="L737">
        <v>95760</v>
      </c>
      <c r="M737">
        <v>55784</v>
      </c>
      <c r="N737" t="s">
        <v>410</v>
      </c>
    </row>
    <row r="738" spans="1:14" x14ac:dyDescent="0.3">
      <c r="A738" s="16">
        <v>45510</v>
      </c>
      <c r="B738" t="s">
        <v>434</v>
      </c>
      <c r="C738" t="s">
        <v>673</v>
      </c>
      <c r="D738" t="s">
        <v>406</v>
      </c>
      <c r="E738" t="s">
        <v>407</v>
      </c>
      <c r="F738" t="s">
        <v>451</v>
      </c>
      <c r="G738" t="s">
        <v>409</v>
      </c>
      <c r="H738">
        <v>10</v>
      </c>
      <c r="I738">
        <v>844</v>
      </c>
      <c r="J738">
        <v>865</v>
      </c>
      <c r="K738">
        <v>8440</v>
      </c>
      <c r="L738">
        <v>8650</v>
      </c>
      <c r="M738">
        <v>210</v>
      </c>
      <c r="N738" t="s">
        <v>410</v>
      </c>
    </row>
    <row r="739" spans="1:14" x14ac:dyDescent="0.3">
      <c r="A739" s="16">
        <v>45650</v>
      </c>
      <c r="B739" t="s">
        <v>416</v>
      </c>
      <c r="C739" t="s">
        <v>732</v>
      </c>
      <c r="D739" t="s">
        <v>418</v>
      </c>
      <c r="E739" t="s">
        <v>419</v>
      </c>
      <c r="F739" t="s">
        <v>566</v>
      </c>
      <c r="G739" t="s">
        <v>409</v>
      </c>
      <c r="H739">
        <v>58</v>
      </c>
      <c r="I739">
        <v>924</v>
      </c>
      <c r="J739">
        <v>990</v>
      </c>
      <c r="K739">
        <v>53592</v>
      </c>
      <c r="L739">
        <v>57420</v>
      </c>
      <c r="M739">
        <v>3828</v>
      </c>
      <c r="N739" t="s">
        <v>410</v>
      </c>
    </row>
    <row r="740" spans="1:14" x14ac:dyDescent="0.3">
      <c r="A740" s="16">
        <v>45592</v>
      </c>
      <c r="B740" t="s">
        <v>422</v>
      </c>
      <c r="C740" t="s">
        <v>726</v>
      </c>
      <c r="D740" t="s">
        <v>418</v>
      </c>
      <c r="E740" t="s">
        <v>441</v>
      </c>
      <c r="F740" t="s">
        <v>420</v>
      </c>
      <c r="G740" t="s">
        <v>428</v>
      </c>
      <c r="H740">
        <v>69</v>
      </c>
      <c r="I740">
        <v>921</v>
      </c>
      <c r="J740">
        <v>1177</v>
      </c>
      <c r="K740">
        <v>63549</v>
      </c>
      <c r="L740">
        <v>81213</v>
      </c>
      <c r="M740">
        <v>17664</v>
      </c>
      <c r="N740" t="s">
        <v>410</v>
      </c>
    </row>
    <row r="741" spans="1:14" x14ac:dyDescent="0.3">
      <c r="A741" s="16">
        <v>45647</v>
      </c>
      <c r="B741" t="s">
        <v>416</v>
      </c>
      <c r="C741" t="s">
        <v>538</v>
      </c>
      <c r="D741" t="s">
        <v>418</v>
      </c>
      <c r="E741" t="s">
        <v>453</v>
      </c>
      <c r="F741" t="s">
        <v>465</v>
      </c>
      <c r="G741" t="s">
        <v>409</v>
      </c>
      <c r="H741">
        <v>96</v>
      </c>
      <c r="I741">
        <v>715</v>
      </c>
      <c r="J741">
        <v>1171</v>
      </c>
      <c r="K741">
        <v>68640</v>
      </c>
      <c r="L741">
        <v>112416</v>
      </c>
      <c r="M741">
        <v>43776</v>
      </c>
      <c r="N741" t="s">
        <v>410</v>
      </c>
    </row>
    <row r="742" spans="1:14" x14ac:dyDescent="0.3">
      <c r="A742" s="16">
        <v>45446</v>
      </c>
      <c r="B742" t="s">
        <v>404</v>
      </c>
      <c r="C742" t="s">
        <v>770</v>
      </c>
      <c r="D742" t="s">
        <v>418</v>
      </c>
      <c r="E742" t="s">
        <v>419</v>
      </c>
      <c r="F742" t="s">
        <v>426</v>
      </c>
      <c r="G742" t="s">
        <v>428</v>
      </c>
      <c r="H742">
        <v>71</v>
      </c>
      <c r="I742">
        <v>869</v>
      </c>
      <c r="J742">
        <v>753</v>
      </c>
      <c r="K742">
        <v>61699</v>
      </c>
      <c r="L742">
        <v>53463</v>
      </c>
      <c r="M742">
        <v>-8236</v>
      </c>
      <c r="N742" t="s">
        <v>421</v>
      </c>
    </row>
    <row r="743" spans="1:14" x14ac:dyDescent="0.3">
      <c r="A743" s="16">
        <v>45415</v>
      </c>
      <c r="B743" t="s">
        <v>437</v>
      </c>
      <c r="C743" t="s">
        <v>438</v>
      </c>
      <c r="D743" t="s">
        <v>413</v>
      </c>
      <c r="E743" t="s">
        <v>414</v>
      </c>
      <c r="F743" t="s">
        <v>439</v>
      </c>
      <c r="G743" t="s">
        <v>428</v>
      </c>
      <c r="H743">
        <v>23</v>
      </c>
      <c r="I743">
        <v>667</v>
      </c>
      <c r="J743">
        <v>962</v>
      </c>
      <c r="K743">
        <v>15341</v>
      </c>
      <c r="L743">
        <v>22126</v>
      </c>
      <c r="M743">
        <v>6785</v>
      </c>
      <c r="N743" t="s">
        <v>410</v>
      </c>
    </row>
    <row r="744" spans="1:14" x14ac:dyDescent="0.3">
      <c r="A744" s="16">
        <v>45459</v>
      </c>
      <c r="B744" t="s">
        <v>404</v>
      </c>
      <c r="C744" t="s">
        <v>694</v>
      </c>
      <c r="D744" t="s">
        <v>406</v>
      </c>
      <c r="E744" t="s">
        <v>470</v>
      </c>
      <c r="F744" t="s">
        <v>532</v>
      </c>
      <c r="G744" t="s">
        <v>428</v>
      </c>
      <c r="H744">
        <v>12</v>
      </c>
      <c r="I744">
        <v>997</v>
      </c>
      <c r="J744">
        <v>1445</v>
      </c>
      <c r="K744">
        <v>11964</v>
      </c>
      <c r="L744">
        <v>17340</v>
      </c>
      <c r="M744">
        <v>5376</v>
      </c>
      <c r="N744" t="s">
        <v>410</v>
      </c>
    </row>
    <row r="745" spans="1:14" x14ac:dyDescent="0.3">
      <c r="A745" s="16">
        <v>45569</v>
      </c>
      <c r="B745" t="s">
        <v>422</v>
      </c>
      <c r="C745" t="s">
        <v>755</v>
      </c>
      <c r="D745" t="s">
        <v>418</v>
      </c>
      <c r="E745" t="s">
        <v>453</v>
      </c>
      <c r="F745" t="s">
        <v>465</v>
      </c>
      <c r="G745" t="s">
        <v>409</v>
      </c>
      <c r="H745">
        <v>93</v>
      </c>
      <c r="I745">
        <v>660</v>
      </c>
      <c r="J745">
        <v>880</v>
      </c>
      <c r="K745">
        <v>61380</v>
      </c>
      <c r="L745">
        <v>81840</v>
      </c>
      <c r="M745">
        <v>20460</v>
      </c>
      <c r="N745" t="s">
        <v>410</v>
      </c>
    </row>
    <row r="746" spans="1:14" x14ac:dyDescent="0.3">
      <c r="A746" s="16">
        <v>45507</v>
      </c>
      <c r="B746" t="s">
        <v>434</v>
      </c>
      <c r="C746" t="s">
        <v>628</v>
      </c>
      <c r="D746" t="s">
        <v>418</v>
      </c>
      <c r="E746" t="s">
        <v>419</v>
      </c>
      <c r="F746" t="s">
        <v>478</v>
      </c>
      <c r="G746" t="s">
        <v>428</v>
      </c>
      <c r="H746">
        <v>60</v>
      </c>
      <c r="I746">
        <v>642</v>
      </c>
      <c r="J746">
        <v>1497</v>
      </c>
      <c r="K746">
        <v>38520</v>
      </c>
      <c r="L746">
        <v>89820</v>
      </c>
      <c r="M746">
        <v>51300</v>
      </c>
      <c r="N746" t="s">
        <v>410</v>
      </c>
    </row>
    <row r="747" spans="1:14" x14ac:dyDescent="0.3">
      <c r="A747" s="16">
        <v>45706</v>
      </c>
      <c r="B747" t="s">
        <v>459</v>
      </c>
      <c r="C747" t="s">
        <v>668</v>
      </c>
      <c r="D747" t="s">
        <v>418</v>
      </c>
      <c r="E747" t="s">
        <v>453</v>
      </c>
      <c r="F747" t="s">
        <v>465</v>
      </c>
      <c r="G747" t="s">
        <v>428</v>
      </c>
      <c r="H747">
        <v>51</v>
      </c>
      <c r="I747">
        <v>608</v>
      </c>
      <c r="J747">
        <v>1179</v>
      </c>
      <c r="K747">
        <v>31008</v>
      </c>
      <c r="L747">
        <v>60129</v>
      </c>
      <c r="M747">
        <v>29121</v>
      </c>
      <c r="N747" t="s">
        <v>410</v>
      </c>
    </row>
    <row r="748" spans="1:14" x14ac:dyDescent="0.3">
      <c r="A748" s="16">
        <v>45687</v>
      </c>
      <c r="B748" t="s">
        <v>462</v>
      </c>
      <c r="C748" t="s">
        <v>769</v>
      </c>
      <c r="D748" t="s">
        <v>406</v>
      </c>
      <c r="E748" t="s">
        <v>407</v>
      </c>
      <c r="F748" t="s">
        <v>465</v>
      </c>
      <c r="G748" t="s">
        <v>428</v>
      </c>
      <c r="H748">
        <v>10</v>
      </c>
      <c r="I748">
        <v>911</v>
      </c>
      <c r="J748">
        <v>1097</v>
      </c>
      <c r="K748">
        <v>9110</v>
      </c>
      <c r="L748">
        <v>10970</v>
      </c>
      <c r="M748">
        <v>1860</v>
      </c>
      <c r="N748" t="s">
        <v>410</v>
      </c>
    </row>
    <row r="749" spans="1:14" x14ac:dyDescent="0.3">
      <c r="A749" s="16">
        <v>45581</v>
      </c>
      <c r="B749" t="s">
        <v>422</v>
      </c>
      <c r="C749" t="s">
        <v>735</v>
      </c>
      <c r="D749" t="s">
        <v>406</v>
      </c>
      <c r="E749" t="s">
        <v>407</v>
      </c>
      <c r="F749" t="s">
        <v>424</v>
      </c>
      <c r="G749" t="s">
        <v>428</v>
      </c>
      <c r="H749">
        <v>17</v>
      </c>
      <c r="I749">
        <v>739</v>
      </c>
      <c r="J749">
        <v>826</v>
      </c>
      <c r="K749">
        <v>12563</v>
      </c>
      <c r="L749">
        <v>14042</v>
      </c>
      <c r="M749">
        <v>1479</v>
      </c>
      <c r="N749" t="s">
        <v>410</v>
      </c>
    </row>
    <row r="750" spans="1:14" x14ac:dyDescent="0.3">
      <c r="A750" s="16">
        <v>45681</v>
      </c>
      <c r="B750" t="s">
        <v>462</v>
      </c>
      <c r="C750" t="s">
        <v>666</v>
      </c>
      <c r="D750" t="s">
        <v>406</v>
      </c>
      <c r="E750" t="s">
        <v>407</v>
      </c>
      <c r="F750" t="s">
        <v>424</v>
      </c>
      <c r="G750" t="s">
        <v>409</v>
      </c>
      <c r="H750">
        <v>19</v>
      </c>
      <c r="I750">
        <v>763</v>
      </c>
      <c r="J750">
        <v>1036</v>
      </c>
      <c r="K750">
        <v>14497</v>
      </c>
      <c r="L750">
        <v>19684</v>
      </c>
      <c r="M750">
        <v>5187</v>
      </c>
      <c r="N750" t="s">
        <v>410</v>
      </c>
    </row>
    <row r="751" spans="1:14" x14ac:dyDescent="0.3">
      <c r="A751" s="16">
        <v>45604</v>
      </c>
      <c r="B751" t="s">
        <v>411</v>
      </c>
      <c r="C751" t="s">
        <v>711</v>
      </c>
      <c r="D751" t="s">
        <v>418</v>
      </c>
      <c r="E751" t="s">
        <v>448</v>
      </c>
      <c r="F751" t="s">
        <v>478</v>
      </c>
      <c r="G751" t="s">
        <v>409</v>
      </c>
      <c r="H751">
        <v>74</v>
      </c>
      <c r="I751">
        <v>743</v>
      </c>
      <c r="J751">
        <v>974</v>
      </c>
      <c r="K751">
        <v>54982</v>
      </c>
      <c r="L751">
        <v>72076</v>
      </c>
      <c r="M751">
        <v>17094</v>
      </c>
      <c r="N751" t="s">
        <v>410</v>
      </c>
    </row>
    <row r="752" spans="1:14" x14ac:dyDescent="0.3">
      <c r="A752" s="16">
        <v>45712</v>
      </c>
      <c r="B752" t="s">
        <v>459</v>
      </c>
      <c r="C752" t="s">
        <v>687</v>
      </c>
      <c r="D752" t="s">
        <v>418</v>
      </c>
      <c r="E752" t="s">
        <v>419</v>
      </c>
      <c r="F752" t="s">
        <v>439</v>
      </c>
      <c r="G752" t="s">
        <v>428</v>
      </c>
      <c r="H752">
        <v>77</v>
      </c>
      <c r="I752">
        <v>595</v>
      </c>
      <c r="J752">
        <v>1470</v>
      </c>
      <c r="K752">
        <v>45815</v>
      </c>
      <c r="L752">
        <v>113190</v>
      </c>
      <c r="M752">
        <v>67375</v>
      </c>
      <c r="N752" t="s">
        <v>410</v>
      </c>
    </row>
    <row r="753" spans="1:14" x14ac:dyDescent="0.3">
      <c r="A753" s="16">
        <v>45622</v>
      </c>
      <c r="B753" t="s">
        <v>411</v>
      </c>
      <c r="C753" t="s">
        <v>412</v>
      </c>
      <c r="D753" t="s">
        <v>413</v>
      </c>
      <c r="E753" t="s">
        <v>414</v>
      </c>
      <c r="F753" t="s">
        <v>415</v>
      </c>
      <c r="G753" t="s">
        <v>409</v>
      </c>
      <c r="H753">
        <v>22</v>
      </c>
      <c r="I753">
        <v>524</v>
      </c>
      <c r="J753">
        <v>1147</v>
      </c>
      <c r="K753">
        <v>11528</v>
      </c>
      <c r="L753">
        <v>25234</v>
      </c>
      <c r="M753">
        <v>13706</v>
      </c>
      <c r="N753" t="s">
        <v>410</v>
      </c>
    </row>
    <row r="754" spans="1:14" x14ac:dyDescent="0.3">
      <c r="A754" s="16">
        <v>45666</v>
      </c>
      <c r="B754" t="s">
        <v>462</v>
      </c>
      <c r="C754" t="s">
        <v>625</v>
      </c>
      <c r="D754" t="s">
        <v>418</v>
      </c>
      <c r="E754" t="s">
        <v>453</v>
      </c>
      <c r="F754" t="s">
        <v>408</v>
      </c>
      <c r="G754" t="s">
        <v>428</v>
      </c>
      <c r="H754">
        <v>62</v>
      </c>
      <c r="I754">
        <v>800</v>
      </c>
      <c r="J754">
        <v>882</v>
      </c>
      <c r="K754">
        <v>49600</v>
      </c>
      <c r="L754">
        <v>54684</v>
      </c>
      <c r="M754">
        <v>5084</v>
      </c>
      <c r="N754" t="s">
        <v>410</v>
      </c>
    </row>
    <row r="755" spans="1:14" x14ac:dyDescent="0.3">
      <c r="A755" s="16">
        <v>45410</v>
      </c>
      <c r="B755" t="s">
        <v>449</v>
      </c>
      <c r="C755" t="s">
        <v>674</v>
      </c>
      <c r="D755" t="s">
        <v>413</v>
      </c>
      <c r="E755" t="s">
        <v>414</v>
      </c>
      <c r="F755" t="s">
        <v>420</v>
      </c>
      <c r="G755" t="s">
        <v>409</v>
      </c>
      <c r="H755">
        <v>23</v>
      </c>
      <c r="I755">
        <v>649</v>
      </c>
      <c r="J755">
        <v>1210</v>
      </c>
      <c r="K755">
        <v>14927</v>
      </c>
      <c r="L755">
        <v>27830</v>
      </c>
      <c r="M755">
        <v>12903</v>
      </c>
      <c r="N755" t="s">
        <v>410</v>
      </c>
    </row>
    <row r="756" spans="1:14" x14ac:dyDescent="0.3">
      <c r="A756" s="16">
        <v>45424</v>
      </c>
      <c r="B756" t="s">
        <v>437</v>
      </c>
      <c r="C756" t="s">
        <v>474</v>
      </c>
      <c r="D756" t="s">
        <v>413</v>
      </c>
      <c r="E756" t="s">
        <v>444</v>
      </c>
      <c r="F756" t="s">
        <v>451</v>
      </c>
      <c r="G756" t="s">
        <v>409</v>
      </c>
      <c r="H756">
        <v>24</v>
      </c>
      <c r="I756">
        <v>730</v>
      </c>
      <c r="J756">
        <v>886</v>
      </c>
      <c r="K756">
        <v>17520</v>
      </c>
      <c r="L756">
        <v>21264</v>
      </c>
      <c r="M756">
        <v>3744</v>
      </c>
      <c r="N756" t="s">
        <v>410</v>
      </c>
    </row>
    <row r="757" spans="1:14" x14ac:dyDescent="0.3">
      <c r="A757" s="16">
        <v>45514</v>
      </c>
      <c r="B757" t="s">
        <v>434</v>
      </c>
      <c r="C757" t="s">
        <v>743</v>
      </c>
      <c r="D757" t="s">
        <v>406</v>
      </c>
      <c r="E757" t="s">
        <v>407</v>
      </c>
      <c r="F757" t="s">
        <v>433</v>
      </c>
      <c r="G757" t="s">
        <v>409</v>
      </c>
      <c r="H757">
        <v>19</v>
      </c>
      <c r="I757">
        <v>744</v>
      </c>
      <c r="J757">
        <v>1433</v>
      </c>
      <c r="K757">
        <v>14136</v>
      </c>
      <c r="L757">
        <v>27227</v>
      </c>
      <c r="M757">
        <v>13091</v>
      </c>
      <c r="N757" t="s">
        <v>410</v>
      </c>
    </row>
    <row r="758" spans="1:14" x14ac:dyDescent="0.3">
      <c r="A758" s="16">
        <v>45628</v>
      </c>
      <c r="B758" t="s">
        <v>416</v>
      </c>
      <c r="C758" t="s">
        <v>554</v>
      </c>
      <c r="D758" t="s">
        <v>413</v>
      </c>
      <c r="E758" t="s">
        <v>444</v>
      </c>
      <c r="F758" t="s">
        <v>426</v>
      </c>
      <c r="G758" t="s">
        <v>409</v>
      </c>
      <c r="H758">
        <v>20</v>
      </c>
      <c r="I758">
        <v>897</v>
      </c>
      <c r="J758">
        <v>1024</v>
      </c>
      <c r="K758">
        <v>17940</v>
      </c>
      <c r="L758">
        <v>20480</v>
      </c>
      <c r="M758">
        <v>2540</v>
      </c>
      <c r="N758" t="s">
        <v>410</v>
      </c>
    </row>
    <row r="759" spans="1:14" x14ac:dyDescent="0.3">
      <c r="A759" s="16">
        <v>45519</v>
      </c>
      <c r="B759" t="s">
        <v>434</v>
      </c>
      <c r="C759" t="s">
        <v>753</v>
      </c>
      <c r="D759" t="s">
        <v>413</v>
      </c>
      <c r="E759" t="s">
        <v>444</v>
      </c>
      <c r="F759" t="s">
        <v>532</v>
      </c>
      <c r="G759" t="s">
        <v>409</v>
      </c>
      <c r="H759">
        <v>20</v>
      </c>
      <c r="I759">
        <v>751</v>
      </c>
      <c r="J759">
        <v>861</v>
      </c>
      <c r="K759">
        <v>15020</v>
      </c>
      <c r="L759">
        <v>17220</v>
      </c>
      <c r="M759">
        <v>2200</v>
      </c>
      <c r="N759" t="s">
        <v>410</v>
      </c>
    </row>
    <row r="760" spans="1:14" x14ac:dyDescent="0.3">
      <c r="A760" s="16">
        <v>45475</v>
      </c>
      <c r="B760" t="s">
        <v>482</v>
      </c>
      <c r="C760" t="s">
        <v>775</v>
      </c>
      <c r="D760" t="s">
        <v>406</v>
      </c>
      <c r="E760" t="s">
        <v>407</v>
      </c>
      <c r="F760" t="s">
        <v>451</v>
      </c>
      <c r="G760" t="s">
        <v>409</v>
      </c>
      <c r="H760">
        <v>19</v>
      </c>
      <c r="I760">
        <v>860</v>
      </c>
      <c r="J760">
        <v>1234</v>
      </c>
      <c r="K760">
        <v>16340</v>
      </c>
      <c r="L760">
        <v>23446</v>
      </c>
      <c r="M760">
        <v>7106</v>
      </c>
      <c r="N760" t="s">
        <v>410</v>
      </c>
    </row>
    <row r="761" spans="1:14" x14ac:dyDescent="0.3">
      <c r="A761" s="16">
        <v>45545</v>
      </c>
      <c r="B761" t="s">
        <v>431</v>
      </c>
      <c r="C761" t="s">
        <v>626</v>
      </c>
      <c r="D761" t="s">
        <v>406</v>
      </c>
      <c r="E761" t="s">
        <v>407</v>
      </c>
      <c r="F761" t="s">
        <v>424</v>
      </c>
      <c r="G761" t="s">
        <v>428</v>
      </c>
      <c r="H761">
        <v>13</v>
      </c>
      <c r="I761">
        <v>523</v>
      </c>
      <c r="J761">
        <v>1326</v>
      </c>
      <c r="K761">
        <v>6799</v>
      </c>
      <c r="L761">
        <v>17238</v>
      </c>
      <c r="M761">
        <v>10439</v>
      </c>
      <c r="N761" t="s">
        <v>410</v>
      </c>
    </row>
    <row r="762" spans="1:14" x14ac:dyDescent="0.3">
      <c r="A762" s="16">
        <v>45556</v>
      </c>
      <c r="B762" t="s">
        <v>431</v>
      </c>
      <c r="C762" t="s">
        <v>752</v>
      </c>
      <c r="D762" t="s">
        <v>418</v>
      </c>
      <c r="E762" t="s">
        <v>419</v>
      </c>
      <c r="F762" t="s">
        <v>532</v>
      </c>
      <c r="G762" t="s">
        <v>428</v>
      </c>
      <c r="H762">
        <v>89</v>
      </c>
      <c r="I762">
        <v>990</v>
      </c>
      <c r="J762">
        <v>1047</v>
      </c>
      <c r="K762">
        <v>88110</v>
      </c>
      <c r="L762">
        <v>93183</v>
      </c>
      <c r="M762">
        <v>5073</v>
      </c>
      <c r="N762" t="s">
        <v>410</v>
      </c>
    </row>
    <row r="763" spans="1:14" x14ac:dyDescent="0.3">
      <c r="A763" s="16">
        <v>45554</v>
      </c>
      <c r="B763" t="s">
        <v>431</v>
      </c>
      <c r="C763" t="s">
        <v>765</v>
      </c>
      <c r="D763" t="s">
        <v>406</v>
      </c>
      <c r="E763" t="s">
        <v>407</v>
      </c>
      <c r="F763" t="s">
        <v>433</v>
      </c>
      <c r="G763" t="s">
        <v>428</v>
      </c>
      <c r="H763">
        <v>14</v>
      </c>
      <c r="I763">
        <v>515</v>
      </c>
      <c r="J763">
        <v>1230</v>
      </c>
      <c r="K763">
        <v>7210</v>
      </c>
      <c r="L763">
        <v>17220</v>
      </c>
      <c r="M763">
        <v>10010</v>
      </c>
      <c r="N763" t="s">
        <v>410</v>
      </c>
    </row>
    <row r="764" spans="1:14" x14ac:dyDescent="0.3">
      <c r="A764" s="16">
        <v>45573</v>
      </c>
      <c r="B764" t="s">
        <v>422</v>
      </c>
      <c r="C764" t="s">
        <v>764</v>
      </c>
      <c r="D764" t="s">
        <v>418</v>
      </c>
      <c r="E764" t="s">
        <v>453</v>
      </c>
      <c r="F764" t="s">
        <v>442</v>
      </c>
      <c r="G764" t="s">
        <v>409</v>
      </c>
      <c r="H764">
        <v>83</v>
      </c>
      <c r="I764">
        <v>709</v>
      </c>
      <c r="J764">
        <v>1206</v>
      </c>
      <c r="K764">
        <v>58847</v>
      </c>
      <c r="L764">
        <v>100098</v>
      </c>
      <c r="M764">
        <v>41251</v>
      </c>
      <c r="N764" t="s">
        <v>410</v>
      </c>
    </row>
    <row r="765" spans="1:14" x14ac:dyDescent="0.3">
      <c r="A765" s="16">
        <v>45664</v>
      </c>
      <c r="B765" t="s">
        <v>462</v>
      </c>
      <c r="C765" t="s">
        <v>776</v>
      </c>
      <c r="D765" t="s">
        <v>406</v>
      </c>
      <c r="E765" t="s">
        <v>470</v>
      </c>
      <c r="F765" t="s">
        <v>504</v>
      </c>
      <c r="G765" t="s">
        <v>409</v>
      </c>
      <c r="H765">
        <v>11</v>
      </c>
      <c r="I765">
        <v>668</v>
      </c>
      <c r="J765">
        <v>1096</v>
      </c>
      <c r="K765">
        <v>7348</v>
      </c>
      <c r="L765">
        <v>12056</v>
      </c>
      <c r="M765">
        <v>4708</v>
      </c>
      <c r="N765" t="s">
        <v>410</v>
      </c>
    </row>
    <row r="766" spans="1:14" x14ac:dyDescent="0.3">
      <c r="A766" s="16">
        <v>45596</v>
      </c>
      <c r="B766" t="s">
        <v>422</v>
      </c>
      <c r="C766" t="s">
        <v>777</v>
      </c>
      <c r="D766" t="s">
        <v>413</v>
      </c>
      <c r="E766" t="s">
        <v>430</v>
      </c>
      <c r="F766" t="s">
        <v>510</v>
      </c>
      <c r="G766" t="s">
        <v>428</v>
      </c>
      <c r="H766">
        <v>29</v>
      </c>
      <c r="I766">
        <v>895</v>
      </c>
      <c r="J766">
        <v>882</v>
      </c>
      <c r="K766">
        <v>25955</v>
      </c>
      <c r="L766">
        <v>25578</v>
      </c>
      <c r="M766">
        <v>-377</v>
      </c>
      <c r="N766" t="s">
        <v>421</v>
      </c>
    </row>
    <row r="767" spans="1:14" x14ac:dyDescent="0.3">
      <c r="A767" s="16">
        <v>45425</v>
      </c>
      <c r="B767" t="s">
        <v>437</v>
      </c>
      <c r="C767" t="s">
        <v>616</v>
      </c>
      <c r="D767" t="s">
        <v>413</v>
      </c>
      <c r="E767" t="s">
        <v>444</v>
      </c>
      <c r="F767" t="s">
        <v>424</v>
      </c>
      <c r="G767" t="s">
        <v>409</v>
      </c>
      <c r="H767">
        <v>30</v>
      </c>
      <c r="I767">
        <v>738</v>
      </c>
      <c r="J767">
        <v>1216</v>
      </c>
      <c r="K767">
        <v>22140</v>
      </c>
      <c r="L767">
        <v>36480</v>
      </c>
      <c r="M767">
        <v>14340</v>
      </c>
      <c r="N767" t="s">
        <v>410</v>
      </c>
    </row>
    <row r="768" spans="1:14" x14ac:dyDescent="0.3">
      <c r="A768" s="16">
        <v>45549</v>
      </c>
      <c r="B768" t="s">
        <v>431</v>
      </c>
      <c r="C768" t="s">
        <v>549</v>
      </c>
      <c r="D768" t="s">
        <v>406</v>
      </c>
      <c r="E768" t="s">
        <v>407</v>
      </c>
      <c r="F768" t="s">
        <v>408</v>
      </c>
      <c r="G768" t="s">
        <v>409</v>
      </c>
      <c r="H768">
        <v>19</v>
      </c>
      <c r="I768">
        <v>938</v>
      </c>
      <c r="J768">
        <v>1348</v>
      </c>
      <c r="K768">
        <v>17822</v>
      </c>
      <c r="L768">
        <v>25612</v>
      </c>
      <c r="M768">
        <v>7790</v>
      </c>
      <c r="N768" t="s">
        <v>410</v>
      </c>
    </row>
    <row r="769" spans="1:14" x14ac:dyDescent="0.3">
      <c r="A769" s="16">
        <v>45498</v>
      </c>
      <c r="B769" t="s">
        <v>482</v>
      </c>
      <c r="C769" t="s">
        <v>762</v>
      </c>
      <c r="D769" t="s">
        <v>418</v>
      </c>
      <c r="E769" t="s">
        <v>453</v>
      </c>
      <c r="F769" t="s">
        <v>424</v>
      </c>
      <c r="G769" t="s">
        <v>409</v>
      </c>
      <c r="H769">
        <v>100</v>
      </c>
      <c r="I769">
        <v>605</v>
      </c>
      <c r="J769">
        <v>1249</v>
      </c>
      <c r="K769">
        <v>60500</v>
      </c>
      <c r="L769">
        <v>124900</v>
      </c>
      <c r="M769">
        <v>64400</v>
      </c>
      <c r="N769" t="s">
        <v>410</v>
      </c>
    </row>
    <row r="770" spans="1:14" x14ac:dyDescent="0.3">
      <c r="A770" s="16">
        <v>45581</v>
      </c>
      <c r="B770" t="s">
        <v>422</v>
      </c>
      <c r="C770" t="s">
        <v>735</v>
      </c>
      <c r="D770" t="s">
        <v>406</v>
      </c>
      <c r="E770" t="s">
        <v>407</v>
      </c>
      <c r="F770" t="s">
        <v>424</v>
      </c>
      <c r="G770" t="s">
        <v>428</v>
      </c>
      <c r="H770">
        <v>16</v>
      </c>
      <c r="I770">
        <v>935</v>
      </c>
      <c r="J770">
        <v>980</v>
      </c>
      <c r="K770">
        <v>14960</v>
      </c>
      <c r="L770">
        <v>15680</v>
      </c>
      <c r="M770">
        <v>720</v>
      </c>
      <c r="N770" t="s">
        <v>410</v>
      </c>
    </row>
    <row r="771" spans="1:14" x14ac:dyDescent="0.3">
      <c r="A771" s="16">
        <v>45492</v>
      </c>
      <c r="B771" t="s">
        <v>482</v>
      </c>
      <c r="C771" t="s">
        <v>565</v>
      </c>
      <c r="D771" t="s">
        <v>413</v>
      </c>
      <c r="E771" t="s">
        <v>444</v>
      </c>
      <c r="F771" t="s">
        <v>566</v>
      </c>
      <c r="G771" t="s">
        <v>409</v>
      </c>
      <c r="H771">
        <v>26</v>
      </c>
      <c r="I771">
        <v>969</v>
      </c>
      <c r="J771">
        <v>1087</v>
      </c>
      <c r="K771">
        <v>25194</v>
      </c>
      <c r="L771">
        <v>28262</v>
      </c>
      <c r="M771">
        <v>3068</v>
      </c>
      <c r="N771" t="s">
        <v>410</v>
      </c>
    </row>
    <row r="772" spans="1:14" x14ac:dyDescent="0.3">
      <c r="A772" s="16">
        <v>45522</v>
      </c>
      <c r="B772" t="s">
        <v>434</v>
      </c>
      <c r="C772" t="s">
        <v>484</v>
      </c>
      <c r="D772" t="s">
        <v>413</v>
      </c>
      <c r="E772" t="s">
        <v>444</v>
      </c>
      <c r="F772" t="s">
        <v>408</v>
      </c>
      <c r="G772" t="s">
        <v>428</v>
      </c>
      <c r="H772">
        <v>22</v>
      </c>
      <c r="I772">
        <v>806</v>
      </c>
      <c r="J772">
        <v>1391</v>
      </c>
      <c r="K772">
        <v>17732</v>
      </c>
      <c r="L772">
        <v>30602</v>
      </c>
      <c r="M772">
        <v>12870</v>
      </c>
      <c r="N772" t="s">
        <v>410</v>
      </c>
    </row>
    <row r="773" spans="1:14" x14ac:dyDescent="0.3">
      <c r="A773" s="16">
        <v>45384</v>
      </c>
      <c r="B773" t="s">
        <v>449</v>
      </c>
      <c r="C773" t="s">
        <v>498</v>
      </c>
      <c r="D773" t="s">
        <v>413</v>
      </c>
      <c r="E773" t="s">
        <v>494</v>
      </c>
      <c r="F773" t="s">
        <v>451</v>
      </c>
      <c r="G773" t="s">
        <v>428</v>
      </c>
      <c r="H773">
        <v>25</v>
      </c>
      <c r="I773">
        <v>952</v>
      </c>
      <c r="J773">
        <v>1261</v>
      </c>
      <c r="K773">
        <v>23800</v>
      </c>
      <c r="L773">
        <v>31525</v>
      </c>
      <c r="M773">
        <v>7725</v>
      </c>
      <c r="N773" t="s">
        <v>410</v>
      </c>
    </row>
    <row r="774" spans="1:14" x14ac:dyDescent="0.3">
      <c r="A774" s="16">
        <v>45647</v>
      </c>
      <c r="B774" t="s">
        <v>416</v>
      </c>
      <c r="C774" t="s">
        <v>538</v>
      </c>
      <c r="D774" t="s">
        <v>418</v>
      </c>
      <c r="E774" t="s">
        <v>453</v>
      </c>
      <c r="F774" t="s">
        <v>465</v>
      </c>
      <c r="G774" t="s">
        <v>409</v>
      </c>
      <c r="H774">
        <v>74</v>
      </c>
      <c r="I774">
        <v>734</v>
      </c>
      <c r="J774">
        <v>886</v>
      </c>
      <c r="K774">
        <v>54316</v>
      </c>
      <c r="L774">
        <v>65564</v>
      </c>
      <c r="M774">
        <v>11248</v>
      </c>
      <c r="N774" t="s">
        <v>410</v>
      </c>
    </row>
    <row r="775" spans="1:14" x14ac:dyDescent="0.3">
      <c r="A775" s="16">
        <v>45463</v>
      </c>
      <c r="B775" t="s">
        <v>404</v>
      </c>
      <c r="C775" t="s">
        <v>691</v>
      </c>
      <c r="D775" t="s">
        <v>418</v>
      </c>
      <c r="E775" t="s">
        <v>453</v>
      </c>
      <c r="F775" t="s">
        <v>542</v>
      </c>
      <c r="G775" t="s">
        <v>428</v>
      </c>
      <c r="H775">
        <v>85</v>
      </c>
      <c r="I775">
        <v>639</v>
      </c>
      <c r="J775">
        <v>1447</v>
      </c>
      <c r="K775">
        <v>54315</v>
      </c>
      <c r="L775">
        <v>122995</v>
      </c>
      <c r="M775">
        <v>68680</v>
      </c>
      <c r="N775" t="s">
        <v>410</v>
      </c>
    </row>
    <row r="776" spans="1:14" x14ac:dyDescent="0.3">
      <c r="A776" s="16">
        <v>45680</v>
      </c>
      <c r="B776" t="s">
        <v>462</v>
      </c>
      <c r="C776" t="s">
        <v>569</v>
      </c>
      <c r="D776" t="s">
        <v>406</v>
      </c>
      <c r="E776" t="s">
        <v>407</v>
      </c>
      <c r="F776" t="s">
        <v>504</v>
      </c>
      <c r="G776" t="s">
        <v>409</v>
      </c>
      <c r="H776">
        <v>18</v>
      </c>
      <c r="I776">
        <v>632</v>
      </c>
      <c r="J776">
        <v>1384</v>
      </c>
      <c r="K776">
        <v>11376</v>
      </c>
      <c r="L776">
        <v>24912</v>
      </c>
      <c r="M776">
        <v>13536</v>
      </c>
      <c r="N776" t="s">
        <v>410</v>
      </c>
    </row>
    <row r="777" spans="1:14" x14ac:dyDescent="0.3">
      <c r="A777" s="16">
        <v>45507</v>
      </c>
      <c r="B777" t="s">
        <v>434</v>
      </c>
      <c r="C777" t="s">
        <v>628</v>
      </c>
      <c r="D777" t="s">
        <v>418</v>
      </c>
      <c r="E777" t="s">
        <v>419</v>
      </c>
      <c r="F777" t="s">
        <v>478</v>
      </c>
      <c r="G777" t="s">
        <v>428</v>
      </c>
      <c r="H777">
        <v>66</v>
      </c>
      <c r="I777">
        <v>715</v>
      </c>
      <c r="J777">
        <v>1460</v>
      </c>
      <c r="K777">
        <v>47190</v>
      </c>
      <c r="L777">
        <v>96360</v>
      </c>
      <c r="M777">
        <v>49170</v>
      </c>
      <c r="N777" t="s">
        <v>410</v>
      </c>
    </row>
    <row r="778" spans="1:14" x14ac:dyDescent="0.3">
      <c r="A778" s="16">
        <v>45702</v>
      </c>
      <c r="B778" t="s">
        <v>459</v>
      </c>
      <c r="C778" t="s">
        <v>460</v>
      </c>
      <c r="D778" t="s">
        <v>418</v>
      </c>
      <c r="E778" t="s">
        <v>453</v>
      </c>
      <c r="F778" t="s">
        <v>426</v>
      </c>
      <c r="G778" t="s">
        <v>409</v>
      </c>
      <c r="H778">
        <v>59</v>
      </c>
      <c r="I778">
        <v>725</v>
      </c>
      <c r="J778">
        <v>1113</v>
      </c>
      <c r="K778">
        <v>42775</v>
      </c>
      <c r="L778">
        <v>65667</v>
      </c>
      <c r="M778">
        <v>22892</v>
      </c>
      <c r="N778" t="s">
        <v>410</v>
      </c>
    </row>
    <row r="779" spans="1:14" x14ac:dyDescent="0.3">
      <c r="A779" s="16">
        <v>45652</v>
      </c>
      <c r="B779" t="s">
        <v>416</v>
      </c>
      <c r="C779" t="s">
        <v>524</v>
      </c>
      <c r="D779" t="s">
        <v>418</v>
      </c>
      <c r="E779" t="s">
        <v>419</v>
      </c>
      <c r="F779" t="s">
        <v>510</v>
      </c>
      <c r="G779" t="s">
        <v>409</v>
      </c>
      <c r="H779">
        <v>60</v>
      </c>
      <c r="I779">
        <v>867</v>
      </c>
      <c r="J779">
        <v>854</v>
      </c>
      <c r="K779">
        <v>52020</v>
      </c>
      <c r="L779">
        <v>51240</v>
      </c>
      <c r="M779">
        <v>-780</v>
      </c>
      <c r="N779" t="s">
        <v>421</v>
      </c>
    </row>
    <row r="780" spans="1:14" x14ac:dyDescent="0.3">
      <c r="A780" s="16">
        <v>45634</v>
      </c>
      <c r="B780" t="s">
        <v>416</v>
      </c>
      <c r="C780" t="s">
        <v>636</v>
      </c>
      <c r="D780" t="s">
        <v>413</v>
      </c>
      <c r="E780" t="s">
        <v>444</v>
      </c>
      <c r="F780" t="s">
        <v>566</v>
      </c>
      <c r="G780" t="s">
        <v>428</v>
      </c>
      <c r="H780">
        <v>23</v>
      </c>
      <c r="I780">
        <v>945</v>
      </c>
      <c r="J780">
        <v>1268</v>
      </c>
      <c r="K780">
        <v>21735</v>
      </c>
      <c r="L780">
        <v>29164</v>
      </c>
      <c r="M780">
        <v>7429</v>
      </c>
      <c r="N780" t="s">
        <v>410</v>
      </c>
    </row>
    <row r="781" spans="1:14" x14ac:dyDescent="0.3">
      <c r="A781" s="16">
        <v>45494</v>
      </c>
      <c r="B781" t="s">
        <v>482</v>
      </c>
      <c r="C781" t="s">
        <v>509</v>
      </c>
      <c r="D781" t="s">
        <v>413</v>
      </c>
      <c r="E781" t="s">
        <v>444</v>
      </c>
      <c r="F781" t="s">
        <v>510</v>
      </c>
      <c r="G781" t="s">
        <v>409</v>
      </c>
      <c r="H781">
        <v>25</v>
      </c>
      <c r="I781">
        <v>536</v>
      </c>
      <c r="J781">
        <v>1407</v>
      </c>
      <c r="K781">
        <v>13400</v>
      </c>
      <c r="L781">
        <v>35175</v>
      </c>
      <c r="M781">
        <v>21775</v>
      </c>
      <c r="N781" t="s">
        <v>410</v>
      </c>
    </row>
    <row r="782" spans="1:14" x14ac:dyDescent="0.3">
      <c r="A782" s="16">
        <v>45668</v>
      </c>
      <c r="B782" t="s">
        <v>462</v>
      </c>
      <c r="C782" t="s">
        <v>763</v>
      </c>
      <c r="D782" t="s">
        <v>418</v>
      </c>
      <c r="E782" t="s">
        <v>453</v>
      </c>
      <c r="F782" t="s">
        <v>433</v>
      </c>
      <c r="G782" t="s">
        <v>428</v>
      </c>
      <c r="H782">
        <v>93</v>
      </c>
      <c r="I782">
        <v>814</v>
      </c>
      <c r="J782">
        <v>832</v>
      </c>
      <c r="K782">
        <v>75702</v>
      </c>
      <c r="L782">
        <v>77376</v>
      </c>
      <c r="M782">
        <v>1674</v>
      </c>
      <c r="N782" t="s">
        <v>410</v>
      </c>
    </row>
    <row r="783" spans="1:14" x14ac:dyDescent="0.3">
      <c r="A783" s="16">
        <v>45691</v>
      </c>
      <c r="B783" t="s">
        <v>459</v>
      </c>
      <c r="C783" t="s">
        <v>486</v>
      </c>
      <c r="D783" t="s">
        <v>413</v>
      </c>
      <c r="E783" t="s">
        <v>444</v>
      </c>
      <c r="F783" t="s">
        <v>442</v>
      </c>
      <c r="G783" t="s">
        <v>409</v>
      </c>
      <c r="H783">
        <v>30</v>
      </c>
      <c r="I783">
        <v>732</v>
      </c>
      <c r="J783">
        <v>944</v>
      </c>
      <c r="K783">
        <v>21960</v>
      </c>
      <c r="L783">
        <v>28320</v>
      </c>
      <c r="M783">
        <v>6360</v>
      </c>
      <c r="N783" t="s">
        <v>410</v>
      </c>
    </row>
    <row r="784" spans="1:14" x14ac:dyDescent="0.3">
      <c r="A784" s="16">
        <v>45570</v>
      </c>
      <c r="B784" t="s">
        <v>422</v>
      </c>
      <c r="C784" t="s">
        <v>646</v>
      </c>
      <c r="D784" t="s">
        <v>418</v>
      </c>
      <c r="E784" t="s">
        <v>453</v>
      </c>
      <c r="F784" t="s">
        <v>420</v>
      </c>
      <c r="G784" t="s">
        <v>409</v>
      </c>
      <c r="H784">
        <v>52</v>
      </c>
      <c r="I784">
        <v>633</v>
      </c>
      <c r="J784">
        <v>1226</v>
      </c>
      <c r="K784">
        <v>32916</v>
      </c>
      <c r="L784">
        <v>63752</v>
      </c>
      <c r="M784">
        <v>30836</v>
      </c>
      <c r="N784" t="s">
        <v>410</v>
      </c>
    </row>
    <row r="785" spans="1:14" x14ac:dyDescent="0.3">
      <c r="A785" s="16">
        <v>45702</v>
      </c>
      <c r="B785" t="s">
        <v>459</v>
      </c>
      <c r="C785" t="s">
        <v>460</v>
      </c>
      <c r="D785" t="s">
        <v>418</v>
      </c>
      <c r="E785" t="s">
        <v>453</v>
      </c>
      <c r="F785" t="s">
        <v>426</v>
      </c>
      <c r="G785" t="s">
        <v>409</v>
      </c>
      <c r="H785">
        <v>90</v>
      </c>
      <c r="I785">
        <v>983</v>
      </c>
      <c r="J785">
        <v>924</v>
      </c>
      <c r="K785">
        <v>88470</v>
      </c>
      <c r="L785">
        <v>83160</v>
      </c>
      <c r="M785">
        <v>-5310</v>
      </c>
      <c r="N785" t="s">
        <v>421</v>
      </c>
    </row>
    <row r="786" spans="1:14" x14ac:dyDescent="0.3">
      <c r="A786" s="16">
        <v>45637</v>
      </c>
      <c r="B786" t="s">
        <v>416</v>
      </c>
      <c r="C786" t="s">
        <v>771</v>
      </c>
      <c r="D786" t="s">
        <v>418</v>
      </c>
      <c r="E786" t="s">
        <v>453</v>
      </c>
      <c r="F786" t="s">
        <v>439</v>
      </c>
      <c r="G786" t="s">
        <v>428</v>
      </c>
      <c r="H786">
        <v>66</v>
      </c>
      <c r="I786">
        <v>888</v>
      </c>
      <c r="J786">
        <v>809</v>
      </c>
      <c r="K786">
        <v>58608</v>
      </c>
      <c r="L786">
        <v>53394</v>
      </c>
      <c r="M786">
        <v>-5214</v>
      </c>
      <c r="N786" t="s">
        <v>421</v>
      </c>
    </row>
    <row r="787" spans="1:14" x14ac:dyDescent="0.3">
      <c r="A787" s="16">
        <v>45482</v>
      </c>
      <c r="B787" t="s">
        <v>482</v>
      </c>
      <c r="C787" t="s">
        <v>615</v>
      </c>
      <c r="D787" t="s">
        <v>406</v>
      </c>
      <c r="E787" t="s">
        <v>407</v>
      </c>
      <c r="F787" t="s">
        <v>408</v>
      </c>
      <c r="G787" t="s">
        <v>428</v>
      </c>
      <c r="H787">
        <v>20</v>
      </c>
      <c r="I787">
        <v>589</v>
      </c>
      <c r="J787">
        <v>773</v>
      </c>
      <c r="K787">
        <v>11780</v>
      </c>
      <c r="L787">
        <v>15460</v>
      </c>
      <c r="M787">
        <v>3680</v>
      </c>
      <c r="N787" t="s">
        <v>410</v>
      </c>
    </row>
    <row r="788" spans="1:14" x14ac:dyDescent="0.3">
      <c r="A788" s="16">
        <v>45608</v>
      </c>
      <c r="B788" t="s">
        <v>411</v>
      </c>
      <c r="C788" t="s">
        <v>455</v>
      </c>
      <c r="D788" t="s">
        <v>418</v>
      </c>
      <c r="E788" t="s">
        <v>448</v>
      </c>
      <c r="F788" t="s">
        <v>426</v>
      </c>
      <c r="G788" t="s">
        <v>409</v>
      </c>
      <c r="H788">
        <v>87</v>
      </c>
      <c r="I788">
        <v>882</v>
      </c>
      <c r="J788">
        <v>1211</v>
      </c>
      <c r="K788">
        <v>76734</v>
      </c>
      <c r="L788">
        <v>105357</v>
      </c>
      <c r="M788">
        <v>28623</v>
      </c>
      <c r="N788" t="s">
        <v>410</v>
      </c>
    </row>
    <row r="789" spans="1:14" x14ac:dyDescent="0.3">
      <c r="A789" s="16">
        <v>45411</v>
      </c>
      <c r="B789" t="s">
        <v>449</v>
      </c>
      <c r="C789" t="s">
        <v>742</v>
      </c>
      <c r="D789" t="s">
        <v>413</v>
      </c>
      <c r="E789" t="s">
        <v>414</v>
      </c>
      <c r="F789" t="s">
        <v>451</v>
      </c>
      <c r="G789" t="s">
        <v>409</v>
      </c>
      <c r="H789">
        <v>27</v>
      </c>
      <c r="I789">
        <v>828</v>
      </c>
      <c r="J789">
        <v>1008</v>
      </c>
      <c r="K789">
        <v>22356</v>
      </c>
      <c r="L789">
        <v>27216</v>
      </c>
      <c r="M789">
        <v>4860</v>
      </c>
      <c r="N789" t="s">
        <v>410</v>
      </c>
    </row>
    <row r="790" spans="1:14" x14ac:dyDescent="0.3">
      <c r="A790" s="16">
        <v>45558</v>
      </c>
      <c r="B790" t="s">
        <v>431</v>
      </c>
      <c r="C790" t="s">
        <v>733</v>
      </c>
      <c r="D790" t="s">
        <v>418</v>
      </c>
      <c r="E790" t="s">
        <v>419</v>
      </c>
      <c r="F790" t="s">
        <v>472</v>
      </c>
      <c r="G790" t="s">
        <v>409</v>
      </c>
      <c r="H790">
        <v>73</v>
      </c>
      <c r="I790">
        <v>540</v>
      </c>
      <c r="J790">
        <v>1397</v>
      </c>
      <c r="K790">
        <v>39420</v>
      </c>
      <c r="L790">
        <v>101981</v>
      </c>
      <c r="M790">
        <v>62561</v>
      </c>
      <c r="N790" t="s">
        <v>410</v>
      </c>
    </row>
    <row r="791" spans="1:14" x14ac:dyDescent="0.3">
      <c r="A791" s="16">
        <v>45532</v>
      </c>
      <c r="B791" t="s">
        <v>434</v>
      </c>
      <c r="C791" t="s">
        <v>778</v>
      </c>
      <c r="D791" t="s">
        <v>418</v>
      </c>
      <c r="E791" t="s">
        <v>453</v>
      </c>
      <c r="F791" t="s">
        <v>566</v>
      </c>
      <c r="G791" t="s">
        <v>409</v>
      </c>
      <c r="H791">
        <v>72</v>
      </c>
      <c r="I791">
        <v>673</v>
      </c>
      <c r="J791">
        <v>1027</v>
      </c>
      <c r="K791">
        <v>48456</v>
      </c>
      <c r="L791">
        <v>73944</v>
      </c>
      <c r="M791">
        <v>25488</v>
      </c>
      <c r="N791" t="s">
        <v>410</v>
      </c>
    </row>
    <row r="792" spans="1:14" x14ac:dyDescent="0.3">
      <c r="A792" s="16">
        <v>45591</v>
      </c>
      <c r="B792" t="s">
        <v>422</v>
      </c>
      <c r="C792" t="s">
        <v>493</v>
      </c>
      <c r="D792" t="s">
        <v>413</v>
      </c>
      <c r="E792" t="s">
        <v>494</v>
      </c>
      <c r="F792" t="s">
        <v>465</v>
      </c>
      <c r="G792" t="s">
        <v>428</v>
      </c>
      <c r="H792">
        <v>23</v>
      </c>
      <c r="I792">
        <v>746</v>
      </c>
      <c r="J792">
        <v>1410</v>
      </c>
      <c r="K792">
        <v>17158</v>
      </c>
      <c r="L792">
        <v>32430</v>
      </c>
      <c r="M792">
        <v>15272</v>
      </c>
      <c r="N792" t="s">
        <v>410</v>
      </c>
    </row>
    <row r="793" spans="1:14" x14ac:dyDescent="0.3">
      <c r="A793" s="16">
        <v>45461</v>
      </c>
      <c r="B793" t="s">
        <v>404</v>
      </c>
      <c r="C793" t="s">
        <v>741</v>
      </c>
      <c r="D793" t="s">
        <v>418</v>
      </c>
      <c r="E793" t="s">
        <v>453</v>
      </c>
      <c r="F793" t="s">
        <v>424</v>
      </c>
      <c r="G793" t="s">
        <v>428</v>
      </c>
      <c r="H793">
        <v>87</v>
      </c>
      <c r="I793">
        <v>616</v>
      </c>
      <c r="J793">
        <v>1447</v>
      </c>
      <c r="K793">
        <v>53592</v>
      </c>
      <c r="L793">
        <v>125889</v>
      </c>
      <c r="M793">
        <v>72297</v>
      </c>
      <c r="N793" t="s">
        <v>410</v>
      </c>
    </row>
    <row r="794" spans="1:14" x14ac:dyDescent="0.3">
      <c r="A794" s="16">
        <v>45503</v>
      </c>
      <c r="B794" t="s">
        <v>482</v>
      </c>
      <c r="C794" t="s">
        <v>541</v>
      </c>
      <c r="D794" t="s">
        <v>418</v>
      </c>
      <c r="E794" t="s">
        <v>453</v>
      </c>
      <c r="F794" t="s">
        <v>542</v>
      </c>
      <c r="G794" t="s">
        <v>428</v>
      </c>
      <c r="H794">
        <v>69</v>
      </c>
      <c r="I794">
        <v>524</v>
      </c>
      <c r="J794">
        <v>893</v>
      </c>
      <c r="K794">
        <v>36156</v>
      </c>
      <c r="L794">
        <v>61617</v>
      </c>
      <c r="M794">
        <v>25461</v>
      </c>
      <c r="N794" t="s">
        <v>410</v>
      </c>
    </row>
    <row r="795" spans="1:14" x14ac:dyDescent="0.3">
      <c r="A795" s="16">
        <v>45621</v>
      </c>
      <c r="B795" t="s">
        <v>411</v>
      </c>
      <c r="C795" t="s">
        <v>597</v>
      </c>
      <c r="D795" t="s">
        <v>413</v>
      </c>
      <c r="E795" t="s">
        <v>414</v>
      </c>
      <c r="F795" t="s">
        <v>532</v>
      </c>
      <c r="G795" t="s">
        <v>428</v>
      </c>
      <c r="H795">
        <v>30</v>
      </c>
      <c r="I795">
        <v>790</v>
      </c>
      <c r="J795">
        <v>1245</v>
      </c>
      <c r="K795">
        <v>23700</v>
      </c>
      <c r="L795">
        <v>37350</v>
      </c>
      <c r="M795">
        <v>13650</v>
      </c>
      <c r="N795" t="s">
        <v>410</v>
      </c>
    </row>
    <row r="796" spans="1:14" x14ac:dyDescent="0.3">
      <c r="A796" s="16">
        <v>45433</v>
      </c>
      <c r="B796" t="s">
        <v>437</v>
      </c>
      <c r="C796" t="s">
        <v>632</v>
      </c>
      <c r="D796" t="s">
        <v>418</v>
      </c>
      <c r="E796" t="s">
        <v>453</v>
      </c>
      <c r="F796" t="s">
        <v>433</v>
      </c>
      <c r="G796" t="s">
        <v>409</v>
      </c>
      <c r="H796">
        <v>53</v>
      </c>
      <c r="I796">
        <v>950</v>
      </c>
      <c r="J796">
        <v>875</v>
      </c>
      <c r="K796">
        <v>50350</v>
      </c>
      <c r="L796">
        <v>46375</v>
      </c>
      <c r="M796">
        <v>-3975</v>
      </c>
      <c r="N796" t="s">
        <v>421</v>
      </c>
    </row>
    <row r="797" spans="1:14" x14ac:dyDescent="0.3">
      <c r="A797" s="16">
        <v>45537</v>
      </c>
      <c r="B797" t="s">
        <v>431</v>
      </c>
      <c r="C797" t="s">
        <v>688</v>
      </c>
      <c r="D797" t="s">
        <v>418</v>
      </c>
      <c r="E797" t="s">
        <v>419</v>
      </c>
      <c r="F797" t="s">
        <v>424</v>
      </c>
      <c r="G797" t="s">
        <v>428</v>
      </c>
      <c r="H797">
        <v>93</v>
      </c>
      <c r="I797">
        <v>847</v>
      </c>
      <c r="J797">
        <v>1258</v>
      </c>
      <c r="K797">
        <v>78771</v>
      </c>
      <c r="L797">
        <v>116994</v>
      </c>
      <c r="M797">
        <v>38223</v>
      </c>
      <c r="N797" t="s">
        <v>410</v>
      </c>
    </row>
    <row r="798" spans="1:14" x14ac:dyDescent="0.3">
      <c r="A798" s="16">
        <v>45476</v>
      </c>
      <c r="B798" t="s">
        <v>482</v>
      </c>
      <c r="C798" t="s">
        <v>664</v>
      </c>
      <c r="D798" t="s">
        <v>406</v>
      </c>
      <c r="E798" t="s">
        <v>407</v>
      </c>
      <c r="F798" t="s">
        <v>532</v>
      </c>
      <c r="G798" t="s">
        <v>409</v>
      </c>
      <c r="H798">
        <v>12</v>
      </c>
      <c r="I798">
        <v>980</v>
      </c>
      <c r="J798">
        <v>1462</v>
      </c>
      <c r="K798">
        <v>11760</v>
      </c>
      <c r="L798">
        <v>17544</v>
      </c>
      <c r="M798">
        <v>5784</v>
      </c>
      <c r="N798" t="s">
        <v>410</v>
      </c>
    </row>
    <row r="799" spans="1:14" x14ac:dyDescent="0.3">
      <c r="A799" s="16">
        <v>45384</v>
      </c>
      <c r="B799" t="s">
        <v>449</v>
      </c>
      <c r="C799" t="s">
        <v>498</v>
      </c>
      <c r="D799" t="s">
        <v>413</v>
      </c>
      <c r="E799" t="s">
        <v>494</v>
      </c>
      <c r="F799" t="s">
        <v>451</v>
      </c>
      <c r="G799" t="s">
        <v>428</v>
      </c>
      <c r="H799">
        <v>30</v>
      </c>
      <c r="I799">
        <v>719</v>
      </c>
      <c r="J799">
        <v>1162</v>
      </c>
      <c r="K799">
        <v>21570</v>
      </c>
      <c r="L799">
        <v>34860</v>
      </c>
      <c r="M799">
        <v>13290</v>
      </c>
      <c r="N799" t="s">
        <v>410</v>
      </c>
    </row>
    <row r="800" spans="1:14" x14ac:dyDescent="0.3">
      <c r="A800" s="16">
        <v>45605</v>
      </c>
      <c r="B800" t="s">
        <v>411</v>
      </c>
      <c r="C800" t="s">
        <v>695</v>
      </c>
      <c r="D800" t="s">
        <v>418</v>
      </c>
      <c r="E800" t="s">
        <v>448</v>
      </c>
      <c r="F800" t="s">
        <v>542</v>
      </c>
      <c r="G800" t="s">
        <v>409</v>
      </c>
      <c r="H800">
        <v>73</v>
      </c>
      <c r="I800">
        <v>957</v>
      </c>
      <c r="J800">
        <v>814</v>
      </c>
      <c r="K800">
        <v>69861</v>
      </c>
      <c r="L800">
        <v>59422</v>
      </c>
      <c r="M800">
        <v>-10439</v>
      </c>
      <c r="N800" t="s">
        <v>421</v>
      </c>
    </row>
    <row r="801" spans="1:14" x14ac:dyDescent="0.3">
      <c r="A801" s="16">
        <v>45693</v>
      </c>
      <c r="B801" t="s">
        <v>459</v>
      </c>
      <c r="C801" t="s">
        <v>772</v>
      </c>
      <c r="D801" t="s">
        <v>413</v>
      </c>
      <c r="E801" t="s">
        <v>444</v>
      </c>
      <c r="F801" t="s">
        <v>439</v>
      </c>
      <c r="G801" t="s">
        <v>428</v>
      </c>
      <c r="H801">
        <v>21</v>
      </c>
      <c r="I801">
        <v>876</v>
      </c>
      <c r="J801">
        <v>1452</v>
      </c>
      <c r="K801">
        <v>18396</v>
      </c>
      <c r="L801">
        <v>30492</v>
      </c>
      <c r="M801">
        <v>12096</v>
      </c>
      <c r="N801" t="s">
        <v>410</v>
      </c>
    </row>
    <row r="802" spans="1:14" x14ac:dyDescent="0.3">
      <c r="A802" s="16">
        <v>45708</v>
      </c>
      <c r="B802" t="s">
        <v>459</v>
      </c>
      <c r="C802" t="s">
        <v>495</v>
      </c>
      <c r="D802" t="s">
        <v>418</v>
      </c>
      <c r="E802" t="s">
        <v>453</v>
      </c>
      <c r="F802" t="s">
        <v>451</v>
      </c>
      <c r="G802" t="s">
        <v>409</v>
      </c>
      <c r="H802">
        <v>63</v>
      </c>
      <c r="I802">
        <v>722</v>
      </c>
      <c r="J802">
        <v>1374</v>
      </c>
      <c r="K802">
        <v>45486</v>
      </c>
      <c r="L802">
        <v>86562</v>
      </c>
      <c r="M802">
        <v>41076</v>
      </c>
      <c r="N802" t="s">
        <v>410</v>
      </c>
    </row>
    <row r="803" spans="1:14" x14ac:dyDescent="0.3">
      <c r="A803" s="16">
        <v>45434</v>
      </c>
      <c r="B803" t="s">
        <v>437</v>
      </c>
      <c r="C803" t="s">
        <v>680</v>
      </c>
      <c r="D803" t="s">
        <v>418</v>
      </c>
      <c r="E803" t="s">
        <v>453</v>
      </c>
      <c r="F803" t="s">
        <v>433</v>
      </c>
      <c r="G803" t="s">
        <v>409</v>
      </c>
      <c r="H803">
        <v>82</v>
      </c>
      <c r="I803">
        <v>993</v>
      </c>
      <c r="J803">
        <v>823</v>
      </c>
      <c r="K803">
        <v>81426</v>
      </c>
      <c r="L803">
        <v>67486</v>
      </c>
      <c r="M803">
        <v>-13940</v>
      </c>
      <c r="N803" t="s">
        <v>421</v>
      </c>
    </row>
    <row r="804" spans="1:14" x14ac:dyDescent="0.3">
      <c r="A804" s="16">
        <v>45497</v>
      </c>
      <c r="B804" t="s">
        <v>482</v>
      </c>
      <c r="C804" t="s">
        <v>483</v>
      </c>
      <c r="D804" t="s">
        <v>418</v>
      </c>
      <c r="E804" t="s">
        <v>453</v>
      </c>
      <c r="F804" t="s">
        <v>424</v>
      </c>
      <c r="G804" t="s">
        <v>409</v>
      </c>
      <c r="H804">
        <v>53</v>
      </c>
      <c r="I804">
        <v>791</v>
      </c>
      <c r="J804">
        <v>1253</v>
      </c>
      <c r="K804">
        <v>41923</v>
      </c>
      <c r="L804">
        <v>66409</v>
      </c>
      <c r="M804">
        <v>24486</v>
      </c>
      <c r="N804" t="s">
        <v>410</v>
      </c>
    </row>
    <row r="805" spans="1:14" x14ac:dyDescent="0.3">
      <c r="A805" s="16">
        <v>45550</v>
      </c>
      <c r="B805" t="s">
        <v>431</v>
      </c>
      <c r="C805" t="s">
        <v>754</v>
      </c>
      <c r="D805" t="s">
        <v>406</v>
      </c>
      <c r="E805" t="s">
        <v>407</v>
      </c>
      <c r="F805" t="s">
        <v>451</v>
      </c>
      <c r="G805" t="s">
        <v>409</v>
      </c>
      <c r="H805">
        <v>15</v>
      </c>
      <c r="I805">
        <v>674</v>
      </c>
      <c r="J805">
        <v>1125</v>
      </c>
      <c r="K805">
        <v>10110</v>
      </c>
      <c r="L805">
        <v>16875</v>
      </c>
      <c r="M805">
        <v>6765</v>
      </c>
      <c r="N805" t="s">
        <v>410</v>
      </c>
    </row>
    <row r="806" spans="1:14" x14ac:dyDescent="0.3">
      <c r="A806" s="16">
        <v>45675</v>
      </c>
      <c r="B806" t="s">
        <v>462</v>
      </c>
      <c r="C806" t="s">
        <v>613</v>
      </c>
      <c r="D806" t="s">
        <v>418</v>
      </c>
      <c r="E806" t="s">
        <v>419</v>
      </c>
      <c r="F806" t="s">
        <v>451</v>
      </c>
      <c r="G806" t="s">
        <v>409</v>
      </c>
      <c r="H806">
        <v>77</v>
      </c>
      <c r="I806">
        <v>922</v>
      </c>
      <c r="J806">
        <v>1400</v>
      </c>
      <c r="K806">
        <v>70994</v>
      </c>
      <c r="L806">
        <v>107800</v>
      </c>
      <c r="M806">
        <v>36806</v>
      </c>
      <c r="N806" t="s">
        <v>410</v>
      </c>
    </row>
    <row r="807" spans="1:14" x14ac:dyDescent="0.3">
      <c r="A807" s="16">
        <v>45567</v>
      </c>
      <c r="B807" t="s">
        <v>422</v>
      </c>
      <c r="C807" t="s">
        <v>740</v>
      </c>
      <c r="D807" t="s">
        <v>406</v>
      </c>
      <c r="E807" t="s">
        <v>470</v>
      </c>
      <c r="F807" t="s">
        <v>454</v>
      </c>
      <c r="G807" t="s">
        <v>409</v>
      </c>
      <c r="H807">
        <v>10</v>
      </c>
      <c r="I807">
        <v>757</v>
      </c>
      <c r="J807">
        <v>885</v>
      </c>
      <c r="K807">
        <v>7570</v>
      </c>
      <c r="L807">
        <v>8850</v>
      </c>
      <c r="M807">
        <v>1280</v>
      </c>
      <c r="N807" t="s">
        <v>410</v>
      </c>
    </row>
    <row r="808" spans="1:14" x14ac:dyDescent="0.3">
      <c r="A808" s="16">
        <v>45601</v>
      </c>
      <c r="B808" t="s">
        <v>411</v>
      </c>
      <c r="C808" t="s">
        <v>531</v>
      </c>
      <c r="D808" t="s">
        <v>413</v>
      </c>
      <c r="E808" t="s">
        <v>430</v>
      </c>
      <c r="F808" t="s">
        <v>532</v>
      </c>
      <c r="G808" t="s">
        <v>409</v>
      </c>
      <c r="H808">
        <v>22</v>
      </c>
      <c r="I808">
        <v>618</v>
      </c>
      <c r="J808">
        <v>1373</v>
      </c>
      <c r="K808">
        <v>13596</v>
      </c>
      <c r="L808">
        <v>30206</v>
      </c>
      <c r="M808">
        <v>16610</v>
      </c>
      <c r="N808" t="s">
        <v>410</v>
      </c>
    </row>
    <row r="809" spans="1:14" x14ac:dyDescent="0.3">
      <c r="A809" s="16">
        <v>45531</v>
      </c>
      <c r="B809" t="s">
        <v>434</v>
      </c>
      <c r="C809" t="s">
        <v>766</v>
      </c>
      <c r="D809" t="s">
        <v>418</v>
      </c>
      <c r="E809" t="s">
        <v>453</v>
      </c>
      <c r="F809" t="s">
        <v>451</v>
      </c>
      <c r="G809" t="s">
        <v>409</v>
      </c>
      <c r="H809">
        <v>84</v>
      </c>
      <c r="I809">
        <v>558</v>
      </c>
      <c r="J809">
        <v>1477</v>
      </c>
      <c r="K809">
        <v>46872</v>
      </c>
      <c r="L809">
        <v>124068</v>
      </c>
      <c r="M809">
        <v>77196</v>
      </c>
      <c r="N809" t="s">
        <v>410</v>
      </c>
    </row>
    <row r="810" spans="1:14" x14ac:dyDescent="0.3">
      <c r="A810" s="16">
        <v>45645</v>
      </c>
      <c r="B810" t="s">
        <v>416</v>
      </c>
      <c r="C810" t="s">
        <v>452</v>
      </c>
      <c r="D810" t="s">
        <v>418</v>
      </c>
      <c r="E810" t="s">
        <v>453</v>
      </c>
      <c r="F810" t="s">
        <v>454</v>
      </c>
      <c r="G810" t="s">
        <v>409</v>
      </c>
      <c r="H810">
        <v>85</v>
      </c>
      <c r="I810">
        <v>761</v>
      </c>
      <c r="J810">
        <v>926</v>
      </c>
      <c r="K810">
        <v>64685</v>
      </c>
      <c r="L810">
        <v>78710</v>
      </c>
      <c r="M810">
        <v>14025</v>
      </c>
      <c r="N810" t="s">
        <v>410</v>
      </c>
    </row>
    <row r="811" spans="1:14" x14ac:dyDescent="0.3">
      <c r="A811" s="16">
        <v>45387</v>
      </c>
      <c r="B811" t="s">
        <v>449</v>
      </c>
      <c r="C811" t="s">
        <v>623</v>
      </c>
      <c r="D811" t="s">
        <v>418</v>
      </c>
      <c r="E811" t="s">
        <v>441</v>
      </c>
      <c r="F811" t="s">
        <v>478</v>
      </c>
      <c r="G811" t="s">
        <v>428</v>
      </c>
      <c r="H811">
        <v>95</v>
      </c>
      <c r="I811">
        <v>936</v>
      </c>
      <c r="J811">
        <v>1350</v>
      </c>
      <c r="K811">
        <v>88920</v>
      </c>
      <c r="L811">
        <v>128250</v>
      </c>
      <c r="M811">
        <v>39330</v>
      </c>
      <c r="N811" t="s">
        <v>410</v>
      </c>
    </row>
    <row r="812" spans="1:14" x14ac:dyDescent="0.3">
      <c r="A812" s="16">
        <v>45636</v>
      </c>
      <c r="B812" t="s">
        <v>416</v>
      </c>
      <c r="C812" t="s">
        <v>509</v>
      </c>
      <c r="D812" t="s">
        <v>418</v>
      </c>
      <c r="E812" t="s">
        <v>453</v>
      </c>
      <c r="F812" t="s">
        <v>510</v>
      </c>
      <c r="G812" t="s">
        <v>428</v>
      </c>
      <c r="H812">
        <v>51</v>
      </c>
      <c r="I812">
        <v>685</v>
      </c>
      <c r="J812">
        <v>1224</v>
      </c>
      <c r="K812">
        <v>34935</v>
      </c>
      <c r="L812">
        <v>62424</v>
      </c>
      <c r="M812">
        <v>27489</v>
      </c>
      <c r="N812" t="s">
        <v>410</v>
      </c>
    </row>
    <row r="813" spans="1:14" x14ac:dyDescent="0.3">
      <c r="A813" s="16">
        <v>45671</v>
      </c>
      <c r="B813" t="s">
        <v>462</v>
      </c>
      <c r="C813" t="s">
        <v>491</v>
      </c>
      <c r="D813" t="s">
        <v>418</v>
      </c>
      <c r="E813" t="s">
        <v>419</v>
      </c>
      <c r="F813" t="s">
        <v>454</v>
      </c>
      <c r="G813" t="s">
        <v>428</v>
      </c>
      <c r="H813">
        <v>82</v>
      </c>
      <c r="I813">
        <v>822</v>
      </c>
      <c r="J813">
        <v>1445</v>
      </c>
      <c r="K813">
        <v>67404</v>
      </c>
      <c r="L813">
        <v>118490</v>
      </c>
      <c r="M813">
        <v>51086</v>
      </c>
      <c r="N813" t="s">
        <v>410</v>
      </c>
    </row>
    <row r="814" spans="1:14" x14ac:dyDescent="0.3">
      <c r="A814" s="16">
        <v>45593</v>
      </c>
      <c r="B814" t="s">
        <v>422</v>
      </c>
      <c r="C814" t="s">
        <v>537</v>
      </c>
      <c r="D814" t="s">
        <v>418</v>
      </c>
      <c r="E814" t="s">
        <v>441</v>
      </c>
      <c r="F814" t="s">
        <v>451</v>
      </c>
      <c r="G814" t="s">
        <v>428</v>
      </c>
      <c r="H814">
        <v>52</v>
      </c>
      <c r="I814">
        <v>509</v>
      </c>
      <c r="J814">
        <v>764</v>
      </c>
      <c r="K814">
        <v>26468</v>
      </c>
      <c r="L814">
        <v>39728</v>
      </c>
      <c r="M814">
        <v>13260</v>
      </c>
      <c r="N814" t="s">
        <v>410</v>
      </c>
    </row>
    <row r="815" spans="1:14" x14ac:dyDescent="0.3">
      <c r="A815" s="16">
        <v>45602</v>
      </c>
      <c r="B815" t="s">
        <v>411</v>
      </c>
      <c r="C815" t="s">
        <v>701</v>
      </c>
      <c r="D815" t="s">
        <v>418</v>
      </c>
      <c r="E815" t="s">
        <v>448</v>
      </c>
      <c r="F815" t="s">
        <v>465</v>
      </c>
      <c r="G815" t="s">
        <v>409</v>
      </c>
      <c r="H815">
        <v>57</v>
      </c>
      <c r="I815">
        <v>541</v>
      </c>
      <c r="J815">
        <v>819</v>
      </c>
      <c r="K815">
        <v>30837</v>
      </c>
      <c r="L815">
        <v>46683</v>
      </c>
      <c r="M815">
        <v>15846</v>
      </c>
      <c r="N815" t="s">
        <v>410</v>
      </c>
    </row>
    <row r="816" spans="1:14" x14ac:dyDescent="0.3">
      <c r="A816" s="16">
        <v>45493</v>
      </c>
      <c r="B816" t="s">
        <v>482</v>
      </c>
      <c r="C816" t="s">
        <v>737</v>
      </c>
      <c r="D816" t="s">
        <v>413</v>
      </c>
      <c r="E816" t="s">
        <v>444</v>
      </c>
      <c r="F816" t="s">
        <v>442</v>
      </c>
      <c r="G816" t="s">
        <v>409</v>
      </c>
      <c r="H816">
        <v>23</v>
      </c>
      <c r="I816">
        <v>969</v>
      </c>
      <c r="J816">
        <v>1075</v>
      </c>
      <c r="K816">
        <v>22287</v>
      </c>
      <c r="L816">
        <v>24725</v>
      </c>
      <c r="M816">
        <v>2438</v>
      </c>
      <c r="N816" t="s">
        <v>410</v>
      </c>
    </row>
    <row r="817" spans="1:14" x14ac:dyDescent="0.3">
      <c r="A817" s="16">
        <v>45613</v>
      </c>
      <c r="B817" t="s">
        <v>411</v>
      </c>
      <c r="C817" t="s">
        <v>746</v>
      </c>
      <c r="D817" t="s">
        <v>413</v>
      </c>
      <c r="E817" t="s">
        <v>414</v>
      </c>
      <c r="F817" t="s">
        <v>454</v>
      </c>
      <c r="G817" t="s">
        <v>428</v>
      </c>
      <c r="H817">
        <v>24</v>
      </c>
      <c r="I817">
        <v>672</v>
      </c>
      <c r="J817">
        <v>878</v>
      </c>
      <c r="K817">
        <v>16128</v>
      </c>
      <c r="L817">
        <v>21072</v>
      </c>
      <c r="M817">
        <v>4944</v>
      </c>
      <c r="N817" t="s">
        <v>410</v>
      </c>
    </row>
    <row r="818" spans="1:14" x14ac:dyDescent="0.3">
      <c r="A818" s="16">
        <v>45709</v>
      </c>
      <c r="B818" t="s">
        <v>459</v>
      </c>
      <c r="C818" t="s">
        <v>647</v>
      </c>
      <c r="D818" t="s">
        <v>418</v>
      </c>
      <c r="E818" t="s">
        <v>453</v>
      </c>
      <c r="F818" t="s">
        <v>566</v>
      </c>
      <c r="G818" t="s">
        <v>428</v>
      </c>
      <c r="H818">
        <v>88</v>
      </c>
      <c r="I818">
        <v>635</v>
      </c>
      <c r="J818">
        <v>1370</v>
      </c>
      <c r="K818">
        <v>55880</v>
      </c>
      <c r="L818">
        <v>120560</v>
      </c>
      <c r="M818">
        <v>64680</v>
      </c>
      <c r="N818" t="s">
        <v>410</v>
      </c>
    </row>
    <row r="819" spans="1:14" x14ac:dyDescent="0.3">
      <c r="A819" s="16">
        <v>45690</v>
      </c>
      <c r="B819" t="s">
        <v>459</v>
      </c>
      <c r="C819" t="s">
        <v>637</v>
      </c>
      <c r="D819" t="s">
        <v>413</v>
      </c>
      <c r="E819" t="s">
        <v>444</v>
      </c>
      <c r="F819" t="s">
        <v>566</v>
      </c>
      <c r="G819" t="s">
        <v>409</v>
      </c>
      <c r="H819">
        <v>23</v>
      </c>
      <c r="I819">
        <v>827</v>
      </c>
      <c r="J819">
        <v>1185</v>
      </c>
      <c r="K819">
        <v>19021</v>
      </c>
      <c r="L819">
        <v>27255</v>
      </c>
      <c r="M819">
        <v>8234</v>
      </c>
      <c r="N819" t="s">
        <v>410</v>
      </c>
    </row>
    <row r="820" spans="1:14" x14ac:dyDescent="0.3">
      <c r="A820" s="16">
        <v>45510</v>
      </c>
      <c r="B820" t="s">
        <v>434</v>
      </c>
      <c r="C820" t="s">
        <v>673</v>
      </c>
      <c r="D820" t="s">
        <v>406</v>
      </c>
      <c r="E820" t="s">
        <v>407</v>
      </c>
      <c r="F820" t="s">
        <v>451</v>
      </c>
      <c r="G820" t="s">
        <v>409</v>
      </c>
      <c r="H820">
        <v>10</v>
      </c>
      <c r="I820">
        <v>754</v>
      </c>
      <c r="J820">
        <v>982</v>
      </c>
      <c r="K820">
        <v>7540</v>
      </c>
      <c r="L820">
        <v>9820</v>
      </c>
      <c r="M820">
        <v>2280</v>
      </c>
      <c r="N820" t="s">
        <v>410</v>
      </c>
    </row>
    <row r="821" spans="1:14" x14ac:dyDescent="0.3">
      <c r="A821" s="16">
        <v>45548</v>
      </c>
      <c r="B821" t="s">
        <v>431</v>
      </c>
      <c r="C821" t="s">
        <v>704</v>
      </c>
      <c r="D821" t="s">
        <v>406</v>
      </c>
      <c r="E821" t="s">
        <v>407</v>
      </c>
      <c r="F821" t="s">
        <v>436</v>
      </c>
      <c r="G821" t="s">
        <v>409</v>
      </c>
      <c r="H821">
        <v>14</v>
      </c>
      <c r="I821">
        <v>968</v>
      </c>
      <c r="J821">
        <v>1419</v>
      </c>
      <c r="K821">
        <v>13552</v>
      </c>
      <c r="L821">
        <v>19866</v>
      </c>
      <c r="M821">
        <v>6314</v>
      </c>
      <c r="N821" t="s">
        <v>410</v>
      </c>
    </row>
    <row r="822" spans="1:14" x14ac:dyDescent="0.3">
      <c r="A822" s="16">
        <v>45435</v>
      </c>
      <c r="B822" t="s">
        <v>437</v>
      </c>
      <c r="C822" t="s">
        <v>540</v>
      </c>
      <c r="D822" t="s">
        <v>418</v>
      </c>
      <c r="E822" t="s">
        <v>453</v>
      </c>
      <c r="F822" t="s">
        <v>451</v>
      </c>
      <c r="G822" t="s">
        <v>409</v>
      </c>
      <c r="H822">
        <v>53</v>
      </c>
      <c r="I822">
        <v>803</v>
      </c>
      <c r="J822">
        <v>1335</v>
      </c>
      <c r="K822">
        <v>42559</v>
      </c>
      <c r="L822">
        <v>70755</v>
      </c>
      <c r="M822">
        <v>28196</v>
      </c>
      <c r="N822" t="s">
        <v>410</v>
      </c>
    </row>
    <row r="823" spans="1:14" x14ac:dyDescent="0.3">
      <c r="A823" s="16">
        <v>45491</v>
      </c>
      <c r="B823" t="s">
        <v>482</v>
      </c>
      <c r="C823" t="s">
        <v>586</v>
      </c>
      <c r="D823" t="s">
        <v>413</v>
      </c>
      <c r="E823" t="s">
        <v>444</v>
      </c>
      <c r="F823" t="s">
        <v>451</v>
      </c>
      <c r="G823" t="s">
        <v>409</v>
      </c>
      <c r="H823">
        <v>26</v>
      </c>
      <c r="I823">
        <v>656</v>
      </c>
      <c r="J823">
        <v>908</v>
      </c>
      <c r="K823">
        <v>17056</v>
      </c>
      <c r="L823">
        <v>23608</v>
      </c>
      <c r="M823">
        <v>6552</v>
      </c>
      <c r="N823" t="s">
        <v>410</v>
      </c>
    </row>
    <row r="824" spans="1:14" x14ac:dyDescent="0.3">
      <c r="A824" s="16">
        <v>45430</v>
      </c>
      <c r="B824" t="s">
        <v>437</v>
      </c>
      <c r="C824" t="s">
        <v>676</v>
      </c>
      <c r="D824" t="s">
        <v>413</v>
      </c>
      <c r="E824" t="s">
        <v>444</v>
      </c>
      <c r="F824" t="s">
        <v>451</v>
      </c>
      <c r="G824" t="s">
        <v>428</v>
      </c>
      <c r="H824">
        <v>29</v>
      </c>
      <c r="I824">
        <v>735</v>
      </c>
      <c r="J824">
        <v>1388</v>
      </c>
      <c r="K824">
        <v>21315</v>
      </c>
      <c r="L824">
        <v>40252</v>
      </c>
      <c r="M824">
        <v>18937</v>
      </c>
      <c r="N824" t="s">
        <v>410</v>
      </c>
    </row>
    <row r="825" spans="1:14" x14ac:dyDescent="0.3">
      <c r="A825" s="16">
        <v>45475</v>
      </c>
      <c r="B825" t="s">
        <v>482</v>
      </c>
      <c r="C825" t="s">
        <v>775</v>
      </c>
      <c r="D825" t="s">
        <v>406</v>
      </c>
      <c r="E825" t="s">
        <v>407</v>
      </c>
      <c r="F825" t="s">
        <v>451</v>
      </c>
      <c r="G825" t="s">
        <v>409</v>
      </c>
      <c r="H825">
        <v>15</v>
      </c>
      <c r="I825">
        <v>910</v>
      </c>
      <c r="J825">
        <v>916</v>
      </c>
      <c r="K825">
        <v>13650</v>
      </c>
      <c r="L825">
        <v>13740</v>
      </c>
      <c r="M825">
        <v>90</v>
      </c>
      <c r="N825" t="s">
        <v>410</v>
      </c>
    </row>
    <row r="826" spans="1:14" x14ac:dyDescent="0.3">
      <c r="A826" s="16">
        <v>45623</v>
      </c>
      <c r="B826" t="s">
        <v>411</v>
      </c>
      <c r="C826" t="s">
        <v>490</v>
      </c>
      <c r="D826" t="s">
        <v>413</v>
      </c>
      <c r="E826" t="s">
        <v>414</v>
      </c>
      <c r="F826" t="s">
        <v>445</v>
      </c>
      <c r="G826" t="s">
        <v>409</v>
      </c>
      <c r="H826">
        <v>27</v>
      </c>
      <c r="I826">
        <v>744</v>
      </c>
      <c r="J826">
        <v>1253</v>
      </c>
      <c r="K826">
        <v>20088</v>
      </c>
      <c r="L826">
        <v>33831</v>
      </c>
      <c r="M826">
        <v>13743</v>
      </c>
      <c r="N826" t="s">
        <v>410</v>
      </c>
    </row>
    <row r="827" spans="1:14" x14ac:dyDescent="0.3">
      <c r="A827" s="16">
        <v>45664</v>
      </c>
      <c r="B827" t="s">
        <v>462</v>
      </c>
      <c r="C827" t="s">
        <v>776</v>
      </c>
      <c r="D827" t="s">
        <v>406</v>
      </c>
      <c r="E827" t="s">
        <v>470</v>
      </c>
      <c r="F827" t="s">
        <v>504</v>
      </c>
      <c r="G827" t="s">
        <v>409</v>
      </c>
      <c r="H827">
        <v>11</v>
      </c>
      <c r="I827">
        <v>944</v>
      </c>
      <c r="J827">
        <v>949</v>
      </c>
      <c r="K827">
        <v>10384</v>
      </c>
      <c r="L827">
        <v>10439</v>
      </c>
      <c r="M827">
        <v>55</v>
      </c>
      <c r="N827" t="s">
        <v>410</v>
      </c>
    </row>
    <row r="828" spans="1:14" x14ac:dyDescent="0.3">
      <c r="A828" s="16">
        <v>45515</v>
      </c>
      <c r="B828" t="s">
        <v>434</v>
      </c>
      <c r="C828" t="s">
        <v>496</v>
      </c>
      <c r="D828" t="s">
        <v>406</v>
      </c>
      <c r="E828" t="s">
        <v>407</v>
      </c>
      <c r="F828" t="s">
        <v>451</v>
      </c>
      <c r="G828" t="s">
        <v>428</v>
      </c>
      <c r="H828">
        <v>10</v>
      </c>
      <c r="I828">
        <v>669</v>
      </c>
      <c r="J828">
        <v>1344</v>
      </c>
      <c r="K828">
        <v>6690</v>
      </c>
      <c r="L828">
        <v>13440</v>
      </c>
      <c r="M828">
        <v>6750</v>
      </c>
      <c r="N828" t="s">
        <v>410</v>
      </c>
    </row>
    <row r="829" spans="1:14" x14ac:dyDescent="0.3">
      <c r="A829" s="16">
        <v>45414</v>
      </c>
      <c r="B829" t="s">
        <v>437</v>
      </c>
      <c r="C829" t="s">
        <v>734</v>
      </c>
      <c r="D829" t="s">
        <v>413</v>
      </c>
      <c r="E829" t="s">
        <v>414</v>
      </c>
      <c r="F829" t="s">
        <v>510</v>
      </c>
      <c r="G829" t="s">
        <v>428</v>
      </c>
      <c r="H829">
        <v>21</v>
      </c>
      <c r="I829">
        <v>680</v>
      </c>
      <c r="J829">
        <v>1049</v>
      </c>
      <c r="K829">
        <v>14280</v>
      </c>
      <c r="L829">
        <v>22029</v>
      </c>
      <c r="M829">
        <v>7749</v>
      </c>
      <c r="N829" t="s">
        <v>410</v>
      </c>
    </row>
    <row r="830" spans="1:14" x14ac:dyDescent="0.3">
      <c r="A830" s="16">
        <v>45564</v>
      </c>
      <c r="B830" t="s">
        <v>431</v>
      </c>
      <c r="C830" t="s">
        <v>475</v>
      </c>
      <c r="D830" t="s">
        <v>406</v>
      </c>
      <c r="E830" t="s">
        <v>470</v>
      </c>
      <c r="F830" t="s">
        <v>433</v>
      </c>
      <c r="G830" t="s">
        <v>409</v>
      </c>
      <c r="H830">
        <v>13</v>
      </c>
      <c r="I830">
        <v>762</v>
      </c>
      <c r="J830">
        <v>1311</v>
      </c>
      <c r="K830">
        <v>9906</v>
      </c>
      <c r="L830">
        <v>17043</v>
      </c>
      <c r="M830">
        <v>7137</v>
      </c>
      <c r="N830" t="s">
        <v>410</v>
      </c>
    </row>
    <row r="831" spans="1:14" x14ac:dyDescent="0.3">
      <c r="A831" s="16">
        <v>45464</v>
      </c>
      <c r="B831" t="s">
        <v>404</v>
      </c>
      <c r="C831" t="s">
        <v>731</v>
      </c>
      <c r="D831" t="s">
        <v>418</v>
      </c>
      <c r="E831" t="s">
        <v>453</v>
      </c>
      <c r="F831" t="s">
        <v>451</v>
      </c>
      <c r="G831" t="s">
        <v>409</v>
      </c>
      <c r="H831">
        <v>77</v>
      </c>
      <c r="I831">
        <v>923</v>
      </c>
      <c r="J831">
        <v>1132</v>
      </c>
      <c r="K831">
        <v>71071</v>
      </c>
      <c r="L831">
        <v>87164</v>
      </c>
      <c r="M831">
        <v>16093</v>
      </c>
      <c r="N831" t="s">
        <v>410</v>
      </c>
    </row>
    <row r="832" spans="1:14" x14ac:dyDescent="0.3">
      <c r="A832" s="16">
        <v>45713</v>
      </c>
      <c r="B832" t="s">
        <v>459</v>
      </c>
      <c r="C832" t="s">
        <v>757</v>
      </c>
      <c r="D832" t="s">
        <v>418</v>
      </c>
      <c r="E832" t="s">
        <v>758</v>
      </c>
      <c r="F832" t="s">
        <v>439</v>
      </c>
      <c r="G832" t="s">
        <v>428</v>
      </c>
      <c r="H832">
        <v>62</v>
      </c>
      <c r="I832">
        <v>805</v>
      </c>
      <c r="J832">
        <v>1163</v>
      </c>
      <c r="K832">
        <v>49910</v>
      </c>
      <c r="L832">
        <v>72106</v>
      </c>
      <c r="M832">
        <v>22196</v>
      </c>
      <c r="N832" t="s">
        <v>410</v>
      </c>
    </row>
    <row r="833" spans="1:14" x14ac:dyDescent="0.3">
      <c r="A833" s="16">
        <v>45481</v>
      </c>
      <c r="B833" t="s">
        <v>482</v>
      </c>
      <c r="C833" t="s">
        <v>619</v>
      </c>
      <c r="D833" t="s">
        <v>406</v>
      </c>
      <c r="E833" t="s">
        <v>407</v>
      </c>
      <c r="F833" t="s">
        <v>445</v>
      </c>
      <c r="G833" t="s">
        <v>428</v>
      </c>
      <c r="H833">
        <v>20</v>
      </c>
      <c r="I833">
        <v>517</v>
      </c>
      <c r="J833">
        <v>1405</v>
      </c>
      <c r="K833">
        <v>10340</v>
      </c>
      <c r="L833">
        <v>28100</v>
      </c>
      <c r="M833">
        <v>17760</v>
      </c>
      <c r="N833" t="s">
        <v>410</v>
      </c>
    </row>
    <row r="834" spans="1:14" x14ac:dyDescent="0.3">
      <c r="A834" s="16">
        <v>45450</v>
      </c>
      <c r="B834" t="s">
        <v>404</v>
      </c>
      <c r="C834" t="s">
        <v>738</v>
      </c>
      <c r="D834" t="s">
        <v>418</v>
      </c>
      <c r="E834" t="s">
        <v>419</v>
      </c>
      <c r="F834" t="s">
        <v>420</v>
      </c>
      <c r="G834" t="s">
        <v>409</v>
      </c>
      <c r="H834">
        <v>84</v>
      </c>
      <c r="I834">
        <v>931</v>
      </c>
      <c r="J834">
        <v>1475</v>
      </c>
      <c r="K834">
        <v>78204</v>
      </c>
      <c r="L834">
        <v>123900</v>
      </c>
      <c r="M834">
        <v>45696</v>
      </c>
      <c r="N834" t="s">
        <v>410</v>
      </c>
    </row>
    <row r="835" spans="1:14" x14ac:dyDescent="0.3">
      <c r="A835" s="16">
        <v>45695</v>
      </c>
      <c r="B835" t="s">
        <v>459</v>
      </c>
      <c r="C835" t="s">
        <v>692</v>
      </c>
      <c r="D835" t="s">
        <v>413</v>
      </c>
      <c r="E835" t="s">
        <v>444</v>
      </c>
      <c r="F835" t="s">
        <v>424</v>
      </c>
      <c r="G835" t="s">
        <v>428</v>
      </c>
      <c r="H835">
        <v>21</v>
      </c>
      <c r="I835">
        <v>974</v>
      </c>
      <c r="J835">
        <v>1363</v>
      </c>
      <c r="K835">
        <v>20454</v>
      </c>
      <c r="L835">
        <v>28623</v>
      </c>
      <c r="M835">
        <v>8169</v>
      </c>
      <c r="N835" t="s">
        <v>410</v>
      </c>
    </row>
    <row r="836" spans="1:14" x14ac:dyDescent="0.3">
      <c r="A836" s="16">
        <v>45499</v>
      </c>
      <c r="B836" t="s">
        <v>482</v>
      </c>
      <c r="C836" t="s">
        <v>709</v>
      </c>
      <c r="D836" t="s">
        <v>418</v>
      </c>
      <c r="E836" t="s">
        <v>453</v>
      </c>
      <c r="F836" t="s">
        <v>532</v>
      </c>
      <c r="G836" t="s">
        <v>409</v>
      </c>
      <c r="H836">
        <v>51</v>
      </c>
      <c r="I836">
        <v>798</v>
      </c>
      <c r="J836">
        <v>910</v>
      </c>
      <c r="K836">
        <v>40698</v>
      </c>
      <c r="L836">
        <v>46410</v>
      </c>
      <c r="M836">
        <v>5712</v>
      </c>
      <c r="N836" t="s">
        <v>410</v>
      </c>
    </row>
    <row r="837" spans="1:14" x14ac:dyDescent="0.3">
      <c r="A837" s="16">
        <v>45550</v>
      </c>
      <c r="B837" t="s">
        <v>431</v>
      </c>
      <c r="C837" t="s">
        <v>754</v>
      </c>
      <c r="D837" t="s">
        <v>406</v>
      </c>
      <c r="E837" t="s">
        <v>407</v>
      </c>
      <c r="F837" t="s">
        <v>451</v>
      </c>
      <c r="G837" t="s">
        <v>409</v>
      </c>
      <c r="H837">
        <v>12</v>
      </c>
      <c r="I837">
        <v>671</v>
      </c>
      <c r="J837">
        <v>850</v>
      </c>
      <c r="K837">
        <v>8052</v>
      </c>
      <c r="L837">
        <v>10200</v>
      </c>
      <c r="M837">
        <v>2148</v>
      </c>
      <c r="N837" t="s">
        <v>410</v>
      </c>
    </row>
    <row r="838" spans="1:14" x14ac:dyDescent="0.3">
      <c r="A838" s="16">
        <v>45539</v>
      </c>
      <c r="B838" t="s">
        <v>431</v>
      </c>
      <c r="C838" t="s">
        <v>767</v>
      </c>
      <c r="D838" t="s">
        <v>418</v>
      </c>
      <c r="E838" t="s">
        <v>419</v>
      </c>
      <c r="F838" t="s">
        <v>532</v>
      </c>
      <c r="G838" t="s">
        <v>409</v>
      </c>
      <c r="H838">
        <v>85</v>
      </c>
      <c r="I838">
        <v>564</v>
      </c>
      <c r="J838">
        <v>1049</v>
      </c>
      <c r="K838">
        <v>47940</v>
      </c>
      <c r="L838">
        <v>89165</v>
      </c>
      <c r="M838">
        <v>41225</v>
      </c>
      <c r="N838" t="s">
        <v>410</v>
      </c>
    </row>
    <row r="839" spans="1:14" x14ac:dyDescent="0.3">
      <c r="A839" s="16">
        <v>45597</v>
      </c>
      <c r="B839" t="s">
        <v>411</v>
      </c>
      <c r="C839" t="s">
        <v>641</v>
      </c>
      <c r="D839" t="s">
        <v>413</v>
      </c>
      <c r="E839" t="s">
        <v>430</v>
      </c>
      <c r="F839" t="s">
        <v>439</v>
      </c>
      <c r="G839" t="s">
        <v>428</v>
      </c>
      <c r="H839">
        <v>26</v>
      </c>
      <c r="I839">
        <v>728</v>
      </c>
      <c r="J839">
        <v>1466</v>
      </c>
      <c r="K839">
        <v>18928</v>
      </c>
      <c r="L839">
        <v>38116</v>
      </c>
      <c r="M839">
        <v>19188</v>
      </c>
      <c r="N839" t="s">
        <v>410</v>
      </c>
    </row>
    <row r="840" spans="1:14" x14ac:dyDescent="0.3">
      <c r="A840" s="16">
        <v>45560</v>
      </c>
      <c r="B840" t="s">
        <v>431</v>
      </c>
      <c r="C840" t="s">
        <v>644</v>
      </c>
      <c r="D840" t="s">
        <v>418</v>
      </c>
      <c r="E840" t="s">
        <v>419</v>
      </c>
      <c r="F840" t="s">
        <v>415</v>
      </c>
      <c r="G840" t="s">
        <v>428</v>
      </c>
      <c r="H840">
        <v>90</v>
      </c>
      <c r="I840">
        <v>792</v>
      </c>
      <c r="J840">
        <v>818</v>
      </c>
      <c r="K840">
        <v>71280</v>
      </c>
      <c r="L840">
        <v>73620</v>
      </c>
      <c r="M840">
        <v>2340</v>
      </c>
      <c r="N840" t="s">
        <v>410</v>
      </c>
    </row>
    <row r="841" spans="1:14" x14ac:dyDescent="0.3">
      <c r="A841" s="16">
        <v>45540</v>
      </c>
      <c r="B841" t="s">
        <v>431</v>
      </c>
      <c r="C841" t="s">
        <v>748</v>
      </c>
      <c r="D841" t="s">
        <v>418</v>
      </c>
      <c r="E841" t="s">
        <v>419</v>
      </c>
      <c r="F841" t="s">
        <v>465</v>
      </c>
      <c r="G841" t="s">
        <v>409</v>
      </c>
      <c r="H841">
        <v>59</v>
      </c>
      <c r="I841">
        <v>764</v>
      </c>
      <c r="J841">
        <v>1365</v>
      </c>
      <c r="K841">
        <v>45076</v>
      </c>
      <c r="L841">
        <v>80535</v>
      </c>
      <c r="M841">
        <v>35459</v>
      </c>
      <c r="N841" t="s">
        <v>410</v>
      </c>
    </row>
    <row r="842" spans="1:14" x14ac:dyDescent="0.3">
      <c r="A842" s="16">
        <v>45670</v>
      </c>
      <c r="B842" t="s">
        <v>462</v>
      </c>
      <c r="C842" t="s">
        <v>751</v>
      </c>
      <c r="D842" t="s">
        <v>418</v>
      </c>
      <c r="E842" t="s">
        <v>453</v>
      </c>
      <c r="F842" t="s">
        <v>426</v>
      </c>
      <c r="G842" t="s">
        <v>428</v>
      </c>
      <c r="H842">
        <v>54</v>
      </c>
      <c r="I842">
        <v>674</v>
      </c>
      <c r="J842">
        <v>787</v>
      </c>
      <c r="K842">
        <v>36396</v>
      </c>
      <c r="L842">
        <v>42498</v>
      </c>
      <c r="M842">
        <v>6102</v>
      </c>
      <c r="N842" t="s">
        <v>410</v>
      </c>
    </row>
    <row r="843" spans="1:14" x14ac:dyDescent="0.3">
      <c r="A843" s="16">
        <v>45396</v>
      </c>
      <c r="B843" t="s">
        <v>449</v>
      </c>
      <c r="C843" t="s">
        <v>723</v>
      </c>
      <c r="D843" t="s">
        <v>413</v>
      </c>
      <c r="E843" t="s">
        <v>430</v>
      </c>
      <c r="F843" t="s">
        <v>532</v>
      </c>
      <c r="G843" t="s">
        <v>409</v>
      </c>
      <c r="H843">
        <v>27</v>
      </c>
      <c r="I843">
        <v>966</v>
      </c>
      <c r="J843">
        <v>850</v>
      </c>
      <c r="K843">
        <v>26082</v>
      </c>
      <c r="L843">
        <v>22950</v>
      </c>
      <c r="M843">
        <v>-3132</v>
      </c>
      <c r="N843" t="s">
        <v>421</v>
      </c>
    </row>
    <row r="844" spans="1:14" x14ac:dyDescent="0.3">
      <c r="A844" s="16">
        <v>45462</v>
      </c>
      <c r="B844" t="s">
        <v>404</v>
      </c>
      <c r="C844" t="s">
        <v>720</v>
      </c>
      <c r="D844" t="s">
        <v>418</v>
      </c>
      <c r="E844" t="s">
        <v>453</v>
      </c>
      <c r="F844" t="s">
        <v>478</v>
      </c>
      <c r="G844" t="s">
        <v>428</v>
      </c>
      <c r="H844">
        <v>57</v>
      </c>
      <c r="I844">
        <v>724</v>
      </c>
      <c r="J844">
        <v>1432</v>
      </c>
      <c r="K844">
        <v>41268</v>
      </c>
      <c r="L844">
        <v>81624</v>
      </c>
      <c r="M844">
        <v>40356</v>
      </c>
      <c r="N844" t="s">
        <v>410</v>
      </c>
    </row>
    <row r="845" spans="1:14" x14ac:dyDescent="0.3">
      <c r="A845" s="16">
        <v>45614</v>
      </c>
      <c r="B845" t="s">
        <v>411</v>
      </c>
      <c r="C845" t="s">
        <v>662</v>
      </c>
      <c r="D845" t="s">
        <v>413</v>
      </c>
      <c r="E845" t="s">
        <v>414</v>
      </c>
      <c r="F845" t="s">
        <v>408</v>
      </c>
      <c r="G845" t="s">
        <v>409</v>
      </c>
      <c r="H845">
        <v>23</v>
      </c>
      <c r="I845">
        <v>906</v>
      </c>
      <c r="J845">
        <v>1275</v>
      </c>
      <c r="K845">
        <v>20838</v>
      </c>
      <c r="L845">
        <v>29325</v>
      </c>
      <c r="M845">
        <v>8487</v>
      </c>
      <c r="N845" t="s">
        <v>410</v>
      </c>
    </row>
    <row r="846" spans="1:14" x14ac:dyDescent="0.3">
      <c r="A846" s="16">
        <v>45474</v>
      </c>
      <c r="B846" t="s">
        <v>482</v>
      </c>
      <c r="C846" t="s">
        <v>610</v>
      </c>
      <c r="D846" t="s">
        <v>406</v>
      </c>
      <c r="E846" t="s">
        <v>407</v>
      </c>
      <c r="F846" t="s">
        <v>433</v>
      </c>
      <c r="G846" t="s">
        <v>409</v>
      </c>
      <c r="H846">
        <v>13</v>
      </c>
      <c r="I846">
        <v>917</v>
      </c>
      <c r="J846">
        <v>1315</v>
      </c>
      <c r="K846">
        <v>11921</v>
      </c>
      <c r="L846">
        <v>17095</v>
      </c>
      <c r="M846">
        <v>5174</v>
      </c>
      <c r="N846" t="s">
        <v>410</v>
      </c>
    </row>
    <row r="847" spans="1:14" x14ac:dyDescent="0.3">
      <c r="A847" s="16">
        <v>45500</v>
      </c>
      <c r="B847" t="s">
        <v>482</v>
      </c>
      <c r="C847" t="s">
        <v>761</v>
      </c>
      <c r="D847" t="s">
        <v>418</v>
      </c>
      <c r="E847" t="s">
        <v>453</v>
      </c>
      <c r="F847" t="s">
        <v>465</v>
      </c>
      <c r="G847" t="s">
        <v>409</v>
      </c>
      <c r="H847">
        <v>52</v>
      </c>
      <c r="I847">
        <v>984</v>
      </c>
      <c r="J847">
        <v>992</v>
      </c>
      <c r="K847">
        <v>51168</v>
      </c>
      <c r="L847">
        <v>51584</v>
      </c>
      <c r="M847">
        <v>416</v>
      </c>
      <c r="N847" t="s">
        <v>410</v>
      </c>
    </row>
    <row r="848" spans="1:14" x14ac:dyDescent="0.3">
      <c r="A848" s="16">
        <v>45577</v>
      </c>
      <c r="B848" t="s">
        <v>422</v>
      </c>
      <c r="C848" t="s">
        <v>423</v>
      </c>
      <c r="D848" t="s">
        <v>418</v>
      </c>
      <c r="E848" t="s">
        <v>419</v>
      </c>
      <c r="F848" t="s">
        <v>424</v>
      </c>
      <c r="G848" t="s">
        <v>409</v>
      </c>
      <c r="H848">
        <v>57</v>
      </c>
      <c r="I848">
        <v>734</v>
      </c>
      <c r="J848">
        <v>979</v>
      </c>
      <c r="K848">
        <v>41838</v>
      </c>
      <c r="L848">
        <v>55803</v>
      </c>
      <c r="M848">
        <v>13965</v>
      </c>
      <c r="N848" t="s">
        <v>410</v>
      </c>
    </row>
    <row r="849" spans="1:14" x14ac:dyDescent="0.3">
      <c r="A849" s="16">
        <v>45696</v>
      </c>
      <c r="B849" t="s">
        <v>459</v>
      </c>
      <c r="C849" t="s">
        <v>718</v>
      </c>
      <c r="D849" t="s">
        <v>413</v>
      </c>
      <c r="E849" t="s">
        <v>444</v>
      </c>
      <c r="F849" t="s">
        <v>424</v>
      </c>
      <c r="G849" t="s">
        <v>428</v>
      </c>
      <c r="H849">
        <v>22</v>
      </c>
      <c r="I849">
        <v>719</v>
      </c>
      <c r="J849">
        <v>1079</v>
      </c>
      <c r="K849">
        <v>15818</v>
      </c>
      <c r="L849">
        <v>23738</v>
      </c>
      <c r="M849">
        <v>7920</v>
      </c>
      <c r="N849" t="s">
        <v>410</v>
      </c>
    </row>
    <row r="850" spans="1:14" x14ac:dyDescent="0.3">
      <c r="A850" s="16">
        <v>45417</v>
      </c>
      <c r="B850" t="s">
        <v>437</v>
      </c>
      <c r="C850" t="s">
        <v>562</v>
      </c>
      <c r="D850" t="s">
        <v>413</v>
      </c>
      <c r="E850" t="s">
        <v>414</v>
      </c>
      <c r="F850" t="s">
        <v>424</v>
      </c>
      <c r="G850" t="s">
        <v>428</v>
      </c>
      <c r="H850">
        <v>23</v>
      </c>
      <c r="I850">
        <v>846</v>
      </c>
      <c r="J850">
        <v>1143</v>
      </c>
      <c r="K850">
        <v>19458</v>
      </c>
      <c r="L850">
        <v>26289</v>
      </c>
      <c r="M850">
        <v>6831</v>
      </c>
      <c r="N850" t="s">
        <v>410</v>
      </c>
    </row>
    <row r="851" spans="1:14" x14ac:dyDescent="0.3">
      <c r="A851" s="16">
        <v>45692</v>
      </c>
      <c r="B851" t="s">
        <v>459</v>
      </c>
      <c r="C851" t="s">
        <v>513</v>
      </c>
      <c r="D851" t="s">
        <v>413</v>
      </c>
      <c r="E851" t="s">
        <v>444</v>
      </c>
      <c r="F851" t="s">
        <v>510</v>
      </c>
      <c r="G851" t="s">
        <v>428</v>
      </c>
      <c r="H851">
        <v>22</v>
      </c>
      <c r="I851">
        <v>679</v>
      </c>
      <c r="J851">
        <v>1463</v>
      </c>
      <c r="K851">
        <v>14938</v>
      </c>
      <c r="L851">
        <v>32186</v>
      </c>
      <c r="M851">
        <v>17248</v>
      </c>
      <c r="N851" t="s">
        <v>410</v>
      </c>
    </row>
    <row r="852" spans="1:14" x14ac:dyDescent="0.3">
      <c r="A852" s="16">
        <v>45556</v>
      </c>
      <c r="B852" t="s">
        <v>431</v>
      </c>
      <c r="C852" t="s">
        <v>752</v>
      </c>
      <c r="D852" t="s">
        <v>418</v>
      </c>
      <c r="E852" t="s">
        <v>419</v>
      </c>
      <c r="F852" t="s">
        <v>532</v>
      </c>
      <c r="G852" t="s">
        <v>428</v>
      </c>
      <c r="H852">
        <v>66</v>
      </c>
      <c r="I852">
        <v>958</v>
      </c>
      <c r="J852">
        <v>1017</v>
      </c>
      <c r="K852">
        <v>63228</v>
      </c>
      <c r="L852">
        <v>67122</v>
      </c>
      <c r="M852">
        <v>3894</v>
      </c>
      <c r="N852" t="s">
        <v>410</v>
      </c>
    </row>
    <row r="853" spans="1:14" x14ac:dyDescent="0.3">
      <c r="A853" s="16">
        <v>45437</v>
      </c>
      <c r="B853" t="s">
        <v>437</v>
      </c>
      <c r="C853" t="s">
        <v>713</v>
      </c>
      <c r="D853" t="s">
        <v>418</v>
      </c>
      <c r="E853" t="s">
        <v>453</v>
      </c>
      <c r="F853" t="s">
        <v>451</v>
      </c>
      <c r="G853" t="s">
        <v>409</v>
      </c>
      <c r="H853">
        <v>70</v>
      </c>
      <c r="I853">
        <v>605</v>
      </c>
      <c r="J853">
        <v>1489</v>
      </c>
      <c r="K853">
        <v>42350</v>
      </c>
      <c r="L853">
        <v>104230</v>
      </c>
      <c r="M853">
        <v>61880</v>
      </c>
      <c r="N853" t="s">
        <v>410</v>
      </c>
    </row>
    <row r="854" spans="1:14" x14ac:dyDescent="0.3">
      <c r="A854" s="16">
        <v>45651</v>
      </c>
      <c r="B854" t="s">
        <v>416</v>
      </c>
      <c r="C854" t="s">
        <v>512</v>
      </c>
      <c r="D854" t="s">
        <v>418</v>
      </c>
      <c r="E854" t="s">
        <v>419</v>
      </c>
      <c r="F854" t="s">
        <v>442</v>
      </c>
      <c r="G854" t="s">
        <v>409</v>
      </c>
      <c r="H854">
        <v>83</v>
      </c>
      <c r="I854">
        <v>790</v>
      </c>
      <c r="J854">
        <v>1164</v>
      </c>
      <c r="K854">
        <v>65570</v>
      </c>
      <c r="L854">
        <v>96612</v>
      </c>
      <c r="M854">
        <v>31042</v>
      </c>
      <c r="N854" t="s">
        <v>410</v>
      </c>
    </row>
    <row r="855" spans="1:14" x14ac:dyDescent="0.3">
      <c r="A855" s="16">
        <v>45399</v>
      </c>
      <c r="B855" t="s">
        <v>449</v>
      </c>
      <c r="C855" t="s">
        <v>779</v>
      </c>
      <c r="D855" t="s">
        <v>418</v>
      </c>
      <c r="E855" t="s">
        <v>448</v>
      </c>
      <c r="F855" t="s">
        <v>532</v>
      </c>
      <c r="G855" t="s">
        <v>409</v>
      </c>
      <c r="H855">
        <v>79</v>
      </c>
      <c r="I855">
        <v>537</v>
      </c>
      <c r="J855">
        <v>850</v>
      </c>
      <c r="K855">
        <v>42423</v>
      </c>
      <c r="L855">
        <v>67150</v>
      </c>
      <c r="M855">
        <v>24727</v>
      </c>
      <c r="N855" t="s">
        <v>410</v>
      </c>
    </row>
    <row r="856" spans="1:14" x14ac:dyDescent="0.3">
      <c r="A856" s="16">
        <v>45457</v>
      </c>
      <c r="B856" t="s">
        <v>404</v>
      </c>
      <c r="C856" t="s">
        <v>685</v>
      </c>
      <c r="D856" t="s">
        <v>406</v>
      </c>
      <c r="E856" t="s">
        <v>470</v>
      </c>
      <c r="F856" t="s">
        <v>424</v>
      </c>
      <c r="G856" t="s">
        <v>409</v>
      </c>
      <c r="H856">
        <v>13</v>
      </c>
      <c r="I856">
        <v>986</v>
      </c>
      <c r="J856">
        <v>1073</v>
      </c>
      <c r="K856">
        <v>12818</v>
      </c>
      <c r="L856">
        <v>13949</v>
      </c>
      <c r="M856">
        <v>1131</v>
      </c>
      <c r="N856" t="s">
        <v>410</v>
      </c>
    </row>
    <row r="857" spans="1:14" x14ac:dyDescent="0.3">
      <c r="A857" s="16">
        <v>45450</v>
      </c>
      <c r="B857" t="s">
        <v>404</v>
      </c>
      <c r="C857" t="s">
        <v>738</v>
      </c>
      <c r="D857" t="s">
        <v>418</v>
      </c>
      <c r="E857" t="s">
        <v>419</v>
      </c>
      <c r="F857" t="s">
        <v>420</v>
      </c>
      <c r="G857" t="s">
        <v>409</v>
      </c>
      <c r="H857">
        <v>72</v>
      </c>
      <c r="I857">
        <v>937</v>
      </c>
      <c r="J857">
        <v>1154</v>
      </c>
      <c r="K857">
        <v>67464</v>
      </c>
      <c r="L857">
        <v>83088</v>
      </c>
      <c r="M857">
        <v>15624</v>
      </c>
      <c r="N857" t="s">
        <v>410</v>
      </c>
    </row>
    <row r="858" spans="1:14" x14ac:dyDescent="0.3">
      <c r="A858" s="16">
        <v>45432</v>
      </c>
      <c r="B858" t="s">
        <v>437</v>
      </c>
      <c r="C858" t="s">
        <v>530</v>
      </c>
      <c r="D858" t="s">
        <v>418</v>
      </c>
      <c r="E858" t="s">
        <v>453</v>
      </c>
      <c r="F858" t="s">
        <v>408</v>
      </c>
      <c r="G858" t="s">
        <v>428</v>
      </c>
      <c r="H858">
        <v>79</v>
      </c>
      <c r="I858">
        <v>616</v>
      </c>
      <c r="J858">
        <v>944</v>
      </c>
      <c r="K858">
        <v>48664</v>
      </c>
      <c r="L858">
        <v>74576</v>
      </c>
      <c r="M858">
        <v>25912</v>
      </c>
      <c r="N858" t="s">
        <v>410</v>
      </c>
    </row>
    <row r="859" spans="1:14" x14ac:dyDescent="0.3">
      <c r="A859" s="16">
        <v>45413</v>
      </c>
      <c r="B859" t="s">
        <v>437</v>
      </c>
      <c r="C859" t="s">
        <v>760</v>
      </c>
      <c r="D859" t="s">
        <v>413</v>
      </c>
      <c r="E859" t="s">
        <v>414</v>
      </c>
      <c r="F859" t="s">
        <v>442</v>
      </c>
      <c r="G859" t="s">
        <v>409</v>
      </c>
      <c r="H859">
        <v>28</v>
      </c>
      <c r="I859">
        <v>796</v>
      </c>
      <c r="J859">
        <v>1407</v>
      </c>
      <c r="K859">
        <v>22288</v>
      </c>
      <c r="L859">
        <v>39396</v>
      </c>
      <c r="M859">
        <v>17108</v>
      </c>
      <c r="N859" t="s">
        <v>410</v>
      </c>
    </row>
    <row r="860" spans="1:14" x14ac:dyDescent="0.3">
      <c r="A860" s="16">
        <v>45667</v>
      </c>
      <c r="B860" t="s">
        <v>462</v>
      </c>
      <c r="C860" t="s">
        <v>684</v>
      </c>
      <c r="D860" t="s">
        <v>418</v>
      </c>
      <c r="E860" t="s">
        <v>453</v>
      </c>
      <c r="F860" t="s">
        <v>433</v>
      </c>
      <c r="G860" t="s">
        <v>428</v>
      </c>
      <c r="H860">
        <v>56</v>
      </c>
      <c r="I860">
        <v>782</v>
      </c>
      <c r="J860">
        <v>1353</v>
      </c>
      <c r="K860">
        <v>43792</v>
      </c>
      <c r="L860">
        <v>75768</v>
      </c>
      <c r="M860">
        <v>31976</v>
      </c>
      <c r="N860" t="s">
        <v>410</v>
      </c>
    </row>
    <row r="861" spans="1:14" x14ac:dyDescent="0.3">
      <c r="A861" s="16">
        <v>45472</v>
      </c>
      <c r="B861" t="s">
        <v>404</v>
      </c>
      <c r="C861" t="s">
        <v>405</v>
      </c>
      <c r="D861" t="s">
        <v>406</v>
      </c>
      <c r="E861" t="s">
        <v>407</v>
      </c>
      <c r="F861" t="s">
        <v>408</v>
      </c>
      <c r="G861" t="s">
        <v>409</v>
      </c>
      <c r="H861">
        <v>11</v>
      </c>
      <c r="I861">
        <v>616</v>
      </c>
      <c r="J861">
        <v>1015</v>
      </c>
      <c r="K861">
        <v>6776</v>
      </c>
      <c r="L861">
        <v>11165</v>
      </c>
      <c r="M861">
        <v>4389</v>
      </c>
      <c r="N861" t="s">
        <v>410</v>
      </c>
    </row>
    <row r="862" spans="1:14" x14ac:dyDescent="0.3">
      <c r="A862" s="16">
        <v>45675</v>
      </c>
      <c r="B862" t="s">
        <v>462</v>
      </c>
      <c r="C862" t="s">
        <v>613</v>
      </c>
      <c r="D862" t="s">
        <v>418</v>
      </c>
      <c r="E862" t="s">
        <v>419</v>
      </c>
      <c r="F862" t="s">
        <v>451</v>
      </c>
      <c r="G862" t="s">
        <v>409</v>
      </c>
      <c r="H862">
        <v>90</v>
      </c>
      <c r="I862">
        <v>962</v>
      </c>
      <c r="J862">
        <v>970</v>
      </c>
      <c r="K862">
        <v>86580</v>
      </c>
      <c r="L862">
        <v>87300</v>
      </c>
      <c r="M862">
        <v>720</v>
      </c>
      <c r="N862" t="s">
        <v>410</v>
      </c>
    </row>
    <row r="863" spans="1:14" x14ac:dyDescent="0.3">
      <c r="A863" s="16">
        <v>45541</v>
      </c>
      <c r="B863" t="s">
        <v>431</v>
      </c>
      <c r="C863" t="s">
        <v>653</v>
      </c>
      <c r="D863" t="s">
        <v>418</v>
      </c>
      <c r="E863" t="s">
        <v>419</v>
      </c>
      <c r="F863" t="s">
        <v>424</v>
      </c>
      <c r="G863" t="s">
        <v>409</v>
      </c>
      <c r="H863">
        <v>99</v>
      </c>
      <c r="I863">
        <v>523</v>
      </c>
      <c r="J863">
        <v>1350</v>
      </c>
      <c r="K863">
        <v>51777</v>
      </c>
      <c r="L863">
        <v>133650</v>
      </c>
      <c r="M863">
        <v>81873</v>
      </c>
      <c r="N863" t="s">
        <v>410</v>
      </c>
    </row>
    <row r="864" spans="1:14" x14ac:dyDescent="0.3">
      <c r="A864" s="16">
        <v>45569</v>
      </c>
      <c r="B864" t="s">
        <v>422</v>
      </c>
      <c r="C864" t="s">
        <v>755</v>
      </c>
      <c r="D864" t="s">
        <v>418</v>
      </c>
      <c r="E864" t="s">
        <v>453</v>
      </c>
      <c r="F864" t="s">
        <v>465</v>
      </c>
      <c r="G864" t="s">
        <v>409</v>
      </c>
      <c r="H864">
        <v>77</v>
      </c>
      <c r="I864">
        <v>951</v>
      </c>
      <c r="J864">
        <v>1432</v>
      </c>
      <c r="K864">
        <v>73227</v>
      </c>
      <c r="L864">
        <v>110264</v>
      </c>
      <c r="M864">
        <v>37037</v>
      </c>
      <c r="N864" t="s">
        <v>410</v>
      </c>
    </row>
    <row r="865" spans="1:14" x14ac:dyDescent="0.3">
      <c r="A865" s="16">
        <v>45474</v>
      </c>
      <c r="B865" t="s">
        <v>482</v>
      </c>
      <c r="C865" t="s">
        <v>610</v>
      </c>
      <c r="D865" t="s">
        <v>406</v>
      </c>
      <c r="E865" t="s">
        <v>407</v>
      </c>
      <c r="F865" t="s">
        <v>433</v>
      </c>
      <c r="G865" t="s">
        <v>409</v>
      </c>
      <c r="H865">
        <v>19</v>
      </c>
      <c r="I865">
        <v>816</v>
      </c>
      <c r="J865">
        <v>1285</v>
      </c>
      <c r="K865">
        <v>15504</v>
      </c>
      <c r="L865">
        <v>24415</v>
      </c>
      <c r="M865">
        <v>8911</v>
      </c>
      <c r="N865" t="s">
        <v>410</v>
      </c>
    </row>
    <row r="866" spans="1:14" x14ac:dyDescent="0.3">
      <c r="A866" s="16">
        <v>45494</v>
      </c>
      <c r="B866" t="s">
        <v>482</v>
      </c>
      <c r="C866" t="s">
        <v>509</v>
      </c>
      <c r="D866" t="s">
        <v>413</v>
      </c>
      <c r="E866" t="s">
        <v>444</v>
      </c>
      <c r="F866" t="s">
        <v>510</v>
      </c>
      <c r="G866" t="s">
        <v>409</v>
      </c>
      <c r="H866">
        <v>23</v>
      </c>
      <c r="I866">
        <v>730</v>
      </c>
      <c r="J866">
        <v>1189</v>
      </c>
      <c r="K866">
        <v>16790</v>
      </c>
      <c r="L866">
        <v>27347</v>
      </c>
      <c r="M866">
        <v>10557</v>
      </c>
      <c r="N866" t="s">
        <v>410</v>
      </c>
    </row>
    <row r="867" spans="1:14" x14ac:dyDescent="0.3">
      <c r="A867" s="16">
        <v>45589</v>
      </c>
      <c r="B867" t="s">
        <v>422</v>
      </c>
      <c r="C867" t="s">
        <v>702</v>
      </c>
      <c r="D867" t="s">
        <v>413</v>
      </c>
      <c r="E867" t="s">
        <v>494</v>
      </c>
      <c r="F867" t="s">
        <v>454</v>
      </c>
      <c r="G867" t="s">
        <v>409</v>
      </c>
      <c r="H867">
        <v>20</v>
      </c>
      <c r="I867">
        <v>999</v>
      </c>
      <c r="J867">
        <v>1191</v>
      </c>
      <c r="K867">
        <v>19980</v>
      </c>
      <c r="L867">
        <v>23820</v>
      </c>
      <c r="M867">
        <v>3840</v>
      </c>
      <c r="N867" t="s">
        <v>410</v>
      </c>
    </row>
    <row r="868" spans="1:14" x14ac:dyDescent="0.3">
      <c r="A868" s="16">
        <v>45423</v>
      </c>
      <c r="B868" t="s">
        <v>437</v>
      </c>
      <c r="C868" t="s">
        <v>697</v>
      </c>
      <c r="D868" t="s">
        <v>413</v>
      </c>
      <c r="E868" t="s">
        <v>444</v>
      </c>
      <c r="F868" t="s">
        <v>542</v>
      </c>
      <c r="G868" t="s">
        <v>409</v>
      </c>
      <c r="H868">
        <v>22</v>
      </c>
      <c r="I868">
        <v>866</v>
      </c>
      <c r="J868">
        <v>1453</v>
      </c>
      <c r="K868">
        <v>19052</v>
      </c>
      <c r="L868">
        <v>31966</v>
      </c>
      <c r="M868">
        <v>12914</v>
      </c>
      <c r="N868" t="s">
        <v>410</v>
      </c>
    </row>
    <row r="869" spans="1:14" x14ac:dyDescent="0.3">
      <c r="A869" s="16">
        <v>45558</v>
      </c>
      <c r="B869" t="s">
        <v>431</v>
      </c>
      <c r="C869" t="s">
        <v>733</v>
      </c>
      <c r="D869" t="s">
        <v>418</v>
      </c>
      <c r="E869" t="s">
        <v>419</v>
      </c>
      <c r="F869" t="s">
        <v>472</v>
      </c>
      <c r="G869" t="s">
        <v>409</v>
      </c>
      <c r="H869">
        <v>88</v>
      </c>
      <c r="I869">
        <v>943</v>
      </c>
      <c r="J869">
        <v>1082</v>
      </c>
      <c r="K869">
        <v>82984</v>
      </c>
      <c r="L869">
        <v>95216</v>
      </c>
      <c r="M869">
        <v>12232</v>
      </c>
      <c r="N869" t="s">
        <v>410</v>
      </c>
    </row>
    <row r="870" spans="1:14" x14ac:dyDescent="0.3">
      <c r="A870" s="16">
        <v>45528</v>
      </c>
      <c r="B870" t="s">
        <v>434</v>
      </c>
      <c r="C870" t="s">
        <v>507</v>
      </c>
      <c r="D870" t="s">
        <v>418</v>
      </c>
      <c r="E870" t="s">
        <v>453</v>
      </c>
      <c r="F870" t="s">
        <v>433</v>
      </c>
      <c r="G870" t="s">
        <v>409</v>
      </c>
      <c r="H870">
        <v>63</v>
      </c>
      <c r="I870">
        <v>525</v>
      </c>
      <c r="J870">
        <v>1182</v>
      </c>
      <c r="K870">
        <v>33075</v>
      </c>
      <c r="L870">
        <v>74466</v>
      </c>
      <c r="M870">
        <v>41391</v>
      </c>
      <c r="N870" t="s">
        <v>410</v>
      </c>
    </row>
    <row r="871" spans="1:14" x14ac:dyDescent="0.3">
      <c r="A871" s="16">
        <v>45694</v>
      </c>
      <c r="B871" t="s">
        <v>459</v>
      </c>
      <c r="C871" t="s">
        <v>595</v>
      </c>
      <c r="D871" t="s">
        <v>413</v>
      </c>
      <c r="E871" t="s">
        <v>444</v>
      </c>
      <c r="F871" t="s">
        <v>504</v>
      </c>
      <c r="G871" t="s">
        <v>428</v>
      </c>
      <c r="H871">
        <v>27</v>
      </c>
      <c r="I871">
        <v>636</v>
      </c>
      <c r="J871">
        <v>1284</v>
      </c>
      <c r="K871">
        <v>17172</v>
      </c>
      <c r="L871">
        <v>34668</v>
      </c>
      <c r="M871">
        <v>17496</v>
      </c>
      <c r="N871" t="s">
        <v>410</v>
      </c>
    </row>
    <row r="872" spans="1:14" x14ac:dyDescent="0.3">
      <c r="A872" s="16">
        <v>45397</v>
      </c>
      <c r="B872" t="s">
        <v>449</v>
      </c>
      <c r="C872" t="s">
        <v>707</v>
      </c>
      <c r="D872" t="s">
        <v>418</v>
      </c>
      <c r="E872" t="s">
        <v>448</v>
      </c>
      <c r="F872" t="s">
        <v>451</v>
      </c>
      <c r="G872" t="s">
        <v>409</v>
      </c>
      <c r="H872">
        <v>57</v>
      </c>
      <c r="I872">
        <v>724</v>
      </c>
      <c r="J872">
        <v>839</v>
      </c>
      <c r="K872">
        <v>41268</v>
      </c>
      <c r="L872">
        <v>47823</v>
      </c>
      <c r="M872">
        <v>6555</v>
      </c>
      <c r="N872" t="s">
        <v>410</v>
      </c>
    </row>
    <row r="873" spans="1:14" x14ac:dyDescent="0.3">
      <c r="A873" s="16">
        <v>45699</v>
      </c>
      <c r="B873" t="s">
        <v>459</v>
      </c>
      <c r="C873" t="s">
        <v>715</v>
      </c>
      <c r="D873" t="s">
        <v>413</v>
      </c>
      <c r="E873" t="s">
        <v>444</v>
      </c>
      <c r="F873" t="s">
        <v>408</v>
      </c>
      <c r="G873" t="s">
        <v>409</v>
      </c>
      <c r="H873">
        <v>26</v>
      </c>
      <c r="I873">
        <v>842</v>
      </c>
      <c r="J873">
        <v>1074</v>
      </c>
      <c r="K873">
        <v>21892</v>
      </c>
      <c r="L873">
        <v>27924</v>
      </c>
      <c r="M873">
        <v>6032</v>
      </c>
      <c r="N873" t="s">
        <v>410</v>
      </c>
    </row>
    <row r="874" spans="1:14" x14ac:dyDescent="0.3">
      <c r="A874" s="16">
        <v>45615</v>
      </c>
      <c r="B874" t="s">
        <v>411</v>
      </c>
      <c r="C874" t="s">
        <v>630</v>
      </c>
      <c r="D874" t="s">
        <v>413</v>
      </c>
      <c r="E874" t="s">
        <v>414</v>
      </c>
      <c r="F874" t="s">
        <v>433</v>
      </c>
      <c r="G874" t="s">
        <v>409</v>
      </c>
      <c r="H874">
        <v>21</v>
      </c>
      <c r="I874">
        <v>547</v>
      </c>
      <c r="J874">
        <v>784</v>
      </c>
      <c r="K874">
        <v>11487</v>
      </c>
      <c r="L874">
        <v>16464</v>
      </c>
      <c r="M874">
        <v>4977</v>
      </c>
      <c r="N874" t="s">
        <v>410</v>
      </c>
    </row>
    <row r="875" spans="1:14" x14ac:dyDescent="0.3">
      <c r="A875" s="16">
        <v>45405</v>
      </c>
      <c r="B875" t="s">
        <v>449</v>
      </c>
      <c r="C875" t="s">
        <v>749</v>
      </c>
      <c r="D875" t="s">
        <v>413</v>
      </c>
      <c r="E875" t="s">
        <v>414</v>
      </c>
      <c r="F875" t="s">
        <v>426</v>
      </c>
      <c r="G875" t="s">
        <v>428</v>
      </c>
      <c r="H875">
        <v>29</v>
      </c>
      <c r="I875">
        <v>893</v>
      </c>
      <c r="J875">
        <v>865</v>
      </c>
      <c r="K875">
        <v>25897</v>
      </c>
      <c r="L875">
        <v>25085</v>
      </c>
      <c r="M875">
        <v>-812</v>
      </c>
      <c r="N875" t="s">
        <v>421</v>
      </c>
    </row>
    <row r="876" spans="1:14" x14ac:dyDescent="0.3">
      <c r="A876" s="16">
        <v>45637</v>
      </c>
      <c r="B876" t="s">
        <v>416</v>
      </c>
      <c r="C876" t="s">
        <v>771</v>
      </c>
      <c r="D876" t="s">
        <v>418</v>
      </c>
      <c r="E876" t="s">
        <v>453</v>
      </c>
      <c r="F876" t="s">
        <v>439</v>
      </c>
      <c r="G876" t="s">
        <v>428</v>
      </c>
      <c r="H876">
        <v>55</v>
      </c>
      <c r="I876">
        <v>666</v>
      </c>
      <c r="J876">
        <v>1358</v>
      </c>
      <c r="K876">
        <v>36630</v>
      </c>
      <c r="L876">
        <v>74690</v>
      </c>
      <c r="M876">
        <v>38060</v>
      </c>
      <c r="N876" t="s">
        <v>410</v>
      </c>
    </row>
    <row r="877" spans="1:14" x14ac:dyDescent="0.3">
      <c r="A877" s="16">
        <v>45526</v>
      </c>
      <c r="B877" t="s">
        <v>434</v>
      </c>
      <c r="C877" t="s">
        <v>609</v>
      </c>
      <c r="D877" t="s">
        <v>413</v>
      </c>
      <c r="E877" t="s">
        <v>444</v>
      </c>
      <c r="F877" t="s">
        <v>426</v>
      </c>
      <c r="G877" t="s">
        <v>409</v>
      </c>
      <c r="H877">
        <v>23</v>
      </c>
      <c r="I877">
        <v>923</v>
      </c>
      <c r="J877">
        <v>897</v>
      </c>
      <c r="K877">
        <v>21229</v>
      </c>
      <c r="L877">
        <v>20631</v>
      </c>
      <c r="M877">
        <v>-598</v>
      </c>
      <c r="N877" t="s">
        <v>421</v>
      </c>
    </row>
    <row r="878" spans="1:14" x14ac:dyDescent="0.3">
      <c r="A878" s="16">
        <v>45439</v>
      </c>
      <c r="B878" t="s">
        <v>437</v>
      </c>
      <c r="C878" t="s">
        <v>557</v>
      </c>
      <c r="D878" t="s">
        <v>418</v>
      </c>
      <c r="E878" t="s">
        <v>453</v>
      </c>
      <c r="F878" t="s">
        <v>532</v>
      </c>
      <c r="G878" t="s">
        <v>409</v>
      </c>
      <c r="H878">
        <v>53</v>
      </c>
      <c r="I878">
        <v>665</v>
      </c>
      <c r="J878">
        <v>1206</v>
      </c>
      <c r="K878">
        <v>35245</v>
      </c>
      <c r="L878">
        <v>63918</v>
      </c>
      <c r="M878">
        <v>28673</v>
      </c>
      <c r="N878" t="s">
        <v>410</v>
      </c>
    </row>
    <row r="879" spans="1:14" x14ac:dyDescent="0.3">
      <c r="A879" s="16">
        <v>45458</v>
      </c>
      <c r="B879" t="s">
        <v>404</v>
      </c>
      <c r="C879" t="s">
        <v>606</v>
      </c>
      <c r="D879" t="s">
        <v>406</v>
      </c>
      <c r="E879" t="s">
        <v>470</v>
      </c>
      <c r="F879" t="s">
        <v>424</v>
      </c>
      <c r="G879" t="s">
        <v>409</v>
      </c>
      <c r="H879">
        <v>17</v>
      </c>
      <c r="I879">
        <v>901</v>
      </c>
      <c r="J879">
        <v>1283</v>
      </c>
      <c r="K879">
        <v>15317</v>
      </c>
      <c r="L879">
        <v>21811</v>
      </c>
      <c r="M879">
        <v>6494</v>
      </c>
      <c r="N879" t="s">
        <v>410</v>
      </c>
    </row>
    <row r="880" spans="1:14" x14ac:dyDescent="0.3">
      <c r="A880" s="16">
        <v>45563</v>
      </c>
      <c r="B880" t="s">
        <v>431</v>
      </c>
      <c r="C880" t="s">
        <v>605</v>
      </c>
      <c r="D880" t="s">
        <v>406</v>
      </c>
      <c r="E880" t="s">
        <v>470</v>
      </c>
      <c r="F880" t="s">
        <v>433</v>
      </c>
      <c r="G880" t="s">
        <v>409</v>
      </c>
      <c r="H880">
        <v>18</v>
      </c>
      <c r="I880">
        <v>835</v>
      </c>
      <c r="J880">
        <v>1234</v>
      </c>
      <c r="K880">
        <v>15030</v>
      </c>
      <c r="L880">
        <v>22212</v>
      </c>
      <c r="M880">
        <v>7182</v>
      </c>
      <c r="N880" t="s">
        <v>410</v>
      </c>
    </row>
    <row r="881" spans="1:14" x14ac:dyDescent="0.3">
      <c r="A881" s="16">
        <v>45653</v>
      </c>
      <c r="B881" t="s">
        <v>416</v>
      </c>
      <c r="C881" t="s">
        <v>744</v>
      </c>
      <c r="D881" t="s">
        <v>418</v>
      </c>
      <c r="E881" t="s">
        <v>419</v>
      </c>
      <c r="F881" t="s">
        <v>439</v>
      </c>
      <c r="G881" t="s">
        <v>428</v>
      </c>
      <c r="H881">
        <v>97</v>
      </c>
      <c r="I881">
        <v>500</v>
      </c>
      <c r="J881">
        <v>1417</v>
      </c>
      <c r="K881">
        <v>48500</v>
      </c>
      <c r="L881">
        <v>137449</v>
      </c>
      <c r="M881">
        <v>88949</v>
      </c>
      <c r="N881" t="s">
        <v>410</v>
      </c>
    </row>
    <row r="882" spans="1:14" x14ac:dyDescent="0.3">
      <c r="A882" s="16">
        <v>45624</v>
      </c>
      <c r="B882" t="s">
        <v>411</v>
      </c>
      <c r="C882" t="s">
        <v>727</v>
      </c>
      <c r="D882" t="s">
        <v>413</v>
      </c>
      <c r="E882" t="s">
        <v>444</v>
      </c>
      <c r="F882" t="s">
        <v>408</v>
      </c>
      <c r="G882" t="s">
        <v>409</v>
      </c>
      <c r="H882">
        <v>30</v>
      </c>
      <c r="I882">
        <v>591</v>
      </c>
      <c r="J882">
        <v>949</v>
      </c>
      <c r="K882">
        <v>17730</v>
      </c>
      <c r="L882">
        <v>28470</v>
      </c>
      <c r="M882">
        <v>10740</v>
      </c>
      <c r="N882" t="s">
        <v>410</v>
      </c>
    </row>
    <row r="883" spans="1:14" x14ac:dyDescent="0.3">
      <c r="A883" s="16">
        <v>45547</v>
      </c>
      <c r="B883" t="s">
        <v>431</v>
      </c>
      <c r="C883" t="s">
        <v>696</v>
      </c>
      <c r="D883" t="s">
        <v>406</v>
      </c>
      <c r="E883" t="s">
        <v>407</v>
      </c>
      <c r="F883" t="s">
        <v>478</v>
      </c>
      <c r="G883" t="s">
        <v>409</v>
      </c>
      <c r="H883">
        <v>19</v>
      </c>
      <c r="I883">
        <v>653</v>
      </c>
      <c r="J883">
        <v>1402</v>
      </c>
      <c r="K883">
        <v>12407</v>
      </c>
      <c r="L883">
        <v>26638</v>
      </c>
      <c r="M883">
        <v>14231</v>
      </c>
      <c r="N883" t="s">
        <v>410</v>
      </c>
    </row>
    <row r="884" spans="1:14" x14ac:dyDescent="0.3">
      <c r="A884" s="16">
        <v>45684</v>
      </c>
      <c r="B884" t="s">
        <v>462</v>
      </c>
      <c r="C884" t="s">
        <v>622</v>
      </c>
      <c r="D884" t="s">
        <v>406</v>
      </c>
      <c r="E884" t="s">
        <v>407</v>
      </c>
      <c r="F884" t="s">
        <v>465</v>
      </c>
      <c r="G884" t="s">
        <v>428</v>
      </c>
      <c r="H884">
        <v>19</v>
      </c>
      <c r="I884">
        <v>701</v>
      </c>
      <c r="J884">
        <v>1136</v>
      </c>
      <c r="K884">
        <v>13319</v>
      </c>
      <c r="L884">
        <v>21584</v>
      </c>
      <c r="M884">
        <v>8265</v>
      </c>
      <c r="N884" t="s">
        <v>410</v>
      </c>
    </row>
    <row r="885" spans="1:14" x14ac:dyDescent="0.3">
      <c r="A885" s="16">
        <v>45559</v>
      </c>
      <c r="B885" t="s">
        <v>431</v>
      </c>
      <c r="C885" t="s">
        <v>570</v>
      </c>
      <c r="D885" t="s">
        <v>418</v>
      </c>
      <c r="E885" t="s">
        <v>419</v>
      </c>
      <c r="F885" t="s">
        <v>532</v>
      </c>
      <c r="G885" t="s">
        <v>428</v>
      </c>
      <c r="H885">
        <v>96</v>
      </c>
      <c r="I885">
        <v>520</v>
      </c>
      <c r="J885">
        <v>1208</v>
      </c>
      <c r="K885">
        <v>49920</v>
      </c>
      <c r="L885">
        <v>115968</v>
      </c>
      <c r="M885">
        <v>66048</v>
      </c>
      <c r="N885" t="s">
        <v>410</v>
      </c>
    </row>
    <row r="886" spans="1:14" x14ac:dyDescent="0.3">
      <c r="A886" s="16">
        <v>45596</v>
      </c>
      <c r="B886" t="s">
        <v>422</v>
      </c>
      <c r="C886" t="s">
        <v>777</v>
      </c>
      <c r="D886" t="s">
        <v>413</v>
      </c>
      <c r="E886" t="s">
        <v>430</v>
      </c>
      <c r="F886" t="s">
        <v>510</v>
      </c>
      <c r="G886" t="s">
        <v>428</v>
      </c>
      <c r="H886">
        <v>21</v>
      </c>
      <c r="I886">
        <v>596</v>
      </c>
      <c r="J886">
        <v>838</v>
      </c>
      <c r="K886">
        <v>12516</v>
      </c>
      <c r="L886">
        <v>17598</v>
      </c>
      <c r="M886">
        <v>5082</v>
      </c>
      <c r="N886" t="s">
        <v>410</v>
      </c>
    </row>
    <row r="887" spans="1:14" x14ac:dyDescent="0.3">
      <c r="A887" s="16">
        <v>45712</v>
      </c>
      <c r="B887" t="s">
        <v>459</v>
      </c>
      <c r="C887" t="s">
        <v>687</v>
      </c>
      <c r="D887" t="s">
        <v>418</v>
      </c>
      <c r="E887" t="s">
        <v>419</v>
      </c>
      <c r="F887" t="s">
        <v>439</v>
      </c>
      <c r="G887" t="s">
        <v>428</v>
      </c>
      <c r="H887">
        <v>84</v>
      </c>
      <c r="I887">
        <v>738</v>
      </c>
      <c r="J887">
        <v>1080</v>
      </c>
      <c r="K887">
        <v>61992</v>
      </c>
      <c r="L887">
        <v>90720</v>
      </c>
      <c r="M887">
        <v>28728</v>
      </c>
      <c r="N887" t="s">
        <v>410</v>
      </c>
    </row>
    <row r="888" spans="1:14" x14ac:dyDescent="0.3">
      <c r="A888" s="16">
        <v>45458</v>
      </c>
      <c r="B888" t="s">
        <v>404</v>
      </c>
      <c r="C888" t="s">
        <v>606</v>
      </c>
      <c r="D888" t="s">
        <v>406</v>
      </c>
      <c r="E888" t="s">
        <v>470</v>
      </c>
      <c r="F888" t="s">
        <v>424</v>
      </c>
      <c r="G888" t="s">
        <v>409</v>
      </c>
      <c r="H888">
        <v>14</v>
      </c>
      <c r="I888">
        <v>603</v>
      </c>
      <c r="J888">
        <v>1104</v>
      </c>
      <c r="K888">
        <v>8442</v>
      </c>
      <c r="L888">
        <v>15456</v>
      </c>
      <c r="M888">
        <v>7014</v>
      </c>
      <c r="N888" t="s">
        <v>410</v>
      </c>
    </row>
    <row r="889" spans="1:14" x14ac:dyDescent="0.3">
      <c r="A889" s="16">
        <v>45688</v>
      </c>
      <c r="B889" t="s">
        <v>462</v>
      </c>
      <c r="C889" t="s">
        <v>544</v>
      </c>
      <c r="D889" t="s">
        <v>406</v>
      </c>
      <c r="E889" t="s">
        <v>407</v>
      </c>
      <c r="F889" t="s">
        <v>420</v>
      </c>
      <c r="G889" t="s">
        <v>428</v>
      </c>
      <c r="H889">
        <v>17</v>
      </c>
      <c r="I889">
        <v>750</v>
      </c>
      <c r="J889">
        <v>1253</v>
      </c>
      <c r="K889">
        <v>12750</v>
      </c>
      <c r="L889">
        <v>21301</v>
      </c>
      <c r="M889">
        <v>8551</v>
      </c>
      <c r="N889" t="s">
        <v>410</v>
      </c>
    </row>
    <row r="890" spans="1:14" x14ac:dyDescent="0.3">
      <c r="A890" s="16">
        <v>45484</v>
      </c>
      <c r="B890" t="s">
        <v>482</v>
      </c>
      <c r="C890" t="s">
        <v>520</v>
      </c>
      <c r="D890" t="s">
        <v>413</v>
      </c>
      <c r="E890" t="s">
        <v>444</v>
      </c>
      <c r="F890" t="s">
        <v>433</v>
      </c>
      <c r="G890" t="s">
        <v>428</v>
      </c>
      <c r="H890">
        <v>26</v>
      </c>
      <c r="I890">
        <v>771</v>
      </c>
      <c r="J890">
        <v>1172</v>
      </c>
      <c r="K890">
        <v>20046</v>
      </c>
      <c r="L890">
        <v>30472</v>
      </c>
      <c r="M890">
        <v>10426</v>
      </c>
      <c r="N890" t="s">
        <v>410</v>
      </c>
    </row>
    <row r="891" spans="1:14" x14ac:dyDescent="0.3">
      <c r="A891" s="16">
        <v>45539</v>
      </c>
      <c r="B891" t="s">
        <v>431</v>
      </c>
      <c r="C891" t="s">
        <v>767</v>
      </c>
      <c r="D891" t="s">
        <v>418</v>
      </c>
      <c r="E891" t="s">
        <v>419</v>
      </c>
      <c r="F891" t="s">
        <v>532</v>
      </c>
      <c r="G891" t="s">
        <v>409</v>
      </c>
      <c r="H891">
        <v>77</v>
      </c>
      <c r="I891">
        <v>780</v>
      </c>
      <c r="J891">
        <v>967</v>
      </c>
      <c r="K891">
        <v>60060</v>
      </c>
      <c r="L891">
        <v>74459</v>
      </c>
      <c r="M891">
        <v>14399</v>
      </c>
      <c r="N891" t="s">
        <v>410</v>
      </c>
    </row>
    <row r="892" spans="1:14" x14ac:dyDescent="0.3">
      <c r="A892" s="16">
        <v>45659</v>
      </c>
      <c r="B892" t="s">
        <v>462</v>
      </c>
      <c r="C892" t="s">
        <v>469</v>
      </c>
      <c r="D892" t="s">
        <v>406</v>
      </c>
      <c r="E892" t="s">
        <v>470</v>
      </c>
      <c r="F892" t="s">
        <v>424</v>
      </c>
      <c r="G892" t="s">
        <v>409</v>
      </c>
      <c r="H892">
        <v>19</v>
      </c>
      <c r="I892">
        <v>608</v>
      </c>
      <c r="J892">
        <v>1032</v>
      </c>
      <c r="K892">
        <v>11552</v>
      </c>
      <c r="L892">
        <v>19608</v>
      </c>
      <c r="M892">
        <v>8056</v>
      </c>
      <c r="N892" t="s">
        <v>410</v>
      </c>
    </row>
    <row r="893" spans="1:14" x14ac:dyDescent="0.3">
      <c r="A893" s="16">
        <v>45388</v>
      </c>
      <c r="B893" t="s">
        <v>449</v>
      </c>
      <c r="C893" t="s">
        <v>574</v>
      </c>
      <c r="D893" t="s">
        <v>418</v>
      </c>
      <c r="E893" t="s">
        <v>441</v>
      </c>
      <c r="F893" t="s">
        <v>436</v>
      </c>
      <c r="G893" t="s">
        <v>428</v>
      </c>
      <c r="H893">
        <v>84</v>
      </c>
      <c r="I893">
        <v>784</v>
      </c>
      <c r="J893">
        <v>965</v>
      </c>
      <c r="K893">
        <v>65856</v>
      </c>
      <c r="L893">
        <v>81060</v>
      </c>
      <c r="M893">
        <v>15204</v>
      </c>
      <c r="N893" t="s">
        <v>410</v>
      </c>
    </row>
    <row r="894" spans="1:14" x14ac:dyDescent="0.3">
      <c r="A894" s="16">
        <v>45406</v>
      </c>
      <c r="B894" t="s">
        <v>449</v>
      </c>
      <c r="C894" t="s">
        <v>654</v>
      </c>
      <c r="D894" t="s">
        <v>413</v>
      </c>
      <c r="E894" t="s">
        <v>414</v>
      </c>
      <c r="F894" t="s">
        <v>426</v>
      </c>
      <c r="G894" t="s">
        <v>428</v>
      </c>
      <c r="H894">
        <v>23</v>
      </c>
      <c r="I894">
        <v>779</v>
      </c>
      <c r="J894">
        <v>1415</v>
      </c>
      <c r="K894">
        <v>17917</v>
      </c>
      <c r="L894">
        <v>32545</v>
      </c>
      <c r="M894">
        <v>14628</v>
      </c>
      <c r="N894" t="s">
        <v>410</v>
      </c>
    </row>
    <row r="895" spans="1:14" x14ac:dyDescent="0.3">
      <c r="A895" s="16">
        <v>45678</v>
      </c>
      <c r="B895" t="s">
        <v>462</v>
      </c>
      <c r="C895" t="s">
        <v>521</v>
      </c>
      <c r="D895" t="s">
        <v>406</v>
      </c>
      <c r="E895" t="s">
        <v>407</v>
      </c>
      <c r="F895" t="s">
        <v>510</v>
      </c>
      <c r="G895" t="s">
        <v>409</v>
      </c>
      <c r="H895">
        <v>11</v>
      </c>
      <c r="I895">
        <v>519</v>
      </c>
      <c r="J895">
        <v>1143</v>
      </c>
      <c r="K895">
        <v>5709</v>
      </c>
      <c r="L895">
        <v>12573</v>
      </c>
      <c r="M895">
        <v>6864</v>
      </c>
      <c r="N895" t="s">
        <v>410</v>
      </c>
    </row>
    <row r="896" spans="1:14" x14ac:dyDescent="0.3">
      <c r="A896" s="16">
        <v>45486</v>
      </c>
      <c r="B896" t="s">
        <v>482</v>
      </c>
      <c r="C896" t="s">
        <v>559</v>
      </c>
      <c r="D896" t="s">
        <v>413</v>
      </c>
      <c r="E896" t="s">
        <v>444</v>
      </c>
      <c r="F896" t="s">
        <v>426</v>
      </c>
      <c r="G896" t="s">
        <v>428</v>
      </c>
      <c r="H896">
        <v>22</v>
      </c>
      <c r="I896">
        <v>974</v>
      </c>
      <c r="J896">
        <v>1329</v>
      </c>
      <c r="K896">
        <v>21428</v>
      </c>
      <c r="L896">
        <v>29238</v>
      </c>
      <c r="M896">
        <v>7810</v>
      </c>
      <c r="N896" t="s">
        <v>410</v>
      </c>
    </row>
    <row r="897" spans="1:14" x14ac:dyDescent="0.3">
      <c r="A897" s="16">
        <v>45488</v>
      </c>
      <c r="B897" t="s">
        <v>482</v>
      </c>
      <c r="C897" t="s">
        <v>514</v>
      </c>
      <c r="D897" t="s">
        <v>413</v>
      </c>
      <c r="E897" t="s">
        <v>444</v>
      </c>
      <c r="F897" t="s">
        <v>433</v>
      </c>
      <c r="G897" t="s">
        <v>409</v>
      </c>
      <c r="H897">
        <v>23</v>
      </c>
      <c r="I897">
        <v>559</v>
      </c>
      <c r="J897">
        <v>1456</v>
      </c>
      <c r="K897">
        <v>12857</v>
      </c>
      <c r="L897">
        <v>33488</v>
      </c>
      <c r="M897">
        <v>20631</v>
      </c>
      <c r="N897" t="s">
        <v>410</v>
      </c>
    </row>
    <row r="898" spans="1:14" x14ac:dyDescent="0.3">
      <c r="A898" s="16">
        <v>45664</v>
      </c>
      <c r="B898" t="s">
        <v>462</v>
      </c>
      <c r="C898" t="s">
        <v>776</v>
      </c>
      <c r="D898" t="s">
        <v>406</v>
      </c>
      <c r="E898" t="s">
        <v>470</v>
      </c>
      <c r="F898" t="s">
        <v>504</v>
      </c>
      <c r="G898" t="s">
        <v>409</v>
      </c>
      <c r="H898">
        <v>16</v>
      </c>
      <c r="I898">
        <v>887</v>
      </c>
      <c r="J898">
        <v>1059</v>
      </c>
      <c r="K898">
        <v>14192</v>
      </c>
      <c r="L898">
        <v>16944</v>
      </c>
      <c r="M898">
        <v>2752</v>
      </c>
      <c r="N898" t="s">
        <v>410</v>
      </c>
    </row>
    <row r="899" spans="1:14" x14ac:dyDescent="0.3">
      <c r="A899" s="16">
        <v>45648</v>
      </c>
      <c r="B899" t="s">
        <v>416</v>
      </c>
      <c r="C899" t="s">
        <v>417</v>
      </c>
      <c r="D899" t="s">
        <v>418</v>
      </c>
      <c r="E899" t="s">
        <v>419</v>
      </c>
      <c r="F899" t="s">
        <v>420</v>
      </c>
      <c r="G899" t="s">
        <v>409</v>
      </c>
      <c r="H899">
        <v>72</v>
      </c>
      <c r="I899">
        <v>603</v>
      </c>
      <c r="J899">
        <v>941</v>
      </c>
      <c r="K899">
        <v>43416</v>
      </c>
      <c r="L899">
        <v>67752</v>
      </c>
      <c r="M899">
        <v>24336</v>
      </c>
      <c r="N899" t="s">
        <v>410</v>
      </c>
    </row>
    <row r="900" spans="1:14" x14ac:dyDescent="0.3">
      <c r="A900" s="16">
        <v>45528</v>
      </c>
      <c r="B900" t="s">
        <v>434</v>
      </c>
      <c r="C900" t="s">
        <v>507</v>
      </c>
      <c r="D900" t="s">
        <v>418</v>
      </c>
      <c r="E900" t="s">
        <v>453</v>
      </c>
      <c r="F900" t="s">
        <v>433</v>
      </c>
      <c r="G900" t="s">
        <v>409</v>
      </c>
      <c r="H900">
        <v>87</v>
      </c>
      <c r="I900">
        <v>876</v>
      </c>
      <c r="J900">
        <v>880</v>
      </c>
      <c r="K900">
        <v>76212</v>
      </c>
      <c r="L900">
        <v>76560</v>
      </c>
      <c r="M900">
        <v>348</v>
      </c>
      <c r="N900" t="s">
        <v>410</v>
      </c>
    </row>
    <row r="901" spans="1:14" x14ac:dyDescent="0.3">
      <c r="A901" s="16">
        <v>45700</v>
      </c>
      <c r="B901" t="s">
        <v>459</v>
      </c>
      <c r="C901" t="s">
        <v>620</v>
      </c>
      <c r="D901" t="s">
        <v>418</v>
      </c>
      <c r="E901" t="s">
        <v>453</v>
      </c>
      <c r="F901" t="s">
        <v>433</v>
      </c>
      <c r="G901" t="s">
        <v>409</v>
      </c>
      <c r="H901">
        <v>85</v>
      </c>
      <c r="I901">
        <v>938</v>
      </c>
      <c r="J901">
        <v>802</v>
      </c>
      <c r="K901">
        <v>79730</v>
      </c>
      <c r="L901">
        <v>68170</v>
      </c>
      <c r="M901">
        <v>-11560</v>
      </c>
      <c r="N901" t="s">
        <v>421</v>
      </c>
    </row>
    <row r="902" spans="1:14" x14ac:dyDescent="0.3">
      <c r="A902" s="16">
        <v>45612</v>
      </c>
      <c r="B902" t="s">
        <v>411</v>
      </c>
      <c r="C902" t="s">
        <v>590</v>
      </c>
      <c r="D902" t="s">
        <v>413</v>
      </c>
      <c r="E902" t="s">
        <v>414</v>
      </c>
      <c r="F902" t="s">
        <v>451</v>
      </c>
      <c r="G902" t="s">
        <v>428</v>
      </c>
      <c r="H902">
        <v>27</v>
      </c>
      <c r="I902">
        <v>951</v>
      </c>
      <c r="J902">
        <v>1255</v>
      </c>
      <c r="K902">
        <v>25677</v>
      </c>
      <c r="L902">
        <v>33885</v>
      </c>
      <c r="M902">
        <v>8208</v>
      </c>
      <c r="N902" t="s">
        <v>410</v>
      </c>
    </row>
    <row r="903" spans="1:14" x14ac:dyDescent="0.3">
      <c r="A903" s="16">
        <v>45420</v>
      </c>
      <c r="B903" t="s">
        <v>437</v>
      </c>
      <c r="C903" t="s">
        <v>768</v>
      </c>
      <c r="D903" t="s">
        <v>413</v>
      </c>
      <c r="E903" t="s">
        <v>444</v>
      </c>
      <c r="F903" t="s">
        <v>465</v>
      </c>
      <c r="G903" t="s">
        <v>409</v>
      </c>
      <c r="H903">
        <v>22</v>
      </c>
      <c r="I903">
        <v>725</v>
      </c>
      <c r="J903">
        <v>765</v>
      </c>
      <c r="K903">
        <v>15950</v>
      </c>
      <c r="L903">
        <v>16830</v>
      </c>
      <c r="M903">
        <v>880</v>
      </c>
      <c r="N903" t="s">
        <v>410</v>
      </c>
    </row>
    <row r="904" spans="1:14" x14ac:dyDescent="0.3">
      <c r="A904" s="16">
        <v>45509</v>
      </c>
      <c r="B904" t="s">
        <v>434</v>
      </c>
      <c r="C904" t="s">
        <v>553</v>
      </c>
      <c r="D904" t="s">
        <v>418</v>
      </c>
      <c r="E904" t="s">
        <v>419</v>
      </c>
      <c r="F904" t="s">
        <v>408</v>
      </c>
      <c r="G904" t="s">
        <v>409</v>
      </c>
      <c r="H904">
        <v>90</v>
      </c>
      <c r="I904">
        <v>634</v>
      </c>
      <c r="J904">
        <v>1465</v>
      </c>
      <c r="K904">
        <v>57060</v>
      </c>
      <c r="L904">
        <v>131850</v>
      </c>
      <c r="M904">
        <v>74790</v>
      </c>
      <c r="N904" t="s">
        <v>410</v>
      </c>
    </row>
    <row r="905" spans="1:14" x14ac:dyDescent="0.3">
      <c r="A905" s="16">
        <v>45698</v>
      </c>
      <c r="B905" t="s">
        <v>459</v>
      </c>
      <c r="C905" t="s">
        <v>730</v>
      </c>
      <c r="D905" t="s">
        <v>413</v>
      </c>
      <c r="E905" t="s">
        <v>444</v>
      </c>
      <c r="F905" t="s">
        <v>465</v>
      </c>
      <c r="G905" t="s">
        <v>409</v>
      </c>
      <c r="H905">
        <v>29</v>
      </c>
      <c r="I905">
        <v>725</v>
      </c>
      <c r="J905">
        <v>792</v>
      </c>
      <c r="K905">
        <v>21025</v>
      </c>
      <c r="L905">
        <v>22968</v>
      </c>
      <c r="M905">
        <v>1943</v>
      </c>
      <c r="N905" t="s">
        <v>410</v>
      </c>
    </row>
    <row r="906" spans="1:14" x14ac:dyDescent="0.3">
      <c r="A906" s="16">
        <v>45600</v>
      </c>
      <c r="B906" t="s">
        <v>411</v>
      </c>
      <c r="C906" t="s">
        <v>519</v>
      </c>
      <c r="D906" t="s">
        <v>413</v>
      </c>
      <c r="E906" t="s">
        <v>430</v>
      </c>
      <c r="F906" t="s">
        <v>424</v>
      </c>
      <c r="G906" t="s">
        <v>409</v>
      </c>
      <c r="H906">
        <v>28</v>
      </c>
      <c r="I906">
        <v>858</v>
      </c>
      <c r="J906">
        <v>1127</v>
      </c>
      <c r="K906">
        <v>24024</v>
      </c>
      <c r="L906">
        <v>31556</v>
      </c>
      <c r="M906">
        <v>7532</v>
      </c>
      <c r="N906" t="s">
        <v>410</v>
      </c>
    </row>
    <row r="907" spans="1:14" x14ac:dyDescent="0.3">
      <c r="A907" s="16">
        <v>45565</v>
      </c>
      <c r="B907" t="s">
        <v>431</v>
      </c>
      <c r="C907" t="s">
        <v>546</v>
      </c>
      <c r="D907" t="s">
        <v>406</v>
      </c>
      <c r="E907" t="s">
        <v>470</v>
      </c>
      <c r="F907" t="s">
        <v>426</v>
      </c>
      <c r="G907" t="s">
        <v>409</v>
      </c>
      <c r="H907">
        <v>13</v>
      </c>
      <c r="I907">
        <v>855</v>
      </c>
      <c r="J907">
        <v>951</v>
      </c>
      <c r="K907">
        <v>11115</v>
      </c>
      <c r="L907">
        <v>12363</v>
      </c>
      <c r="M907">
        <v>1248</v>
      </c>
      <c r="N907" t="s">
        <v>410</v>
      </c>
    </row>
    <row r="908" spans="1:14" x14ac:dyDescent="0.3">
      <c r="A908" s="16">
        <v>45448</v>
      </c>
      <c r="B908" t="s">
        <v>404</v>
      </c>
      <c r="C908" t="s">
        <v>700</v>
      </c>
      <c r="D908" t="s">
        <v>418</v>
      </c>
      <c r="E908" t="s">
        <v>419</v>
      </c>
      <c r="F908" t="s">
        <v>433</v>
      </c>
      <c r="G908" t="s">
        <v>428</v>
      </c>
      <c r="H908">
        <v>77</v>
      </c>
      <c r="I908">
        <v>513</v>
      </c>
      <c r="J908">
        <v>871</v>
      </c>
      <c r="K908">
        <v>39501</v>
      </c>
      <c r="L908">
        <v>67067</v>
      </c>
      <c r="M908">
        <v>27566</v>
      </c>
      <c r="N908" t="s">
        <v>410</v>
      </c>
    </row>
    <row r="909" spans="1:14" x14ac:dyDescent="0.3">
      <c r="A909" s="16">
        <v>45516</v>
      </c>
      <c r="B909" t="s">
        <v>434</v>
      </c>
      <c r="C909" t="s">
        <v>548</v>
      </c>
      <c r="D909" t="s">
        <v>406</v>
      </c>
      <c r="E909" t="s">
        <v>407</v>
      </c>
      <c r="F909" t="s">
        <v>532</v>
      </c>
      <c r="G909" t="s">
        <v>428</v>
      </c>
      <c r="H909">
        <v>11</v>
      </c>
      <c r="I909">
        <v>827</v>
      </c>
      <c r="J909">
        <v>765</v>
      </c>
      <c r="K909">
        <v>9097</v>
      </c>
      <c r="L909">
        <v>8415</v>
      </c>
      <c r="M909">
        <v>-682</v>
      </c>
      <c r="N909" t="s">
        <v>421</v>
      </c>
    </row>
    <row r="910" spans="1:14" x14ac:dyDescent="0.3">
      <c r="A910" s="16">
        <v>45582</v>
      </c>
      <c r="B910" t="s">
        <v>422</v>
      </c>
      <c r="C910" t="s">
        <v>608</v>
      </c>
      <c r="D910" t="s">
        <v>406</v>
      </c>
      <c r="E910" t="s">
        <v>407</v>
      </c>
      <c r="F910" t="s">
        <v>478</v>
      </c>
      <c r="G910" t="s">
        <v>428</v>
      </c>
      <c r="H910">
        <v>17</v>
      </c>
      <c r="I910">
        <v>747</v>
      </c>
      <c r="J910">
        <v>1190</v>
      </c>
      <c r="K910">
        <v>12699</v>
      </c>
      <c r="L910">
        <v>20230</v>
      </c>
      <c r="M910">
        <v>7531</v>
      </c>
      <c r="N910" t="s">
        <v>410</v>
      </c>
    </row>
    <row r="911" spans="1:14" x14ac:dyDescent="0.3">
      <c r="A911" s="16">
        <v>45420</v>
      </c>
      <c r="B911" t="s">
        <v>437</v>
      </c>
      <c r="C911" t="s">
        <v>768</v>
      </c>
      <c r="D911" t="s">
        <v>413</v>
      </c>
      <c r="E911" t="s">
        <v>444</v>
      </c>
      <c r="F911" t="s">
        <v>465</v>
      </c>
      <c r="G911" t="s">
        <v>409</v>
      </c>
      <c r="H911">
        <v>27</v>
      </c>
      <c r="I911">
        <v>675</v>
      </c>
      <c r="J911">
        <v>1138</v>
      </c>
      <c r="K911">
        <v>18225</v>
      </c>
      <c r="L911">
        <v>30726</v>
      </c>
      <c r="M911">
        <v>12501</v>
      </c>
      <c r="N911" t="s">
        <v>410</v>
      </c>
    </row>
    <row r="912" spans="1:14" x14ac:dyDescent="0.3">
      <c r="A912" s="16">
        <v>45386</v>
      </c>
      <c r="B912" t="s">
        <v>449</v>
      </c>
      <c r="C912" t="s">
        <v>773</v>
      </c>
      <c r="D912" t="s">
        <v>413</v>
      </c>
      <c r="E912" t="s">
        <v>494</v>
      </c>
      <c r="F912" t="s">
        <v>426</v>
      </c>
      <c r="G912" t="s">
        <v>428</v>
      </c>
      <c r="H912">
        <v>26</v>
      </c>
      <c r="I912">
        <v>809</v>
      </c>
      <c r="J912">
        <v>800</v>
      </c>
      <c r="K912">
        <v>21034</v>
      </c>
      <c r="L912">
        <v>20800</v>
      </c>
      <c r="M912">
        <v>-234</v>
      </c>
      <c r="N912" t="s">
        <v>421</v>
      </c>
    </row>
    <row r="913" spans="1:14" x14ac:dyDescent="0.3">
      <c r="A913" s="16">
        <v>45383</v>
      </c>
      <c r="B913" t="s">
        <v>449</v>
      </c>
      <c r="C913" t="s">
        <v>693</v>
      </c>
      <c r="D913" t="s">
        <v>413</v>
      </c>
      <c r="E913" t="s">
        <v>430</v>
      </c>
      <c r="F913" t="s">
        <v>542</v>
      </c>
      <c r="G913" t="s">
        <v>428</v>
      </c>
      <c r="H913">
        <v>29</v>
      </c>
      <c r="I913">
        <v>924</v>
      </c>
      <c r="J913">
        <v>1101</v>
      </c>
      <c r="K913">
        <v>26796</v>
      </c>
      <c r="L913">
        <v>31929</v>
      </c>
      <c r="M913">
        <v>5133</v>
      </c>
      <c r="N913" t="s">
        <v>410</v>
      </c>
    </row>
    <row r="914" spans="1:14" x14ac:dyDescent="0.3">
      <c r="A914" s="16">
        <v>45505</v>
      </c>
      <c r="B914" t="s">
        <v>434</v>
      </c>
      <c r="C914" t="s">
        <v>551</v>
      </c>
      <c r="D914" t="s">
        <v>418</v>
      </c>
      <c r="E914" t="s">
        <v>453</v>
      </c>
      <c r="F914" t="s">
        <v>424</v>
      </c>
      <c r="G914" t="s">
        <v>428</v>
      </c>
      <c r="H914">
        <v>54</v>
      </c>
      <c r="I914">
        <v>518</v>
      </c>
      <c r="J914">
        <v>1106</v>
      </c>
      <c r="K914">
        <v>27972</v>
      </c>
      <c r="L914">
        <v>59724</v>
      </c>
      <c r="M914">
        <v>31752</v>
      </c>
      <c r="N914" t="s">
        <v>410</v>
      </c>
    </row>
    <row r="915" spans="1:14" x14ac:dyDescent="0.3">
      <c r="A915" s="16">
        <v>45609</v>
      </c>
      <c r="B915" t="s">
        <v>411</v>
      </c>
      <c r="C915" t="s">
        <v>698</v>
      </c>
      <c r="D915" t="s">
        <v>413</v>
      </c>
      <c r="E915" t="s">
        <v>414</v>
      </c>
      <c r="F915" t="s">
        <v>478</v>
      </c>
      <c r="G915" t="s">
        <v>428</v>
      </c>
      <c r="H915">
        <v>23</v>
      </c>
      <c r="I915">
        <v>584</v>
      </c>
      <c r="J915">
        <v>1140</v>
      </c>
      <c r="K915">
        <v>13432</v>
      </c>
      <c r="L915">
        <v>26220</v>
      </c>
      <c r="M915">
        <v>12788</v>
      </c>
      <c r="N915" t="s">
        <v>410</v>
      </c>
    </row>
    <row r="916" spans="1:14" x14ac:dyDescent="0.3">
      <c r="A916" s="16">
        <v>45631</v>
      </c>
      <c r="B916" t="s">
        <v>416</v>
      </c>
      <c r="C916" t="s">
        <v>466</v>
      </c>
      <c r="D916" t="s">
        <v>413</v>
      </c>
      <c r="E916" t="s">
        <v>444</v>
      </c>
      <c r="F916" t="s">
        <v>465</v>
      </c>
      <c r="G916" t="s">
        <v>428</v>
      </c>
      <c r="H916">
        <v>20</v>
      </c>
      <c r="I916">
        <v>854</v>
      </c>
      <c r="J916">
        <v>956</v>
      </c>
      <c r="K916">
        <v>17080</v>
      </c>
      <c r="L916">
        <v>19120</v>
      </c>
      <c r="M916">
        <v>2040</v>
      </c>
      <c r="N916" t="s">
        <v>410</v>
      </c>
    </row>
    <row r="917" spans="1:14" x14ac:dyDescent="0.3">
      <c r="A917" s="16">
        <v>45677</v>
      </c>
      <c r="B917" t="s">
        <v>462</v>
      </c>
      <c r="C917" t="s">
        <v>546</v>
      </c>
      <c r="D917" t="s">
        <v>406</v>
      </c>
      <c r="E917" t="s">
        <v>407</v>
      </c>
      <c r="F917" t="s">
        <v>442</v>
      </c>
      <c r="G917" t="s">
        <v>409</v>
      </c>
      <c r="H917">
        <v>11</v>
      </c>
      <c r="I917">
        <v>587</v>
      </c>
      <c r="J917">
        <v>1386</v>
      </c>
      <c r="K917">
        <v>6457</v>
      </c>
      <c r="L917">
        <v>15246</v>
      </c>
      <c r="M917">
        <v>8789</v>
      </c>
      <c r="N917" t="s">
        <v>410</v>
      </c>
    </row>
    <row r="918" spans="1:14" x14ac:dyDescent="0.3">
      <c r="A918" s="16">
        <v>45412</v>
      </c>
      <c r="B918" t="s">
        <v>449</v>
      </c>
      <c r="C918" t="s">
        <v>717</v>
      </c>
      <c r="D918" t="s">
        <v>413</v>
      </c>
      <c r="E918" t="s">
        <v>414</v>
      </c>
      <c r="F918" t="s">
        <v>566</v>
      </c>
      <c r="G918" t="s">
        <v>409</v>
      </c>
      <c r="H918">
        <v>24</v>
      </c>
      <c r="I918">
        <v>631</v>
      </c>
      <c r="J918">
        <v>1304</v>
      </c>
      <c r="K918">
        <v>15144</v>
      </c>
      <c r="L918">
        <v>31296</v>
      </c>
      <c r="M918">
        <v>16152</v>
      </c>
      <c r="N918" t="s">
        <v>410</v>
      </c>
    </row>
    <row r="919" spans="1:14" x14ac:dyDescent="0.3">
      <c r="A919" s="16">
        <v>45552</v>
      </c>
      <c r="B919" t="s">
        <v>431</v>
      </c>
      <c r="C919" t="s">
        <v>497</v>
      </c>
      <c r="D919" t="s">
        <v>406</v>
      </c>
      <c r="E919" t="s">
        <v>407</v>
      </c>
      <c r="F919" t="s">
        <v>408</v>
      </c>
      <c r="G919" t="s">
        <v>409</v>
      </c>
      <c r="H919">
        <v>10</v>
      </c>
      <c r="I919">
        <v>731</v>
      </c>
      <c r="J919">
        <v>1226</v>
      </c>
      <c r="K919">
        <v>7310</v>
      </c>
      <c r="L919">
        <v>12260</v>
      </c>
      <c r="M919">
        <v>4950</v>
      </c>
      <c r="N919" t="s">
        <v>410</v>
      </c>
    </row>
    <row r="920" spans="1:14" x14ac:dyDescent="0.3">
      <c r="A920" s="16">
        <v>45577</v>
      </c>
      <c r="B920" t="s">
        <v>422</v>
      </c>
      <c r="C920" t="s">
        <v>423</v>
      </c>
      <c r="D920" t="s">
        <v>418</v>
      </c>
      <c r="E920" t="s">
        <v>419</v>
      </c>
      <c r="F920" t="s">
        <v>424</v>
      </c>
      <c r="G920" t="s">
        <v>409</v>
      </c>
      <c r="H920">
        <v>95</v>
      </c>
      <c r="I920">
        <v>508</v>
      </c>
      <c r="J920">
        <v>783</v>
      </c>
      <c r="K920">
        <v>48260</v>
      </c>
      <c r="L920">
        <v>74385</v>
      </c>
      <c r="M920">
        <v>26125</v>
      </c>
      <c r="N920" t="s">
        <v>410</v>
      </c>
    </row>
    <row r="921" spans="1:14" x14ac:dyDescent="0.3">
      <c r="A921" s="16">
        <v>45557</v>
      </c>
      <c r="B921" t="s">
        <v>431</v>
      </c>
      <c r="C921" t="s">
        <v>725</v>
      </c>
      <c r="D921" t="s">
        <v>418</v>
      </c>
      <c r="E921" t="s">
        <v>419</v>
      </c>
      <c r="F921" t="s">
        <v>451</v>
      </c>
      <c r="G921" t="s">
        <v>428</v>
      </c>
      <c r="H921">
        <v>61</v>
      </c>
      <c r="I921">
        <v>907</v>
      </c>
      <c r="J921">
        <v>1327</v>
      </c>
      <c r="K921">
        <v>55327</v>
      </c>
      <c r="L921">
        <v>80947</v>
      </c>
      <c r="M921">
        <v>25620</v>
      </c>
      <c r="N921" t="s">
        <v>410</v>
      </c>
    </row>
    <row r="922" spans="1:14" x14ac:dyDescent="0.3">
      <c r="A922" s="16">
        <v>45670</v>
      </c>
      <c r="B922" t="s">
        <v>462</v>
      </c>
      <c r="C922" t="s">
        <v>751</v>
      </c>
      <c r="D922" t="s">
        <v>418</v>
      </c>
      <c r="E922" t="s">
        <v>453</v>
      </c>
      <c r="F922" t="s">
        <v>426</v>
      </c>
      <c r="G922" t="s">
        <v>428</v>
      </c>
      <c r="H922">
        <v>78</v>
      </c>
      <c r="I922">
        <v>608</v>
      </c>
      <c r="J922">
        <v>1496</v>
      </c>
      <c r="K922">
        <v>47424</v>
      </c>
      <c r="L922">
        <v>116688</v>
      </c>
      <c r="M922">
        <v>69264</v>
      </c>
      <c r="N922" t="s">
        <v>410</v>
      </c>
    </row>
    <row r="923" spans="1:14" x14ac:dyDescent="0.3">
      <c r="A923" s="16">
        <v>45573</v>
      </c>
      <c r="B923" t="s">
        <v>422</v>
      </c>
      <c r="C923" t="s">
        <v>764</v>
      </c>
      <c r="D923" t="s">
        <v>418</v>
      </c>
      <c r="E923" t="s">
        <v>453</v>
      </c>
      <c r="F923" t="s">
        <v>442</v>
      </c>
      <c r="G923" t="s">
        <v>409</v>
      </c>
      <c r="H923">
        <v>81</v>
      </c>
      <c r="I923">
        <v>917</v>
      </c>
      <c r="J923">
        <v>1344</v>
      </c>
      <c r="K923">
        <v>74277</v>
      </c>
      <c r="L923">
        <v>108864</v>
      </c>
      <c r="M923">
        <v>34587</v>
      </c>
      <c r="N923" t="s">
        <v>410</v>
      </c>
    </row>
    <row r="924" spans="1:14" x14ac:dyDescent="0.3">
      <c r="A924" s="16">
        <v>45601</v>
      </c>
      <c r="B924" t="s">
        <v>411</v>
      </c>
      <c r="C924" t="s">
        <v>531</v>
      </c>
      <c r="D924" t="s">
        <v>413</v>
      </c>
      <c r="E924" t="s">
        <v>430</v>
      </c>
      <c r="F924" t="s">
        <v>532</v>
      </c>
      <c r="G924" t="s">
        <v>409</v>
      </c>
      <c r="H924">
        <v>26</v>
      </c>
      <c r="I924">
        <v>643</v>
      </c>
      <c r="J924">
        <v>1341</v>
      </c>
      <c r="K924">
        <v>16718</v>
      </c>
      <c r="L924">
        <v>34866</v>
      </c>
      <c r="M924">
        <v>18148</v>
      </c>
      <c r="N924" t="s">
        <v>410</v>
      </c>
    </row>
    <row r="925" spans="1:14" x14ac:dyDescent="0.3">
      <c r="A925" s="16">
        <v>45434</v>
      </c>
      <c r="B925" t="s">
        <v>437</v>
      </c>
      <c r="C925" t="s">
        <v>680</v>
      </c>
      <c r="D925" t="s">
        <v>418</v>
      </c>
      <c r="E925" t="s">
        <v>453</v>
      </c>
      <c r="F925" t="s">
        <v>433</v>
      </c>
      <c r="G925" t="s">
        <v>409</v>
      </c>
      <c r="H925">
        <v>69</v>
      </c>
      <c r="I925">
        <v>864</v>
      </c>
      <c r="J925">
        <v>935</v>
      </c>
      <c r="K925">
        <v>59616</v>
      </c>
      <c r="L925">
        <v>64515</v>
      </c>
      <c r="M925">
        <v>4899</v>
      </c>
      <c r="N925" t="s">
        <v>410</v>
      </c>
    </row>
    <row r="926" spans="1:14" x14ac:dyDescent="0.3">
      <c r="A926" s="16">
        <v>45687</v>
      </c>
      <c r="B926" t="s">
        <v>462</v>
      </c>
      <c r="C926" t="s">
        <v>769</v>
      </c>
      <c r="D926" t="s">
        <v>406</v>
      </c>
      <c r="E926" t="s">
        <v>407</v>
      </c>
      <c r="F926" t="s">
        <v>465</v>
      </c>
      <c r="G926" t="s">
        <v>428</v>
      </c>
      <c r="H926">
        <v>12</v>
      </c>
      <c r="I926">
        <v>519</v>
      </c>
      <c r="J926">
        <v>1212</v>
      </c>
      <c r="K926">
        <v>6228</v>
      </c>
      <c r="L926">
        <v>14544</v>
      </c>
      <c r="M926">
        <v>8316</v>
      </c>
      <c r="N926" t="s">
        <v>410</v>
      </c>
    </row>
    <row r="927" spans="1:14" x14ac:dyDescent="0.3">
      <c r="A927" s="16">
        <v>45535</v>
      </c>
      <c r="B927" t="s">
        <v>434</v>
      </c>
      <c r="C927" t="s">
        <v>561</v>
      </c>
      <c r="D927" t="s">
        <v>418</v>
      </c>
      <c r="E927" t="s">
        <v>453</v>
      </c>
      <c r="F927" t="s">
        <v>439</v>
      </c>
      <c r="G927" t="s">
        <v>428</v>
      </c>
      <c r="H927">
        <v>60</v>
      </c>
      <c r="I927">
        <v>645</v>
      </c>
      <c r="J927">
        <v>936</v>
      </c>
      <c r="K927">
        <v>38700</v>
      </c>
      <c r="L927">
        <v>56160</v>
      </c>
      <c r="M927">
        <v>17460</v>
      </c>
      <c r="N927" t="s">
        <v>410</v>
      </c>
    </row>
    <row r="928" spans="1:14" x14ac:dyDescent="0.3">
      <c r="A928" s="16">
        <v>45611</v>
      </c>
      <c r="B928" t="s">
        <v>411</v>
      </c>
      <c r="C928" t="s">
        <v>526</v>
      </c>
      <c r="D928" t="s">
        <v>413</v>
      </c>
      <c r="E928" t="s">
        <v>414</v>
      </c>
      <c r="F928" t="s">
        <v>408</v>
      </c>
      <c r="G928" t="s">
        <v>428</v>
      </c>
      <c r="H928">
        <v>21</v>
      </c>
      <c r="I928">
        <v>608</v>
      </c>
      <c r="J928">
        <v>983</v>
      </c>
      <c r="K928">
        <v>12768</v>
      </c>
      <c r="L928">
        <v>20643</v>
      </c>
      <c r="M928">
        <v>7875</v>
      </c>
      <c r="N928" t="s">
        <v>410</v>
      </c>
    </row>
    <row r="929" spans="1:14" x14ac:dyDescent="0.3">
      <c r="A929" s="16">
        <v>45535</v>
      </c>
      <c r="B929" t="s">
        <v>434</v>
      </c>
      <c r="C929" t="s">
        <v>561</v>
      </c>
      <c r="D929" t="s">
        <v>418</v>
      </c>
      <c r="E929" t="s">
        <v>453</v>
      </c>
      <c r="F929" t="s">
        <v>439</v>
      </c>
      <c r="G929" t="s">
        <v>428</v>
      </c>
      <c r="H929">
        <v>64</v>
      </c>
      <c r="I929">
        <v>580</v>
      </c>
      <c r="J929">
        <v>1164</v>
      </c>
      <c r="K929">
        <v>37120</v>
      </c>
      <c r="L929">
        <v>74496</v>
      </c>
      <c r="M929">
        <v>37376</v>
      </c>
      <c r="N929" t="s">
        <v>410</v>
      </c>
    </row>
    <row r="930" spans="1:14" x14ac:dyDescent="0.3">
      <c r="A930" s="16">
        <v>45668</v>
      </c>
      <c r="B930" t="s">
        <v>462</v>
      </c>
      <c r="C930" t="s">
        <v>763</v>
      </c>
      <c r="D930" t="s">
        <v>418</v>
      </c>
      <c r="E930" t="s">
        <v>453</v>
      </c>
      <c r="F930" t="s">
        <v>433</v>
      </c>
      <c r="G930" t="s">
        <v>428</v>
      </c>
      <c r="H930">
        <v>88</v>
      </c>
      <c r="I930">
        <v>823</v>
      </c>
      <c r="J930">
        <v>1026</v>
      </c>
      <c r="K930">
        <v>72424</v>
      </c>
      <c r="L930">
        <v>90288</v>
      </c>
      <c r="M930">
        <v>17864</v>
      </c>
      <c r="N930" t="s">
        <v>410</v>
      </c>
    </row>
    <row r="931" spans="1:14" x14ac:dyDescent="0.3">
      <c r="A931" s="16">
        <v>45578</v>
      </c>
      <c r="B931" t="s">
        <v>422</v>
      </c>
      <c r="C931" t="s">
        <v>650</v>
      </c>
      <c r="D931" t="s">
        <v>418</v>
      </c>
      <c r="E931" t="s">
        <v>419</v>
      </c>
      <c r="F931" t="s">
        <v>424</v>
      </c>
      <c r="G931" t="s">
        <v>428</v>
      </c>
      <c r="H931">
        <v>57</v>
      </c>
      <c r="I931">
        <v>927</v>
      </c>
      <c r="J931">
        <v>1477</v>
      </c>
      <c r="K931">
        <v>52839</v>
      </c>
      <c r="L931">
        <v>84189</v>
      </c>
      <c r="M931">
        <v>31350</v>
      </c>
      <c r="N931" t="s">
        <v>410</v>
      </c>
    </row>
    <row r="932" spans="1:14" x14ac:dyDescent="0.3">
      <c r="A932" s="16">
        <v>45469</v>
      </c>
      <c r="B932" t="s">
        <v>404</v>
      </c>
      <c r="C932" t="s">
        <v>706</v>
      </c>
      <c r="D932" t="s">
        <v>418</v>
      </c>
      <c r="E932" t="s">
        <v>419</v>
      </c>
      <c r="F932" t="s">
        <v>408</v>
      </c>
      <c r="G932" t="s">
        <v>428</v>
      </c>
      <c r="H932">
        <v>78</v>
      </c>
      <c r="I932">
        <v>761</v>
      </c>
      <c r="J932">
        <v>1174</v>
      </c>
      <c r="K932">
        <v>59358</v>
      </c>
      <c r="L932">
        <v>91572</v>
      </c>
      <c r="M932">
        <v>32214</v>
      </c>
      <c r="N932" t="s">
        <v>410</v>
      </c>
    </row>
    <row r="933" spans="1:14" x14ac:dyDescent="0.3">
      <c r="A933" s="16">
        <v>45473</v>
      </c>
      <c r="B933" t="s">
        <v>404</v>
      </c>
      <c r="C933" t="s">
        <v>529</v>
      </c>
      <c r="D933" t="s">
        <v>406</v>
      </c>
      <c r="E933" t="s">
        <v>407</v>
      </c>
      <c r="F933" t="s">
        <v>433</v>
      </c>
      <c r="G933" t="s">
        <v>409</v>
      </c>
      <c r="H933">
        <v>20</v>
      </c>
      <c r="I933">
        <v>875</v>
      </c>
      <c r="J933">
        <v>911</v>
      </c>
      <c r="K933">
        <v>17500</v>
      </c>
      <c r="L933">
        <v>18220</v>
      </c>
      <c r="M933">
        <v>720</v>
      </c>
      <c r="N933" t="s">
        <v>410</v>
      </c>
    </row>
    <row r="934" spans="1:14" x14ac:dyDescent="0.3">
      <c r="A934" s="16">
        <v>45475</v>
      </c>
      <c r="B934" t="s">
        <v>482</v>
      </c>
      <c r="C934" t="s">
        <v>775</v>
      </c>
      <c r="D934" t="s">
        <v>406</v>
      </c>
      <c r="E934" t="s">
        <v>407</v>
      </c>
      <c r="F934" t="s">
        <v>451</v>
      </c>
      <c r="G934" t="s">
        <v>409</v>
      </c>
      <c r="H934">
        <v>14</v>
      </c>
      <c r="I934">
        <v>684</v>
      </c>
      <c r="J934">
        <v>1483</v>
      </c>
      <c r="K934">
        <v>9576</v>
      </c>
      <c r="L934">
        <v>20762</v>
      </c>
      <c r="M934">
        <v>11186</v>
      </c>
      <c r="N934" t="s">
        <v>410</v>
      </c>
    </row>
    <row r="935" spans="1:14" x14ac:dyDescent="0.3">
      <c r="A935" s="16">
        <v>45486</v>
      </c>
      <c r="B935" t="s">
        <v>482</v>
      </c>
      <c r="C935" t="s">
        <v>559</v>
      </c>
      <c r="D935" t="s">
        <v>413</v>
      </c>
      <c r="E935" t="s">
        <v>444</v>
      </c>
      <c r="F935" t="s">
        <v>426</v>
      </c>
      <c r="G935" t="s">
        <v>428</v>
      </c>
      <c r="H935">
        <v>24</v>
      </c>
      <c r="I935">
        <v>718</v>
      </c>
      <c r="J935">
        <v>1218</v>
      </c>
      <c r="K935">
        <v>17232</v>
      </c>
      <c r="L935">
        <v>29232</v>
      </c>
      <c r="M935">
        <v>12000</v>
      </c>
      <c r="N935" t="s">
        <v>410</v>
      </c>
    </row>
    <row r="936" spans="1:14" x14ac:dyDescent="0.3">
      <c r="A936" s="16">
        <v>45656</v>
      </c>
      <c r="B936" t="s">
        <v>416</v>
      </c>
      <c r="C936" t="s">
        <v>427</v>
      </c>
      <c r="D936" t="s">
        <v>418</v>
      </c>
      <c r="E936" t="s">
        <v>419</v>
      </c>
      <c r="F936" t="s">
        <v>424</v>
      </c>
      <c r="G936" t="s">
        <v>428</v>
      </c>
      <c r="H936">
        <v>75</v>
      </c>
      <c r="I936">
        <v>547</v>
      </c>
      <c r="J936">
        <v>1203</v>
      </c>
      <c r="K936">
        <v>41025</v>
      </c>
      <c r="L936">
        <v>90225</v>
      </c>
      <c r="M936">
        <v>49200</v>
      </c>
      <c r="N936" t="s">
        <v>410</v>
      </c>
    </row>
    <row r="937" spans="1:14" x14ac:dyDescent="0.3">
      <c r="A937" s="16">
        <v>45386</v>
      </c>
      <c r="B937" t="s">
        <v>449</v>
      </c>
      <c r="C937" t="s">
        <v>773</v>
      </c>
      <c r="D937" t="s">
        <v>413</v>
      </c>
      <c r="E937" t="s">
        <v>494</v>
      </c>
      <c r="F937" t="s">
        <v>426</v>
      </c>
      <c r="G937" t="s">
        <v>428</v>
      </c>
      <c r="H937">
        <v>22</v>
      </c>
      <c r="I937">
        <v>718</v>
      </c>
      <c r="J937">
        <v>1335</v>
      </c>
      <c r="K937">
        <v>15796</v>
      </c>
      <c r="L937">
        <v>29370</v>
      </c>
      <c r="M937">
        <v>13574</v>
      </c>
      <c r="N937" t="s">
        <v>410</v>
      </c>
    </row>
    <row r="938" spans="1:14" x14ac:dyDescent="0.3">
      <c r="A938" s="16">
        <v>45636</v>
      </c>
      <c r="B938" t="s">
        <v>416</v>
      </c>
      <c r="C938" t="s">
        <v>509</v>
      </c>
      <c r="D938" t="s">
        <v>418</v>
      </c>
      <c r="E938" t="s">
        <v>453</v>
      </c>
      <c r="F938" t="s">
        <v>510</v>
      </c>
      <c r="G938" t="s">
        <v>428</v>
      </c>
      <c r="H938">
        <v>65</v>
      </c>
      <c r="I938">
        <v>804</v>
      </c>
      <c r="J938">
        <v>876</v>
      </c>
      <c r="K938">
        <v>52260</v>
      </c>
      <c r="L938">
        <v>56940</v>
      </c>
      <c r="M938">
        <v>4680</v>
      </c>
      <c r="N938" t="s">
        <v>410</v>
      </c>
    </row>
    <row r="939" spans="1:14" x14ac:dyDescent="0.3">
      <c r="A939" s="16">
        <v>45711</v>
      </c>
      <c r="B939" t="s">
        <v>459</v>
      </c>
      <c r="C939" t="s">
        <v>573</v>
      </c>
      <c r="D939" t="s">
        <v>418</v>
      </c>
      <c r="E939" t="s">
        <v>453</v>
      </c>
      <c r="F939" t="s">
        <v>510</v>
      </c>
      <c r="G939" t="s">
        <v>428</v>
      </c>
      <c r="H939">
        <v>99</v>
      </c>
      <c r="I939">
        <v>943</v>
      </c>
      <c r="J939">
        <v>823</v>
      </c>
      <c r="K939">
        <v>93357</v>
      </c>
      <c r="L939">
        <v>81477</v>
      </c>
      <c r="M939">
        <v>-11880</v>
      </c>
      <c r="N939" t="s">
        <v>421</v>
      </c>
    </row>
    <row r="940" spans="1:14" x14ac:dyDescent="0.3">
      <c r="A940" s="16">
        <v>45403</v>
      </c>
      <c r="B940" t="s">
        <v>449</v>
      </c>
      <c r="C940" t="s">
        <v>578</v>
      </c>
      <c r="D940" t="s">
        <v>418</v>
      </c>
      <c r="E940" t="s">
        <v>448</v>
      </c>
      <c r="F940" t="s">
        <v>433</v>
      </c>
      <c r="G940" t="s">
        <v>428</v>
      </c>
      <c r="H940">
        <v>76</v>
      </c>
      <c r="I940">
        <v>875</v>
      </c>
      <c r="J940">
        <v>1268</v>
      </c>
      <c r="K940">
        <v>66500</v>
      </c>
      <c r="L940">
        <v>96368</v>
      </c>
      <c r="M940">
        <v>29868</v>
      </c>
      <c r="N940" t="s">
        <v>410</v>
      </c>
    </row>
    <row r="941" spans="1:14" x14ac:dyDescent="0.3">
      <c r="A941" s="16">
        <v>45462</v>
      </c>
      <c r="B941" t="s">
        <v>404</v>
      </c>
      <c r="C941" t="s">
        <v>720</v>
      </c>
      <c r="D941" t="s">
        <v>418</v>
      </c>
      <c r="E941" t="s">
        <v>453</v>
      </c>
      <c r="F941" t="s">
        <v>478</v>
      </c>
      <c r="G941" t="s">
        <v>428</v>
      </c>
      <c r="H941">
        <v>84</v>
      </c>
      <c r="I941">
        <v>911</v>
      </c>
      <c r="J941">
        <v>1370</v>
      </c>
      <c r="K941">
        <v>76524</v>
      </c>
      <c r="L941">
        <v>115080</v>
      </c>
      <c r="M941">
        <v>38556</v>
      </c>
      <c r="N941" t="s">
        <v>410</v>
      </c>
    </row>
    <row r="942" spans="1:14" x14ac:dyDescent="0.3">
      <c r="A942" s="16">
        <v>45461</v>
      </c>
      <c r="B942" t="s">
        <v>404</v>
      </c>
      <c r="C942" t="s">
        <v>741</v>
      </c>
      <c r="D942" t="s">
        <v>418</v>
      </c>
      <c r="E942" t="s">
        <v>453</v>
      </c>
      <c r="F942" t="s">
        <v>424</v>
      </c>
      <c r="G942" t="s">
        <v>428</v>
      </c>
      <c r="H942">
        <v>98</v>
      </c>
      <c r="I942">
        <v>596</v>
      </c>
      <c r="J942">
        <v>1155</v>
      </c>
      <c r="K942">
        <v>58408</v>
      </c>
      <c r="L942">
        <v>113190</v>
      </c>
      <c r="M942">
        <v>54782</v>
      </c>
      <c r="N942" t="s">
        <v>410</v>
      </c>
    </row>
    <row r="943" spans="1:14" x14ac:dyDescent="0.3">
      <c r="A943" s="16">
        <v>45649</v>
      </c>
      <c r="B943" t="s">
        <v>416</v>
      </c>
      <c r="C943" t="s">
        <v>759</v>
      </c>
      <c r="D943" t="s">
        <v>418</v>
      </c>
      <c r="E943" t="s">
        <v>419</v>
      </c>
      <c r="F943" t="s">
        <v>451</v>
      </c>
      <c r="G943" t="s">
        <v>409</v>
      </c>
      <c r="H943">
        <v>69</v>
      </c>
      <c r="I943">
        <v>699</v>
      </c>
      <c r="J943">
        <v>835</v>
      </c>
      <c r="K943">
        <v>48231</v>
      </c>
      <c r="L943">
        <v>57615</v>
      </c>
      <c r="M943">
        <v>9384</v>
      </c>
      <c r="N943" t="s">
        <v>410</v>
      </c>
    </row>
    <row r="944" spans="1:14" x14ac:dyDescent="0.3">
      <c r="A944" s="16">
        <v>45531</v>
      </c>
      <c r="B944" t="s">
        <v>434</v>
      </c>
      <c r="C944" t="s">
        <v>766</v>
      </c>
      <c r="D944" t="s">
        <v>418</v>
      </c>
      <c r="E944" t="s">
        <v>453</v>
      </c>
      <c r="F944" t="s">
        <v>451</v>
      </c>
      <c r="G944" t="s">
        <v>409</v>
      </c>
      <c r="H944">
        <v>63</v>
      </c>
      <c r="I944">
        <v>718</v>
      </c>
      <c r="J944">
        <v>1047</v>
      </c>
      <c r="K944">
        <v>45234</v>
      </c>
      <c r="L944">
        <v>65961</v>
      </c>
      <c r="M944">
        <v>20727</v>
      </c>
      <c r="N944" t="s">
        <v>410</v>
      </c>
    </row>
    <row r="945" spans="1:14" x14ac:dyDescent="0.3">
      <c r="A945" s="16">
        <v>45566</v>
      </c>
      <c r="B945" t="s">
        <v>422</v>
      </c>
      <c r="C945" t="s">
        <v>708</v>
      </c>
      <c r="D945" t="s">
        <v>406</v>
      </c>
      <c r="E945" t="s">
        <v>470</v>
      </c>
      <c r="F945" t="s">
        <v>426</v>
      </c>
      <c r="G945" t="s">
        <v>409</v>
      </c>
      <c r="H945">
        <v>18</v>
      </c>
      <c r="I945">
        <v>867</v>
      </c>
      <c r="J945">
        <v>875</v>
      </c>
      <c r="K945">
        <v>15606</v>
      </c>
      <c r="L945">
        <v>15750</v>
      </c>
      <c r="M945">
        <v>144</v>
      </c>
      <c r="N945" t="s">
        <v>410</v>
      </c>
    </row>
    <row r="946" spans="1:14" x14ac:dyDescent="0.3">
      <c r="A946" s="16">
        <v>45495</v>
      </c>
      <c r="B946" t="s">
        <v>482</v>
      </c>
      <c r="C946" t="s">
        <v>515</v>
      </c>
      <c r="D946" t="s">
        <v>418</v>
      </c>
      <c r="E946" t="s">
        <v>453</v>
      </c>
      <c r="F946" t="s">
        <v>439</v>
      </c>
      <c r="G946" t="s">
        <v>409</v>
      </c>
      <c r="H946">
        <v>59</v>
      </c>
      <c r="I946">
        <v>663</v>
      </c>
      <c r="J946">
        <v>872</v>
      </c>
      <c r="K946">
        <v>39117</v>
      </c>
      <c r="L946">
        <v>51448</v>
      </c>
      <c r="M946">
        <v>12331</v>
      </c>
      <c r="N946" t="s">
        <v>410</v>
      </c>
    </row>
    <row r="947" spans="1:14" x14ac:dyDescent="0.3">
      <c r="A947" s="16">
        <v>45654</v>
      </c>
      <c r="B947" t="s">
        <v>416</v>
      </c>
      <c r="C947" t="s">
        <v>545</v>
      </c>
      <c r="D947" t="s">
        <v>418</v>
      </c>
      <c r="E947" t="s">
        <v>419</v>
      </c>
      <c r="F947" t="s">
        <v>504</v>
      </c>
      <c r="G947" t="s">
        <v>428</v>
      </c>
      <c r="H947">
        <v>86</v>
      </c>
      <c r="I947">
        <v>834</v>
      </c>
      <c r="J947">
        <v>1372</v>
      </c>
      <c r="K947">
        <v>71724</v>
      </c>
      <c r="L947">
        <v>117992</v>
      </c>
      <c r="M947">
        <v>46268</v>
      </c>
      <c r="N947" t="s">
        <v>410</v>
      </c>
    </row>
    <row r="948" spans="1:14" x14ac:dyDescent="0.3">
      <c r="A948" s="16">
        <v>45465</v>
      </c>
      <c r="B948" t="s">
        <v>404</v>
      </c>
      <c r="C948" t="s">
        <v>572</v>
      </c>
      <c r="D948" t="s">
        <v>418</v>
      </c>
      <c r="E948" t="s">
        <v>453</v>
      </c>
      <c r="F948" t="s">
        <v>424</v>
      </c>
      <c r="G948" t="s">
        <v>409</v>
      </c>
      <c r="H948">
        <v>81</v>
      </c>
      <c r="I948">
        <v>776</v>
      </c>
      <c r="J948">
        <v>895</v>
      </c>
      <c r="K948">
        <v>62856</v>
      </c>
      <c r="L948">
        <v>72495</v>
      </c>
      <c r="M948">
        <v>9639</v>
      </c>
      <c r="N948" t="s">
        <v>410</v>
      </c>
    </row>
    <row r="949" spans="1:14" x14ac:dyDescent="0.3">
      <c r="A949" s="16">
        <v>45677</v>
      </c>
      <c r="B949" t="s">
        <v>462</v>
      </c>
      <c r="C949" t="s">
        <v>546</v>
      </c>
      <c r="D949" t="s">
        <v>406</v>
      </c>
      <c r="E949" t="s">
        <v>407</v>
      </c>
      <c r="F949" t="s">
        <v>442</v>
      </c>
      <c r="G949" t="s">
        <v>409</v>
      </c>
      <c r="H949">
        <v>10</v>
      </c>
      <c r="I949">
        <v>519</v>
      </c>
      <c r="J949">
        <v>1420</v>
      </c>
      <c r="K949">
        <v>5190</v>
      </c>
      <c r="L949">
        <v>14200</v>
      </c>
      <c r="M949">
        <v>9010</v>
      </c>
      <c r="N949" t="s">
        <v>410</v>
      </c>
    </row>
    <row r="950" spans="1:14" x14ac:dyDescent="0.3">
      <c r="A950" s="16">
        <v>45493</v>
      </c>
      <c r="B950" t="s">
        <v>482</v>
      </c>
      <c r="C950" t="s">
        <v>737</v>
      </c>
      <c r="D950" t="s">
        <v>413</v>
      </c>
      <c r="E950" t="s">
        <v>444</v>
      </c>
      <c r="F950" t="s">
        <v>442</v>
      </c>
      <c r="G950" t="s">
        <v>409</v>
      </c>
      <c r="H950">
        <v>25</v>
      </c>
      <c r="I950">
        <v>839</v>
      </c>
      <c r="J950">
        <v>1233</v>
      </c>
      <c r="K950">
        <v>20975</v>
      </c>
      <c r="L950">
        <v>30825</v>
      </c>
      <c r="M950">
        <v>9850</v>
      </c>
      <c r="N950" t="s">
        <v>410</v>
      </c>
    </row>
    <row r="951" spans="1:14" x14ac:dyDescent="0.3">
      <c r="A951" s="16">
        <v>45630</v>
      </c>
      <c r="B951" t="s">
        <v>416</v>
      </c>
      <c r="C951" t="s">
        <v>774</v>
      </c>
      <c r="D951" t="s">
        <v>413</v>
      </c>
      <c r="E951" t="s">
        <v>444</v>
      </c>
      <c r="F951" t="s">
        <v>433</v>
      </c>
      <c r="G951" t="s">
        <v>428</v>
      </c>
      <c r="H951">
        <v>23</v>
      </c>
      <c r="I951">
        <v>632</v>
      </c>
      <c r="J951">
        <v>762</v>
      </c>
      <c r="K951">
        <v>14536</v>
      </c>
      <c r="L951">
        <v>17526</v>
      </c>
      <c r="M951">
        <v>2990</v>
      </c>
      <c r="N951" t="s">
        <v>410</v>
      </c>
    </row>
    <row r="952" spans="1:14" x14ac:dyDescent="0.3">
      <c r="A952" s="16">
        <v>45618</v>
      </c>
      <c r="B952" t="s">
        <v>411</v>
      </c>
      <c r="C952" t="s">
        <v>724</v>
      </c>
      <c r="D952" t="s">
        <v>413</v>
      </c>
      <c r="E952" t="s">
        <v>414</v>
      </c>
      <c r="F952" t="s">
        <v>532</v>
      </c>
      <c r="G952" t="s">
        <v>428</v>
      </c>
      <c r="H952">
        <v>25</v>
      </c>
      <c r="I952">
        <v>924</v>
      </c>
      <c r="J952">
        <v>1062</v>
      </c>
      <c r="K952">
        <v>23100</v>
      </c>
      <c r="L952">
        <v>26550</v>
      </c>
      <c r="M952">
        <v>3450</v>
      </c>
      <c r="N952" t="s">
        <v>410</v>
      </c>
    </row>
    <row r="953" spans="1:14" x14ac:dyDescent="0.3">
      <c r="A953" s="16">
        <v>45582</v>
      </c>
      <c r="B953" t="s">
        <v>422</v>
      </c>
      <c r="C953" t="s">
        <v>608</v>
      </c>
      <c r="D953" t="s">
        <v>406</v>
      </c>
      <c r="E953" t="s">
        <v>407</v>
      </c>
      <c r="F953" t="s">
        <v>478</v>
      </c>
      <c r="G953" t="s">
        <v>428</v>
      </c>
      <c r="H953">
        <v>17</v>
      </c>
      <c r="I953">
        <v>642</v>
      </c>
      <c r="J953">
        <v>1095</v>
      </c>
      <c r="K953">
        <v>10914</v>
      </c>
      <c r="L953">
        <v>18615</v>
      </c>
      <c r="M953">
        <v>7701</v>
      </c>
      <c r="N953" t="s">
        <v>410</v>
      </c>
    </row>
    <row r="954" spans="1:14" x14ac:dyDescent="0.3">
      <c r="A954" s="16">
        <v>45514</v>
      </c>
      <c r="B954" t="s">
        <v>434</v>
      </c>
      <c r="C954" t="s">
        <v>743</v>
      </c>
      <c r="D954" t="s">
        <v>406</v>
      </c>
      <c r="E954" t="s">
        <v>407</v>
      </c>
      <c r="F954" t="s">
        <v>433</v>
      </c>
      <c r="G954" t="s">
        <v>409</v>
      </c>
      <c r="H954">
        <v>11</v>
      </c>
      <c r="I954">
        <v>622</v>
      </c>
      <c r="J954">
        <v>767</v>
      </c>
      <c r="K954">
        <v>6842</v>
      </c>
      <c r="L954">
        <v>8437</v>
      </c>
      <c r="M954">
        <v>1595</v>
      </c>
      <c r="N954" t="s">
        <v>410</v>
      </c>
    </row>
    <row r="955" spans="1:14" x14ac:dyDescent="0.3">
      <c r="A955" s="16">
        <v>45640</v>
      </c>
      <c r="B955" t="s">
        <v>416</v>
      </c>
      <c r="C955" t="s">
        <v>639</v>
      </c>
      <c r="D955" t="s">
        <v>418</v>
      </c>
      <c r="E955" t="s">
        <v>453</v>
      </c>
      <c r="F955" t="s">
        <v>408</v>
      </c>
      <c r="G955" t="s">
        <v>409</v>
      </c>
      <c r="H955">
        <v>97</v>
      </c>
      <c r="I955">
        <v>917</v>
      </c>
      <c r="J955">
        <v>1203</v>
      </c>
      <c r="K955">
        <v>88949</v>
      </c>
      <c r="L955">
        <v>116691</v>
      </c>
      <c r="M955">
        <v>27742</v>
      </c>
      <c r="N955" t="s">
        <v>410</v>
      </c>
    </row>
    <row r="956" spans="1:14" x14ac:dyDescent="0.3">
      <c r="A956" s="16">
        <v>45454</v>
      </c>
      <c r="B956" t="s">
        <v>404</v>
      </c>
      <c r="C956" t="s">
        <v>621</v>
      </c>
      <c r="D956" t="s">
        <v>406</v>
      </c>
      <c r="E956" t="s">
        <v>470</v>
      </c>
      <c r="F956" t="s">
        <v>510</v>
      </c>
      <c r="G956" t="s">
        <v>409</v>
      </c>
      <c r="H956">
        <v>17</v>
      </c>
      <c r="I956">
        <v>938</v>
      </c>
      <c r="J956">
        <v>938</v>
      </c>
      <c r="K956">
        <v>15946</v>
      </c>
      <c r="L956">
        <v>15946</v>
      </c>
      <c r="M956">
        <v>0</v>
      </c>
      <c r="N956" t="s">
        <v>421</v>
      </c>
    </row>
    <row r="957" spans="1:14" x14ac:dyDescent="0.3">
      <c r="A957" s="16">
        <v>45532</v>
      </c>
      <c r="B957" t="s">
        <v>434</v>
      </c>
      <c r="C957" t="s">
        <v>778</v>
      </c>
      <c r="D957" t="s">
        <v>418</v>
      </c>
      <c r="E957" t="s">
        <v>453</v>
      </c>
      <c r="F957" t="s">
        <v>566</v>
      </c>
      <c r="G957" t="s">
        <v>409</v>
      </c>
      <c r="H957">
        <v>99</v>
      </c>
      <c r="I957">
        <v>934</v>
      </c>
      <c r="J957">
        <v>1318</v>
      </c>
      <c r="K957">
        <v>92466</v>
      </c>
      <c r="L957">
        <v>130482</v>
      </c>
      <c r="M957">
        <v>38016</v>
      </c>
      <c r="N957" t="s">
        <v>410</v>
      </c>
    </row>
    <row r="958" spans="1:14" x14ac:dyDescent="0.3">
      <c r="A958" s="16">
        <v>45483</v>
      </c>
      <c r="B958" t="s">
        <v>482</v>
      </c>
      <c r="C958" t="s">
        <v>582</v>
      </c>
      <c r="D958" t="s">
        <v>406</v>
      </c>
      <c r="E958" t="s">
        <v>407</v>
      </c>
      <c r="F958" t="s">
        <v>433</v>
      </c>
      <c r="G958" t="s">
        <v>409</v>
      </c>
      <c r="H958">
        <v>11</v>
      </c>
      <c r="I958">
        <v>991</v>
      </c>
      <c r="J958">
        <v>803</v>
      </c>
      <c r="K958">
        <v>10901</v>
      </c>
      <c r="L958">
        <v>8833</v>
      </c>
      <c r="M958">
        <v>-2068</v>
      </c>
      <c r="N958" t="s">
        <v>421</v>
      </c>
    </row>
    <row r="959" spans="1:14" x14ac:dyDescent="0.3">
      <c r="A959" s="16">
        <v>45568</v>
      </c>
      <c r="B959" t="s">
        <v>422</v>
      </c>
      <c r="C959" t="s">
        <v>714</v>
      </c>
      <c r="D959" t="s">
        <v>406</v>
      </c>
      <c r="E959" t="s">
        <v>470</v>
      </c>
      <c r="F959" t="s">
        <v>433</v>
      </c>
      <c r="G959" t="s">
        <v>409</v>
      </c>
      <c r="H959">
        <v>18</v>
      </c>
      <c r="I959">
        <v>668</v>
      </c>
      <c r="J959">
        <v>1366</v>
      </c>
      <c r="K959">
        <v>12024</v>
      </c>
      <c r="L959">
        <v>24588</v>
      </c>
      <c r="M959">
        <v>12564</v>
      </c>
      <c r="N959" t="s">
        <v>410</v>
      </c>
    </row>
    <row r="960" spans="1:14" x14ac:dyDescent="0.3">
      <c r="A960" s="16">
        <v>45416</v>
      </c>
      <c r="B960" t="s">
        <v>437</v>
      </c>
      <c r="C960" t="s">
        <v>689</v>
      </c>
      <c r="D960" t="s">
        <v>413</v>
      </c>
      <c r="E960" t="s">
        <v>414</v>
      </c>
      <c r="F960" t="s">
        <v>504</v>
      </c>
      <c r="G960" t="s">
        <v>428</v>
      </c>
      <c r="H960">
        <v>24</v>
      </c>
      <c r="I960">
        <v>504</v>
      </c>
      <c r="J960">
        <v>1283</v>
      </c>
      <c r="K960">
        <v>12096</v>
      </c>
      <c r="L960">
        <v>30792</v>
      </c>
      <c r="M960">
        <v>18696</v>
      </c>
      <c r="N960" t="s">
        <v>410</v>
      </c>
    </row>
    <row r="961" spans="1:14" x14ac:dyDescent="0.3">
      <c r="A961" s="16">
        <v>45660</v>
      </c>
      <c r="B961" t="s">
        <v>462</v>
      </c>
      <c r="C961" t="s">
        <v>477</v>
      </c>
      <c r="D961" t="s">
        <v>406</v>
      </c>
      <c r="E961" t="s">
        <v>470</v>
      </c>
      <c r="F961" t="s">
        <v>478</v>
      </c>
      <c r="G961" t="s">
        <v>409</v>
      </c>
      <c r="H961">
        <v>12</v>
      </c>
      <c r="I961">
        <v>864</v>
      </c>
      <c r="J961">
        <v>953</v>
      </c>
      <c r="K961">
        <v>10368</v>
      </c>
      <c r="L961">
        <v>11436</v>
      </c>
      <c r="M961">
        <v>1068</v>
      </c>
      <c r="N961" t="s">
        <v>410</v>
      </c>
    </row>
    <row r="962" spans="1:14" x14ac:dyDescent="0.3">
      <c r="A962" s="16">
        <v>45485</v>
      </c>
      <c r="B962" t="s">
        <v>482</v>
      </c>
      <c r="C962" t="s">
        <v>677</v>
      </c>
      <c r="D962" t="s">
        <v>413</v>
      </c>
      <c r="E962" t="s">
        <v>444</v>
      </c>
      <c r="F962" t="s">
        <v>426</v>
      </c>
      <c r="G962" t="s">
        <v>428</v>
      </c>
      <c r="H962">
        <v>24</v>
      </c>
      <c r="I962">
        <v>970</v>
      </c>
      <c r="J962">
        <v>1256</v>
      </c>
      <c r="K962">
        <v>23280</v>
      </c>
      <c r="L962">
        <v>30144</v>
      </c>
      <c r="M962">
        <v>6864</v>
      </c>
      <c r="N962" t="s">
        <v>410</v>
      </c>
    </row>
    <row r="963" spans="1:14" x14ac:dyDescent="0.3">
      <c r="A963" s="16">
        <v>45399</v>
      </c>
      <c r="B963" t="s">
        <v>449</v>
      </c>
      <c r="C963" t="s">
        <v>779</v>
      </c>
      <c r="D963" t="s">
        <v>418</v>
      </c>
      <c r="E963" t="s">
        <v>448</v>
      </c>
      <c r="F963" t="s">
        <v>532</v>
      </c>
      <c r="G963" t="s">
        <v>409</v>
      </c>
      <c r="H963">
        <v>67</v>
      </c>
      <c r="I963">
        <v>989</v>
      </c>
      <c r="J963">
        <v>956</v>
      </c>
      <c r="K963">
        <v>66263</v>
      </c>
      <c r="L963">
        <v>64052</v>
      </c>
      <c r="M963">
        <v>-2211</v>
      </c>
      <c r="N963" t="s">
        <v>421</v>
      </c>
    </row>
    <row r="964" spans="1:14" x14ac:dyDescent="0.3">
      <c r="A964" s="16">
        <v>45498</v>
      </c>
      <c r="B964" t="s">
        <v>482</v>
      </c>
      <c r="C964" t="s">
        <v>762</v>
      </c>
      <c r="D964" t="s">
        <v>418</v>
      </c>
      <c r="E964" t="s">
        <v>453</v>
      </c>
      <c r="F964" t="s">
        <v>424</v>
      </c>
      <c r="G964" t="s">
        <v>409</v>
      </c>
      <c r="H964">
        <v>57</v>
      </c>
      <c r="I964">
        <v>784</v>
      </c>
      <c r="J964">
        <v>859</v>
      </c>
      <c r="K964">
        <v>44688</v>
      </c>
      <c r="L964">
        <v>48963</v>
      </c>
      <c r="M964">
        <v>4275</v>
      </c>
      <c r="N964" t="s">
        <v>410</v>
      </c>
    </row>
    <row r="965" spans="1:14" x14ac:dyDescent="0.3">
      <c r="A965" s="16">
        <v>45480</v>
      </c>
      <c r="B965" t="s">
        <v>482</v>
      </c>
      <c r="C965" t="s">
        <v>563</v>
      </c>
      <c r="D965" t="s">
        <v>406</v>
      </c>
      <c r="E965" t="s">
        <v>407</v>
      </c>
      <c r="F965" t="s">
        <v>415</v>
      </c>
      <c r="G965" t="s">
        <v>428</v>
      </c>
      <c r="H965">
        <v>17</v>
      </c>
      <c r="I965">
        <v>748</v>
      </c>
      <c r="J965">
        <v>1138</v>
      </c>
      <c r="K965">
        <v>12716</v>
      </c>
      <c r="L965">
        <v>19346</v>
      </c>
      <c r="M965">
        <v>6630</v>
      </c>
      <c r="N965" t="s">
        <v>410</v>
      </c>
    </row>
    <row r="966" spans="1:14" x14ac:dyDescent="0.3">
      <c r="A966" s="16">
        <v>45463</v>
      </c>
      <c r="B966" t="s">
        <v>404</v>
      </c>
      <c r="C966" t="s">
        <v>691</v>
      </c>
      <c r="D966" t="s">
        <v>418</v>
      </c>
      <c r="E966" t="s">
        <v>453</v>
      </c>
      <c r="F966" t="s">
        <v>542</v>
      </c>
      <c r="G966" t="s">
        <v>428</v>
      </c>
      <c r="H966">
        <v>81</v>
      </c>
      <c r="I966">
        <v>702</v>
      </c>
      <c r="J966">
        <v>1494</v>
      </c>
      <c r="K966">
        <v>56862</v>
      </c>
      <c r="L966">
        <v>121014</v>
      </c>
      <c r="M966">
        <v>64152</v>
      </c>
      <c r="N966" t="s">
        <v>410</v>
      </c>
    </row>
    <row r="967" spans="1:14" x14ac:dyDescent="0.3">
      <c r="A967" s="16">
        <v>45532</v>
      </c>
      <c r="B967" t="s">
        <v>434</v>
      </c>
      <c r="C967" t="s">
        <v>778</v>
      </c>
      <c r="D967" t="s">
        <v>418</v>
      </c>
      <c r="E967" t="s">
        <v>453</v>
      </c>
      <c r="F967" t="s">
        <v>566</v>
      </c>
      <c r="G967" t="s">
        <v>409</v>
      </c>
      <c r="H967">
        <v>99</v>
      </c>
      <c r="I967">
        <v>528</v>
      </c>
      <c r="J967">
        <v>985</v>
      </c>
      <c r="K967">
        <v>52272</v>
      </c>
      <c r="L967">
        <v>97515</v>
      </c>
      <c r="M967">
        <v>45243</v>
      </c>
      <c r="N967" t="s">
        <v>410</v>
      </c>
    </row>
    <row r="968" spans="1:14" x14ac:dyDescent="0.3">
      <c r="A968" s="16">
        <v>45489</v>
      </c>
      <c r="B968" t="s">
        <v>482</v>
      </c>
      <c r="C968" t="s">
        <v>487</v>
      </c>
      <c r="D968" t="s">
        <v>413</v>
      </c>
      <c r="E968" t="s">
        <v>444</v>
      </c>
      <c r="F968" t="s">
        <v>465</v>
      </c>
      <c r="G968" t="s">
        <v>409</v>
      </c>
      <c r="H968">
        <v>27</v>
      </c>
      <c r="I968">
        <v>605</v>
      </c>
      <c r="J968">
        <v>826</v>
      </c>
      <c r="K968">
        <v>16335</v>
      </c>
      <c r="L968">
        <v>22302</v>
      </c>
      <c r="M968">
        <v>5967</v>
      </c>
      <c r="N968" t="s">
        <v>410</v>
      </c>
    </row>
    <row r="969" spans="1:14" x14ac:dyDescent="0.3">
      <c r="A969" s="16">
        <v>45490</v>
      </c>
      <c r="B969" t="s">
        <v>482</v>
      </c>
      <c r="C969" t="s">
        <v>505</v>
      </c>
      <c r="D969" t="s">
        <v>413</v>
      </c>
      <c r="E969" t="s">
        <v>444</v>
      </c>
      <c r="F969" t="s">
        <v>420</v>
      </c>
      <c r="G969" t="s">
        <v>409</v>
      </c>
      <c r="H969">
        <v>29</v>
      </c>
      <c r="I969">
        <v>689</v>
      </c>
      <c r="J969">
        <v>783</v>
      </c>
      <c r="K969">
        <v>19981</v>
      </c>
      <c r="L969">
        <v>22707</v>
      </c>
      <c r="M969">
        <v>2726</v>
      </c>
      <c r="N969" t="s">
        <v>410</v>
      </c>
    </row>
    <row r="970" spans="1:14" x14ac:dyDescent="0.3">
      <c r="A970" s="16">
        <v>45553</v>
      </c>
      <c r="B970" t="s">
        <v>431</v>
      </c>
      <c r="C970" t="s">
        <v>432</v>
      </c>
      <c r="D970" t="s">
        <v>406</v>
      </c>
      <c r="E970" t="s">
        <v>407</v>
      </c>
      <c r="F970" t="s">
        <v>433</v>
      </c>
      <c r="G970" t="s">
        <v>409</v>
      </c>
      <c r="H970">
        <v>15</v>
      </c>
      <c r="I970">
        <v>621</v>
      </c>
      <c r="J970">
        <v>1488</v>
      </c>
      <c r="K970">
        <v>9315</v>
      </c>
      <c r="L970">
        <v>22320</v>
      </c>
      <c r="M970">
        <v>13005</v>
      </c>
      <c r="N970" t="s">
        <v>410</v>
      </c>
    </row>
    <row r="971" spans="1:14" x14ac:dyDescent="0.3">
      <c r="A971" s="16">
        <v>45566</v>
      </c>
      <c r="B971" t="s">
        <v>422</v>
      </c>
      <c r="C971" t="s">
        <v>708</v>
      </c>
      <c r="D971" t="s">
        <v>406</v>
      </c>
      <c r="E971" t="s">
        <v>470</v>
      </c>
      <c r="F971" t="s">
        <v>426</v>
      </c>
      <c r="G971" t="s">
        <v>409</v>
      </c>
      <c r="H971">
        <v>14</v>
      </c>
      <c r="I971">
        <v>909</v>
      </c>
      <c r="J971">
        <v>780</v>
      </c>
      <c r="K971">
        <v>12726</v>
      </c>
      <c r="L971">
        <v>10920</v>
      </c>
      <c r="M971">
        <v>-1806</v>
      </c>
      <c r="N971" t="s">
        <v>421</v>
      </c>
    </row>
    <row r="972" spans="1:14" x14ac:dyDescent="0.3">
      <c r="A972" s="16">
        <v>45596</v>
      </c>
      <c r="B972" t="s">
        <v>422</v>
      </c>
      <c r="C972" t="s">
        <v>777</v>
      </c>
      <c r="D972" t="s">
        <v>413</v>
      </c>
      <c r="E972" t="s">
        <v>430</v>
      </c>
      <c r="F972" t="s">
        <v>510</v>
      </c>
      <c r="G972" t="s">
        <v>428</v>
      </c>
      <c r="H972">
        <v>30</v>
      </c>
      <c r="I972">
        <v>539</v>
      </c>
      <c r="J972">
        <v>1364</v>
      </c>
      <c r="K972">
        <v>16170</v>
      </c>
      <c r="L972">
        <v>40920</v>
      </c>
      <c r="M972">
        <v>24750</v>
      </c>
      <c r="N972" t="s">
        <v>410</v>
      </c>
    </row>
    <row r="973" spans="1:14" x14ac:dyDescent="0.3">
      <c r="A973" s="16">
        <v>45602</v>
      </c>
      <c r="B973" t="s">
        <v>411</v>
      </c>
      <c r="C973" t="s">
        <v>701</v>
      </c>
      <c r="D973" t="s">
        <v>418</v>
      </c>
      <c r="E973" t="s">
        <v>448</v>
      </c>
      <c r="F973" t="s">
        <v>465</v>
      </c>
      <c r="G973" t="s">
        <v>409</v>
      </c>
      <c r="H973">
        <v>74</v>
      </c>
      <c r="I973">
        <v>714</v>
      </c>
      <c r="J973">
        <v>1148</v>
      </c>
      <c r="K973">
        <v>52836</v>
      </c>
      <c r="L973">
        <v>84952</v>
      </c>
      <c r="M973">
        <v>32116</v>
      </c>
      <c r="N973" t="s">
        <v>410</v>
      </c>
    </row>
    <row r="974" spans="1:14" x14ac:dyDescent="0.3">
      <c r="A974" s="16">
        <v>45642</v>
      </c>
      <c r="B974" t="s">
        <v>416</v>
      </c>
      <c r="C974" t="s">
        <v>638</v>
      </c>
      <c r="D974" t="s">
        <v>418</v>
      </c>
      <c r="E974" t="s">
        <v>453</v>
      </c>
      <c r="F974" t="s">
        <v>433</v>
      </c>
      <c r="G974" t="s">
        <v>409</v>
      </c>
      <c r="H974">
        <v>60</v>
      </c>
      <c r="I974">
        <v>642</v>
      </c>
      <c r="J974">
        <v>1110</v>
      </c>
      <c r="K974">
        <v>38520</v>
      </c>
      <c r="L974">
        <v>66600</v>
      </c>
      <c r="M974">
        <v>28080</v>
      </c>
      <c r="N974" t="s">
        <v>410</v>
      </c>
    </row>
    <row r="975" spans="1:14" x14ac:dyDescent="0.3">
      <c r="A975" s="16">
        <v>45407</v>
      </c>
      <c r="B975" t="s">
        <v>449</v>
      </c>
      <c r="C975" t="s">
        <v>508</v>
      </c>
      <c r="D975" t="s">
        <v>413</v>
      </c>
      <c r="E975" t="s">
        <v>414</v>
      </c>
      <c r="F975" t="s">
        <v>454</v>
      </c>
      <c r="G975" t="s">
        <v>409</v>
      </c>
      <c r="H975">
        <v>23</v>
      </c>
      <c r="I975">
        <v>938</v>
      </c>
      <c r="J975">
        <v>1336</v>
      </c>
      <c r="K975">
        <v>21574</v>
      </c>
      <c r="L975">
        <v>30728</v>
      </c>
      <c r="M975">
        <v>9154</v>
      </c>
      <c r="N975" t="s">
        <v>410</v>
      </c>
    </row>
    <row r="976" spans="1:14" x14ac:dyDescent="0.3">
      <c r="A976" s="16">
        <v>45679</v>
      </c>
      <c r="B976" t="s">
        <v>462</v>
      </c>
      <c r="C976" t="s">
        <v>463</v>
      </c>
      <c r="D976" t="s">
        <v>406</v>
      </c>
      <c r="E976" t="s">
        <v>407</v>
      </c>
      <c r="F976" t="s">
        <v>439</v>
      </c>
      <c r="G976" t="s">
        <v>409</v>
      </c>
      <c r="H976">
        <v>19</v>
      </c>
      <c r="I976">
        <v>791</v>
      </c>
      <c r="J976">
        <v>965</v>
      </c>
      <c r="K976">
        <v>15029</v>
      </c>
      <c r="L976">
        <v>18335</v>
      </c>
      <c r="M976">
        <v>3306</v>
      </c>
      <c r="N976" t="s">
        <v>410</v>
      </c>
    </row>
    <row r="977" spans="1:14" x14ac:dyDescent="0.3">
      <c r="A977" s="16">
        <v>45536</v>
      </c>
      <c r="B977" t="s">
        <v>431</v>
      </c>
      <c r="C977" t="s">
        <v>686</v>
      </c>
      <c r="D977" t="s">
        <v>418</v>
      </c>
      <c r="E977" t="s">
        <v>453</v>
      </c>
      <c r="F977" t="s">
        <v>504</v>
      </c>
      <c r="G977" t="s">
        <v>428</v>
      </c>
      <c r="H977">
        <v>73</v>
      </c>
      <c r="I977">
        <v>627</v>
      </c>
      <c r="J977">
        <v>769</v>
      </c>
      <c r="K977">
        <v>45771</v>
      </c>
      <c r="L977">
        <v>56137</v>
      </c>
      <c r="M977">
        <v>10366</v>
      </c>
      <c r="N977" t="s">
        <v>410</v>
      </c>
    </row>
    <row r="978" spans="1:14" x14ac:dyDescent="0.3">
      <c r="A978" s="16">
        <v>45537</v>
      </c>
      <c r="B978" t="s">
        <v>431</v>
      </c>
      <c r="C978" t="s">
        <v>688</v>
      </c>
      <c r="D978" t="s">
        <v>418</v>
      </c>
      <c r="E978" t="s">
        <v>419</v>
      </c>
      <c r="F978" t="s">
        <v>424</v>
      </c>
      <c r="G978" t="s">
        <v>428</v>
      </c>
      <c r="H978">
        <v>72</v>
      </c>
      <c r="I978">
        <v>719</v>
      </c>
      <c r="J978">
        <v>911</v>
      </c>
      <c r="K978">
        <v>51768</v>
      </c>
      <c r="L978">
        <v>65592</v>
      </c>
      <c r="M978">
        <v>13824</v>
      </c>
      <c r="N978" t="s">
        <v>410</v>
      </c>
    </row>
    <row r="979" spans="1:14" x14ac:dyDescent="0.3">
      <c r="A979" s="16">
        <v>45706</v>
      </c>
      <c r="B979" t="s">
        <v>459</v>
      </c>
      <c r="C979" t="s">
        <v>668</v>
      </c>
      <c r="D979" t="s">
        <v>418</v>
      </c>
      <c r="E979" t="s">
        <v>453</v>
      </c>
      <c r="F979" t="s">
        <v>465</v>
      </c>
      <c r="G979" t="s">
        <v>428</v>
      </c>
      <c r="H979">
        <v>55</v>
      </c>
      <c r="I979">
        <v>558</v>
      </c>
      <c r="J979">
        <v>1203</v>
      </c>
      <c r="K979">
        <v>30690</v>
      </c>
      <c r="L979">
        <v>66165</v>
      </c>
      <c r="M979">
        <v>35475</v>
      </c>
      <c r="N979" t="s">
        <v>410</v>
      </c>
    </row>
    <row r="980" spans="1:14" x14ac:dyDescent="0.3">
      <c r="A980" s="16">
        <v>45580</v>
      </c>
      <c r="B980" t="s">
        <v>422</v>
      </c>
      <c r="C980" t="s">
        <v>464</v>
      </c>
      <c r="D980" t="s">
        <v>406</v>
      </c>
      <c r="E980" t="s">
        <v>407</v>
      </c>
      <c r="F980" t="s">
        <v>465</v>
      </c>
      <c r="G980" t="s">
        <v>428</v>
      </c>
      <c r="H980">
        <v>20</v>
      </c>
      <c r="I980">
        <v>817</v>
      </c>
      <c r="J980">
        <v>1324</v>
      </c>
      <c r="K980">
        <v>16340</v>
      </c>
      <c r="L980">
        <v>26480</v>
      </c>
      <c r="M980">
        <v>10140</v>
      </c>
      <c r="N980" t="s">
        <v>410</v>
      </c>
    </row>
    <row r="981" spans="1:14" x14ac:dyDescent="0.3">
      <c r="A981" s="16">
        <v>45553</v>
      </c>
      <c r="B981" t="s">
        <v>431</v>
      </c>
      <c r="C981" t="s">
        <v>432</v>
      </c>
      <c r="D981" t="s">
        <v>406</v>
      </c>
      <c r="E981" t="s">
        <v>407</v>
      </c>
      <c r="F981" t="s">
        <v>433</v>
      </c>
      <c r="G981" t="s">
        <v>409</v>
      </c>
      <c r="H981">
        <v>17</v>
      </c>
      <c r="I981">
        <v>966</v>
      </c>
      <c r="J981">
        <v>1044</v>
      </c>
      <c r="K981">
        <v>16422</v>
      </c>
      <c r="L981">
        <v>17748</v>
      </c>
      <c r="M981">
        <v>1326</v>
      </c>
      <c r="N981" t="s">
        <v>410</v>
      </c>
    </row>
    <row r="982" spans="1:14" x14ac:dyDescent="0.3">
      <c r="A982" s="16">
        <v>45427</v>
      </c>
      <c r="B982" t="s">
        <v>437</v>
      </c>
      <c r="C982" t="s">
        <v>645</v>
      </c>
      <c r="D982" t="s">
        <v>413</v>
      </c>
      <c r="E982" t="s">
        <v>444</v>
      </c>
      <c r="F982" t="s">
        <v>478</v>
      </c>
      <c r="G982" t="s">
        <v>409</v>
      </c>
      <c r="H982">
        <v>30</v>
      </c>
      <c r="I982">
        <v>583</v>
      </c>
      <c r="J982">
        <v>1500</v>
      </c>
      <c r="K982">
        <v>17490</v>
      </c>
      <c r="L982">
        <v>45000</v>
      </c>
      <c r="M982">
        <v>27510</v>
      </c>
      <c r="N982" t="s">
        <v>410</v>
      </c>
    </row>
    <row r="983" spans="1:14" x14ac:dyDescent="0.3">
      <c r="A983" s="16">
        <v>45711</v>
      </c>
      <c r="B983" t="s">
        <v>459</v>
      </c>
      <c r="C983" t="s">
        <v>573</v>
      </c>
      <c r="D983" t="s">
        <v>418</v>
      </c>
      <c r="E983" t="s">
        <v>453</v>
      </c>
      <c r="F983" t="s">
        <v>510</v>
      </c>
      <c r="G983" t="s">
        <v>428</v>
      </c>
      <c r="H983">
        <v>65</v>
      </c>
      <c r="I983">
        <v>661</v>
      </c>
      <c r="J983">
        <v>1425</v>
      </c>
      <c r="K983">
        <v>42965</v>
      </c>
      <c r="L983">
        <v>92625</v>
      </c>
      <c r="M983">
        <v>49660</v>
      </c>
      <c r="N983" t="s">
        <v>410</v>
      </c>
    </row>
    <row r="984" spans="1:14" x14ac:dyDescent="0.3">
      <c r="A984" s="16">
        <v>45568</v>
      </c>
      <c r="B984" t="s">
        <v>422</v>
      </c>
      <c r="C984" t="s">
        <v>714</v>
      </c>
      <c r="D984" t="s">
        <v>406</v>
      </c>
      <c r="E984" t="s">
        <v>470</v>
      </c>
      <c r="F984" t="s">
        <v>433</v>
      </c>
      <c r="G984" t="s">
        <v>409</v>
      </c>
      <c r="H984">
        <v>12</v>
      </c>
      <c r="I984">
        <v>516</v>
      </c>
      <c r="J984">
        <v>857</v>
      </c>
      <c r="K984">
        <v>6192</v>
      </c>
      <c r="L984">
        <v>10284</v>
      </c>
      <c r="M984">
        <v>4092</v>
      </c>
      <c r="N984" t="s">
        <v>410</v>
      </c>
    </row>
    <row r="985" spans="1:14" x14ac:dyDescent="0.3">
      <c r="A985" s="16">
        <v>45399</v>
      </c>
      <c r="B985" t="s">
        <v>449</v>
      </c>
      <c r="C985" t="s">
        <v>779</v>
      </c>
      <c r="D985" t="s">
        <v>418</v>
      </c>
      <c r="E985" t="s">
        <v>448</v>
      </c>
      <c r="F985" t="s">
        <v>532</v>
      </c>
      <c r="G985" t="s">
        <v>409</v>
      </c>
      <c r="H985">
        <v>61</v>
      </c>
      <c r="I985">
        <v>865</v>
      </c>
      <c r="J985">
        <v>894</v>
      </c>
      <c r="K985">
        <v>52765</v>
      </c>
      <c r="L985">
        <v>54534</v>
      </c>
      <c r="M985">
        <v>1769</v>
      </c>
      <c r="N985" t="s">
        <v>410</v>
      </c>
    </row>
    <row r="986" spans="1:14" x14ac:dyDescent="0.3">
      <c r="A986" s="16">
        <v>45693</v>
      </c>
      <c r="B986" t="s">
        <v>459</v>
      </c>
      <c r="C986" t="s">
        <v>772</v>
      </c>
      <c r="D986" t="s">
        <v>413</v>
      </c>
      <c r="E986" t="s">
        <v>444</v>
      </c>
      <c r="F986" t="s">
        <v>439</v>
      </c>
      <c r="G986" t="s">
        <v>428</v>
      </c>
      <c r="H986">
        <v>24</v>
      </c>
      <c r="I986">
        <v>993</v>
      </c>
      <c r="J986">
        <v>987</v>
      </c>
      <c r="K986">
        <v>23832</v>
      </c>
      <c r="L986">
        <v>23688</v>
      </c>
      <c r="M986">
        <v>-144</v>
      </c>
      <c r="N986" t="s">
        <v>421</v>
      </c>
    </row>
    <row r="987" spans="1:14" x14ac:dyDescent="0.3">
      <c r="A987" s="16">
        <v>45418</v>
      </c>
      <c r="B987" t="s">
        <v>437</v>
      </c>
      <c r="C987" t="s">
        <v>500</v>
      </c>
      <c r="D987" t="s">
        <v>413</v>
      </c>
      <c r="E987" t="s">
        <v>414</v>
      </c>
      <c r="F987" t="s">
        <v>424</v>
      </c>
      <c r="G987" t="s">
        <v>409</v>
      </c>
      <c r="H987">
        <v>27</v>
      </c>
      <c r="I987">
        <v>890</v>
      </c>
      <c r="J987">
        <v>853</v>
      </c>
      <c r="K987">
        <v>24030</v>
      </c>
      <c r="L987">
        <v>23031</v>
      </c>
      <c r="M987">
        <v>-999</v>
      </c>
      <c r="N987" t="s">
        <v>421</v>
      </c>
    </row>
    <row r="988" spans="1:14" x14ac:dyDescent="0.3">
      <c r="A988" s="16">
        <v>45476</v>
      </c>
      <c r="B988" t="s">
        <v>482</v>
      </c>
      <c r="C988" t="s">
        <v>664</v>
      </c>
      <c r="D988" t="s">
        <v>406</v>
      </c>
      <c r="E988" t="s">
        <v>407</v>
      </c>
      <c r="F988" t="s">
        <v>532</v>
      </c>
      <c r="G988" t="s">
        <v>409</v>
      </c>
      <c r="H988">
        <v>15</v>
      </c>
      <c r="I988">
        <v>941</v>
      </c>
      <c r="J988">
        <v>913</v>
      </c>
      <c r="K988">
        <v>14115</v>
      </c>
      <c r="L988">
        <v>13695</v>
      </c>
      <c r="M988">
        <v>-420</v>
      </c>
      <c r="N988" t="s">
        <v>421</v>
      </c>
    </row>
    <row r="989" spans="1:14" x14ac:dyDescent="0.3">
      <c r="A989" s="16">
        <v>45564</v>
      </c>
      <c r="B989" t="s">
        <v>431</v>
      </c>
      <c r="C989" t="s">
        <v>475</v>
      </c>
      <c r="D989" t="s">
        <v>406</v>
      </c>
      <c r="E989" t="s">
        <v>470</v>
      </c>
      <c r="F989" t="s">
        <v>433</v>
      </c>
      <c r="G989" t="s">
        <v>409</v>
      </c>
      <c r="H989">
        <v>12</v>
      </c>
      <c r="I989">
        <v>827</v>
      </c>
      <c r="J989">
        <v>955</v>
      </c>
      <c r="K989">
        <v>9924</v>
      </c>
      <c r="L989">
        <v>11460</v>
      </c>
      <c r="M989">
        <v>1536</v>
      </c>
      <c r="N989" t="s">
        <v>410</v>
      </c>
    </row>
    <row r="990" spans="1:14" x14ac:dyDescent="0.3">
      <c r="A990" s="16">
        <v>45630</v>
      </c>
      <c r="B990" t="s">
        <v>416</v>
      </c>
      <c r="C990" t="s">
        <v>774</v>
      </c>
      <c r="D990" t="s">
        <v>413</v>
      </c>
      <c r="E990" t="s">
        <v>444</v>
      </c>
      <c r="F990" t="s">
        <v>433</v>
      </c>
      <c r="G990" t="s">
        <v>428</v>
      </c>
      <c r="H990">
        <v>29</v>
      </c>
      <c r="I990">
        <v>841</v>
      </c>
      <c r="J990">
        <v>854</v>
      </c>
      <c r="K990">
        <v>24389</v>
      </c>
      <c r="L990">
        <v>24766</v>
      </c>
      <c r="M990">
        <v>377</v>
      </c>
      <c r="N990" t="s">
        <v>410</v>
      </c>
    </row>
    <row r="991" spans="1:14" x14ac:dyDescent="0.3">
      <c r="A991" s="16">
        <v>45414</v>
      </c>
      <c r="B991" t="s">
        <v>437</v>
      </c>
      <c r="C991" t="s">
        <v>734</v>
      </c>
      <c r="D991" t="s">
        <v>413</v>
      </c>
      <c r="E991" t="s">
        <v>414</v>
      </c>
      <c r="F991" t="s">
        <v>510</v>
      </c>
      <c r="G991" t="s">
        <v>428</v>
      </c>
      <c r="H991">
        <v>25</v>
      </c>
      <c r="I991">
        <v>909</v>
      </c>
      <c r="J991">
        <v>970</v>
      </c>
      <c r="K991">
        <v>22725</v>
      </c>
      <c r="L991">
        <v>24250</v>
      </c>
      <c r="M991">
        <v>1525</v>
      </c>
      <c r="N991" t="s">
        <v>410</v>
      </c>
    </row>
    <row r="992" spans="1:14" x14ac:dyDescent="0.3">
      <c r="A992" s="16">
        <v>45656</v>
      </c>
      <c r="B992" t="s">
        <v>416</v>
      </c>
      <c r="C992" t="s">
        <v>427</v>
      </c>
      <c r="D992" t="s">
        <v>418</v>
      </c>
      <c r="E992" t="s">
        <v>419</v>
      </c>
      <c r="F992" t="s">
        <v>424</v>
      </c>
      <c r="G992" t="s">
        <v>428</v>
      </c>
      <c r="H992">
        <v>78</v>
      </c>
      <c r="I992">
        <v>682</v>
      </c>
      <c r="J992">
        <v>962</v>
      </c>
      <c r="K992">
        <v>53196</v>
      </c>
      <c r="L992">
        <v>75036</v>
      </c>
      <c r="M992">
        <v>21840</v>
      </c>
      <c r="N992" t="s">
        <v>410</v>
      </c>
    </row>
    <row r="993" spans="1:14" x14ac:dyDescent="0.3">
      <c r="A993" s="16">
        <v>45624</v>
      </c>
      <c r="B993" t="s">
        <v>411</v>
      </c>
      <c r="C993" t="s">
        <v>727</v>
      </c>
      <c r="D993" t="s">
        <v>413</v>
      </c>
      <c r="E993" t="s">
        <v>444</v>
      </c>
      <c r="F993" t="s">
        <v>408</v>
      </c>
      <c r="G993" t="s">
        <v>409</v>
      </c>
      <c r="H993">
        <v>21</v>
      </c>
      <c r="I993">
        <v>751</v>
      </c>
      <c r="J993">
        <v>1498</v>
      </c>
      <c r="K993">
        <v>15771</v>
      </c>
      <c r="L993">
        <v>31458</v>
      </c>
      <c r="M993">
        <v>15687</v>
      </c>
      <c r="N993" t="s">
        <v>410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47F30-9FAA-4F5D-BFF4-76EFF59313FA}">
  <dimension ref="A1:N994"/>
  <sheetViews>
    <sheetView topLeftCell="A34" workbookViewId="0"/>
  </sheetViews>
  <sheetFormatPr defaultRowHeight="14.4" x14ac:dyDescent="0.3"/>
  <cols>
    <col min="1" max="1" width="29" bestFit="1" customWidth="1"/>
    <col min="2" max="2" width="10" bestFit="1" customWidth="1"/>
    <col min="3" max="3" width="26.6640625" bestFit="1" customWidth="1"/>
    <col min="4" max="4" width="12.44140625" bestFit="1" customWidth="1"/>
    <col min="5" max="5" width="19.21875" bestFit="1" customWidth="1"/>
    <col min="6" max="6" width="16.109375" bestFit="1" customWidth="1"/>
    <col min="7" max="7" width="10.44140625" bestFit="1" customWidth="1"/>
    <col min="8" max="8" width="12.109375" bestFit="1" customWidth="1"/>
    <col min="9" max="9" width="6.6640625" bestFit="1" customWidth="1"/>
    <col min="10" max="10" width="7.44140625" bestFit="1" customWidth="1"/>
    <col min="11" max="11" width="18.77734375" bestFit="1" customWidth="1"/>
    <col min="12" max="12" width="13.44140625" bestFit="1" customWidth="1"/>
    <col min="13" max="13" width="8.33203125" bestFit="1" customWidth="1"/>
  </cols>
  <sheetData>
    <row r="1" spans="1:14" ht="21.6" thickBot="1" x14ac:dyDescent="0.35">
      <c r="A1" s="1" t="s">
        <v>387</v>
      </c>
      <c r="B1" s="1" t="s">
        <v>0</v>
      </c>
      <c r="C1" s="2" t="s">
        <v>1</v>
      </c>
      <c r="D1" s="2" t="s">
        <v>2</v>
      </c>
      <c r="E1" s="2" t="s">
        <v>3</v>
      </c>
      <c r="F1" s="2" t="s">
        <v>4</v>
      </c>
      <c r="G1" s="2" t="s">
        <v>5</v>
      </c>
      <c r="H1" s="2" t="s">
        <v>6</v>
      </c>
      <c r="I1" s="2" t="s">
        <v>7</v>
      </c>
      <c r="J1" s="2" t="s">
        <v>8</v>
      </c>
      <c r="K1" s="3" t="s">
        <v>9</v>
      </c>
      <c r="L1" s="3" t="s">
        <v>10</v>
      </c>
      <c r="M1" s="3" t="s">
        <v>11</v>
      </c>
      <c r="N1" s="3" t="s">
        <v>12</v>
      </c>
    </row>
    <row r="2" spans="1:14" ht="15.6" thickTop="1" thickBot="1" x14ac:dyDescent="0.35">
      <c r="A2" s="4">
        <v>45454</v>
      </c>
      <c r="B2" s="4" t="s">
        <v>13</v>
      </c>
      <c r="C2" s="5" t="s">
        <v>14</v>
      </c>
      <c r="D2" s="5" t="s">
        <v>15</v>
      </c>
      <c r="E2" s="5" t="s">
        <v>16</v>
      </c>
      <c r="F2" s="5" t="s">
        <v>17</v>
      </c>
      <c r="G2" s="5" t="s">
        <v>18</v>
      </c>
      <c r="H2" s="5">
        <v>17</v>
      </c>
      <c r="I2" s="5">
        <v>938</v>
      </c>
      <c r="J2" s="5">
        <v>938</v>
      </c>
      <c r="K2" s="6">
        <f t="shared" ref="K2:K65" si="0">H2*I2</f>
        <v>15946</v>
      </c>
      <c r="L2" s="6">
        <f t="shared" ref="L2:L65" si="1">H2*J2</f>
        <v>15946</v>
      </c>
      <c r="M2" s="6">
        <f t="shared" ref="M2:M65" si="2">L2-K2</f>
        <v>0</v>
      </c>
      <c r="N2" s="6" t="str">
        <f t="shared" ref="N2:N65" si="3">IF(M2&gt;0,"profit","loss")</f>
        <v>loss</v>
      </c>
    </row>
    <row r="3" spans="1:14" ht="15.6" thickTop="1" thickBot="1" x14ac:dyDescent="0.35">
      <c r="A3" s="4">
        <v>45455</v>
      </c>
      <c r="B3" s="4" t="s">
        <v>13</v>
      </c>
      <c r="C3" s="5" t="s">
        <v>19</v>
      </c>
      <c r="D3" s="5" t="s">
        <v>15</v>
      </c>
      <c r="E3" s="5" t="s">
        <v>16</v>
      </c>
      <c r="F3" s="5" t="s">
        <v>20</v>
      </c>
      <c r="G3" s="5" t="s">
        <v>18</v>
      </c>
      <c r="H3" s="5">
        <v>18</v>
      </c>
      <c r="I3" s="5">
        <v>920</v>
      </c>
      <c r="J3" s="5">
        <v>1360</v>
      </c>
      <c r="K3" s="6">
        <f t="shared" si="0"/>
        <v>16560</v>
      </c>
      <c r="L3" s="6">
        <f t="shared" si="1"/>
        <v>24480</v>
      </c>
      <c r="M3" s="6">
        <f t="shared" si="2"/>
        <v>7920</v>
      </c>
      <c r="N3" s="6" t="str">
        <f t="shared" si="3"/>
        <v>profit</v>
      </c>
    </row>
    <row r="4" spans="1:14" ht="15.6" thickTop="1" thickBot="1" x14ac:dyDescent="0.35">
      <c r="A4" s="4">
        <v>45456</v>
      </c>
      <c r="B4" s="4" t="s">
        <v>13</v>
      </c>
      <c r="C4" s="5" t="s">
        <v>21</v>
      </c>
      <c r="D4" s="5" t="s">
        <v>15</v>
      </c>
      <c r="E4" s="5" t="s">
        <v>16</v>
      </c>
      <c r="F4" s="5" t="s">
        <v>22</v>
      </c>
      <c r="G4" s="5" t="s">
        <v>18</v>
      </c>
      <c r="H4" s="5">
        <v>20</v>
      </c>
      <c r="I4" s="5">
        <v>731</v>
      </c>
      <c r="J4" s="5">
        <v>1186</v>
      </c>
      <c r="K4" s="6">
        <f t="shared" si="0"/>
        <v>14620</v>
      </c>
      <c r="L4" s="6">
        <f t="shared" si="1"/>
        <v>23720</v>
      </c>
      <c r="M4" s="6">
        <f t="shared" si="2"/>
        <v>9100</v>
      </c>
      <c r="N4" s="6" t="str">
        <f t="shared" si="3"/>
        <v>profit</v>
      </c>
    </row>
    <row r="5" spans="1:14" ht="15.6" thickTop="1" thickBot="1" x14ac:dyDescent="0.35">
      <c r="A5" s="4">
        <v>45457</v>
      </c>
      <c r="B5" s="4" t="s">
        <v>13</v>
      </c>
      <c r="C5" s="5" t="s">
        <v>23</v>
      </c>
      <c r="D5" s="5" t="s">
        <v>15</v>
      </c>
      <c r="E5" s="5" t="s">
        <v>16</v>
      </c>
      <c r="F5" s="5" t="s">
        <v>24</v>
      </c>
      <c r="G5" s="5" t="s">
        <v>18</v>
      </c>
      <c r="H5" s="5">
        <v>17</v>
      </c>
      <c r="I5" s="5">
        <v>750</v>
      </c>
      <c r="J5" s="5">
        <v>793</v>
      </c>
      <c r="K5" s="6">
        <f t="shared" si="0"/>
        <v>12750</v>
      </c>
      <c r="L5" s="6">
        <f t="shared" si="1"/>
        <v>13481</v>
      </c>
      <c r="M5" s="6">
        <f t="shared" si="2"/>
        <v>731</v>
      </c>
      <c r="N5" s="6" t="str">
        <f t="shared" si="3"/>
        <v>profit</v>
      </c>
    </row>
    <row r="6" spans="1:14" ht="15.6" thickTop="1" thickBot="1" x14ac:dyDescent="0.35">
      <c r="A6" s="4">
        <v>45459</v>
      </c>
      <c r="B6" s="4" t="s">
        <v>13</v>
      </c>
      <c r="C6" s="5" t="s">
        <v>25</v>
      </c>
      <c r="D6" s="5" t="s">
        <v>15</v>
      </c>
      <c r="E6" s="5" t="s">
        <v>16</v>
      </c>
      <c r="F6" s="5" t="s">
        <v>26</v>
      </c>
      <c r="G6" s="5" t="s">
        <v>27</v>
      </c>
      <c r="H6" s="5">
        <v>14</v>
      </c>
      <c r="I6" s="5">
        <v>906</v>
      </c>
      <c r="J6" s="5">
        <v>1327</v>
      </c>
      <c r="K6" s="6">
        <f t="shared" si="0"/>
        <v>12684</v>
      </c>
      <c r="L6" s="6">
        <f t="shared" si="1"/>
        <v>18578</v>
      </c>
      <c r="M6" s="6">
        <f t="shared" si="2"/>
        <v>5894</v>
      </c>
      <c r="N6" s="6" t="str">
        <f t="shared" si="3"/>
        <v>profit</v>
      </c>
    </row>
    <row r="7" spans="1:14" ht="15.6" thickTop="1" thickBot="1" x14ac:dyDescent="0.35">
      <c r="A7" s="4">
        <v>45460</v>
      </c>
      <c r="B7" s="4" t="s">
        <v>13</v>
      </c>
      <c r="C7" s="5" t="s">
        <v>28</v>
      </c>
      <c r="D7" s="5" t="s">
        <v>15</v>
      </c>
      <c r="E7" s="5" t="s">
        <v>16</v>
      </c>
      <c r="F7" s="5" t="s">
        <v>29</v>
      </c>
      <c r="G7" s="5" t="s">
        <v>27</v>
      </c>
      <c r="H7" s="5">
        <v>20</v>
      </c>
      <c r="I7" s="5">
        <v>699</v>
      </c>
      <c r="J7" s="5">
        <v>1400</v>
      </c>
      <c r="K7" s="6">
        <f t="shared" si="0"/>
        <v>13980</v>
      </c>
      <c r="L7" s="6">
        <f t="shared" si="1"/>
        <v>28000</v>
      </c>
      <c r="M7" s="6">
        <f t="shared" si="2"/>
        <v>14020</v>
      </c>
      <c r="N7" s="6" t="str">
        <f t="shared" si="3"/>
        <v>profit</v>
      </c>
    </row>
    <row r="8" spans="1:14" ht="15.6" thickTop="1" thickBot="1" x14ac:dyDescent="0.35">
      <c r="A8" s="4">
        <v>45389</v>
      </c>
      <c r="B8" s="4" t="s">
        <v>30</v>
      </c>
      <c r="C8" s="5" t="s">
        <v>31</v>
      </c>
      <c r="D8" s="5" t="s">
        <v>32</v>
      </c>
      <c r="E8" s="5" t="s">
        <v>33</v>
      </c>
      <c r="F8" s="5" t="s">
        <v>34</v>
      </c>
      <c r="G8" s="5" t="s">
        <v>27</v>
      </c>
      <c r="H8" s="5">
        <v>55</v>
      </c>
      <c r="I8" s="5">
        <v>637</v>
      </c>
      <c r="J8" s="5">
        <v>1143</v>
      </c>
      <c r="K8" s="6">
        <f t="shared" si="0"/>
        <v>35035</v>
      </c>
      <c r="L8" s="6">
        <f t="shared" si="1"/>
        <v>62865</v>
      </c>
      <c r="M8" s="6">
        <f t="shared" si="2"/>
        <v>27830</v>
      </c>
      <c r="N8" s="6" t="str">
        <f t="shared" si="3"/>
        <v>profit</v>
      </c>
    </row>
    <row r="9" spans="1:14" ht="15.6" thickTop="1" thickBot="1" x14ac:dyDescent="0.35">
      <c r="A9" s="4">
        <v>45472</v>
      </c>
      <c r="B9" s="4" t="s">
        <v>13</v>
      </c>
      <c r="C9" s="5" t="s">
        <v>35</v>
      </c>
      <c r="D9" s="5" t="s">
        <v>15</v>
      </c>
      <c r="E9" s="5" t="s">
        <v>36</v>
      </c>
      <c r="F9" s="5" t="s">
        <v>34</v>
      </c>
      <c r="G9" s="5" t="s">
        <v>18</v>
      </c>
      <c r="H9" s="5">
        <v>17</v>
      </c>
      <c r="I9" s="5">
        <v>537</v>
      </c>
      <c r="J9" s="5">
        <v>1350</v>
      </c>
      <c r="K9" s="6">
        <f t="shared" si="0"/>
        <v>9129</v>
      </c>
      <c r="L9" s="6">
        <f t="shared" si="1"/>
        <v>22950</v>
      </c>
      <c r="M9" s="6">
        <f t="shared" si="2"/>
        <v>13821</v>
      </c>
      <c r="N9" s="6" t="str">
        <f t="shared" si="3"/>
        <v>profit</v>
      </c>
    </row>
    <row r="10" spans="1:14" ht="15.6" thickTop="1" thickBot="1" x14ac:dyDescent="0.35">
      <c r="A10" s="4">
        <v>45473</v>
      </c>
      <c r="B10" s="4" t="s">
        <v>13</v>
      </c>
      <c r="C10" s="5" t="s">
        <v>37</v>
      </c>
      <c r="D10" s="5" t="s">
        <v>15</v>
      </c>
      <c r="E10" s="5" t="s">
        <v>36</v>
      </c>
      <c r="F10" s="5" t="s">
        <v>38</v>
      </c>
      <c r="G10" s="5" t="s">
        <v>18</v>
      </c>
      <c r="H10" s="5">
        <v>20</v>
      </c>
      <c r="I10" s="5">
        <v>875</v>
      </c>
      <c r="J10" s="5">
        <v>911</v>
      </c>
      <c r="K10" s="6">
        <f t="shared" si="0"/>
        <v>17500</v>
      </c>
      <c r="L10" s="6">
        <f t="shared" si="1"/>
        <v>18220</v>
      </c>
      <c r="M10" s="6">
        <f t="shared" si="2"/>
        <v>720</v>
      </c>
      <c r="N10" s="6" t="str">
        <f t="shared" si="3"/>
        <v>profit</v>
      </c>
    </row>
    <row r="11" spans="1:14" ht="15.6" thickTop="1" thickBot="1" x14ac:dyDescent="0.35">
      <c r="A11" s="4">
        <v>45474</v>
      </c>
      <c r="B11" s="4" t="s">
        <v>39</v>
      </c>
      <c r="C11" s="5" t="s">
        <v>40</v>
      </c>
      <c r="D11" s="5" t="s">
        <v>15</v>
      </c>
      <c r="E11" s="5" t="s">
        <v>36</v>
      </c>
      <c r="F11" s="5" t="s">
        <v>38</v>
      </c>
      <c r="G11" s="5" t="s">
        <v>18</v>
      </c>
      <c r="H11" s="5">
        <v>13</v>
      </c>
      <c r="I11" s="5">
        <v>917</v>
      </c>
      <c r="J11" s="5">
        <v>1315</v>
      </c>
      <c r="K11" s="6">
        <f t="shared" si="0"/>
        <v>11921</v>
      </c>
      <c r="L11" s="6">
        <f t="shared" si="1"/>
        <v>17095</v>
      </c>
      <c r="M11" s="6">
        <f t="shared" si="2"/>
        <v>5174</v>
      </c>
      <c r="N11" s="6" t="str">
        <f t="shared" si="3"/>
        <v>profit</v>
      </c>
    </row>
    <row r="12" spans="1:14" ht="15.6" thickTop="1" thickBot="1" x14ac:dyDescent="0.35">
      <c r="A12" s="4">
        <v>45476</v>
      </c>
      <c r="B12" s="4" t="s">
        <v>39</v>
      </c>
      <c r="C12" s="5" t="s">
        <v>41</v>
      </c>
      <c r="D12" s="5" t="s">
        <v>15</v>
      </c>
      <c r="E12" s="5" t="s">
        <v>36</v>
      </c>
      <c r="F12" s="5" t="s">
        <v>26</v>
      </c>
      <c r="G12" s="5" t="s">
        <v>18</v>
      </c>
      <c r="H12" s="5">
        <v>12</v>
      </c>
      <c r="I12" s="5">
        <v>980</v>
      </c>
      <c r="J12" s="5">
        <v>1462</v>
      </c>
      <c r="K12" s="6">
        <f t="shared" si="0"/>
        <v>11760</v>
      </c>
      <c r="L12" s="6">
        <f t="shared" si="1"/>
        <v>17544</v>
      </c>
      <c r="M12" s="6">
        <f t="shared" si="2"/>
        <v>5784</v>
      </c>
      <c r="N12" s="6" t="str">
        <f t="shared" si="3"/>
        <v>profit</v>
      </c>
    </row>
    <row r="13" spans="1:14" ht="15.6" thickTop="1" thickBot="1" x14ac:dyDescent="0.35">
      <c r="A13" s="4">
        <v>45477</v>
      </c>
      <c r="B13" s="4" t="s">
        <v>39</v>
      </c>
      <c r="C13" s="5" t="s">
        <v>42</v>
      </c>
      <c r="D13" s="5" t="s">
        <v>15</v>
      </c>
      <c r="E13" s="5" t="s">
        <v>36</v>
      </c>
      <c r="F13" s="5" t="s">
        <v>43</v>
      </c>
      <c r="G13" s="5" t="s">
        <v>18</v>
      </c>
      <c r="H13" s="5">
        <v>12</v>
      </c>
      <c r="I13" s="5">
        <v>734</v>
      </c>
      <c r="J13" s="5">
        <v>1181</v>
      </c>
      <c r="K13" s="6">
        <f t="shared" si="0"/>
        <v>8808</v>
      </c>
      <c r="L13" s="6">
        <f t="shared" si="1"/>
        <v>14172</v>
      </c>
      <c r="M13" s="6">
        <f t="shared" si="2"/>
        <v>5364</v>
      </c>
      <c r="N13" s="6" t="str">
        <f t="shared" si="3"/>
        <v>profit</v>
      </c>
    </row>
    <row r="14" spans="1:14" ht="15.6" thickTop="1" thickBot="1" x14ac:dyDescent="0.35">
      <c r="A14" s="4">
        <v>45395</v>
      </c>
      <c r="B14" s="4" t="s">
        <v>30</v>
      </c>
      <c r="C14" s="5" t="s">
        <v>44</v>
      </c>
      <c r="D14" s="5" t="s">
        <v>45</v>
      </c>
      <c r="E14" s="5" t="s">
        <v>46</v>
      </c>
      <c r="F14" s="5" t="s">
        <v>43</v>
      </c>
      <c r="G14" s="5" t="s">
        <v>18</v>
      </c>
      <c r="H14" s="5">
        <v>29</v>
      </c>
      <c r="I14" s="5">
        <v>951</v>
      </c>
      <c r="J14" s="5">
        <v>1268</v>
      </c>
      <c r="K14" s="6">
        <f t="shared" si="0"/>
        <v>27579</v>
      </c>
      <c r="L14" s="6">
        <f t="shared" si="1"/>
        <v>36772</v>
      </c>
      <c r="M14" s="6">
        <f t="shared" si="2"/>
        <v>9193</v>
      </c>
      <c r="N14" s="6" t="str">
        <f t="shared" si="3"/>
        <v>profit</v>
      </c>
    </row>
    <row r="15" spans="1:14" ht="15.6" thickTop="1" thickBot="1" x14ac:dyDescent="0.35">
      <c r="A15" s="4">
        <v>45478</v>
      </c>
      <c r="B15" s="4" t="s">
        <v>39</v>
      </c>
      <c r="C15" s="5" t="s">
        <v>47</v>
      </c>
      <c r="D15" s="5" t="s">
        <v>15</v>
      </c>
      <c r="E15" s="5" t="s">
        <v>36</v>
      </c>
      <c r="F15" s="5" t="s">
        <v>48</v>
      </c>
      <c r="G15" s="5" t="s">
        <v>18</v>
      </c>
      <c r="H15" s="5">
        <v>12</v>
      </c>
      <c r="I15" s="5">
        <v>913</v>
      </c>
      <c r="J15" s="5">
        <v>1170</v>
      </c>
      <c r="K15" s="6">
        <f t="shared" si="0"/>
        <v>10956</v>
      </c>
      <c r="L15" s="6">
        <f t="shared" si="1"/>
        <v>14040</v>
      </c>
      <c r="M15" s="6">
        <f t="shared" si="2"/>
        <v>3084</v>
      </c>
      <c r="N15" s="6" t="str">
        <f t="shared" si="3"/>
        <v>profit</v>
      </c>
    </row>
    <row r="16" spans="1:14" ht="15.6" thickTop="1" thickBot="1" x14ac:dyDescent="0.35">
      <c r="A16" s="4">
        <v>45479</v>
      </c>
      <c r="B16" s="4" t="s">
        <v>39</v>
      </c>
      <c r="C16" s="5" t="s">
        <v>49</v>
      </c>
      <c r="D16" s="5" t="s">
        <v>15</v>
      </c>
      <c r="E16" s="5" t="s">
        <v>36</v>
      </c>
      <c r="F16" s="5" t="s">
        <v>26</v>
      </c>
      <c r="G16" s="5" t="s">
        <v>27</v>
      </c>
      <c r="H16" s="5">
        <v>20</v>
      </c>
      <c r="I16" s="5">
        <v>833</v>
      </c>
      <c r="J16" s="5">
        <v>877</v>
      </c>
      <c r="K16" s="6">
        <f t="shared" si="0"/>
        <v>16660</v>
      </c>
      <c r="L16" s="6">
        <f t="shared" si="1"/>
        <v>17540</v>
      </c>
      <c r="M16" s="6">
        <f t="shared" si="2"/>
        <v>880</v>
      </c>
      <c r="N16" s="6" t="str">
        <f t="shared" si="3"/>
        <v>profit</v>
      </c>
    </row>
    <row r="17" spans="1:14" ht="15.6" thickTop="1" thickBot="1" x14ac:dyDescent="0.35">
      <c r="A17" s="4">
        <v>45480</v>
      </c>
      <c r="B17" s="4" t="s">
        <v>39</v>
      </c>
      <c r="C17" s="5" t="s">
        <v>50</v>
      </c>
      <c r="D17" s="5" t="s">
        <v>15</v>
      </c>
      <c r="E17" s="5" t="s">
        <v>36</v>
      </c>
      <c r="F17" s="5" t="s">
        <v>51</v>
      </c>
      <c r="G17" s="5" t="s">
        <v>27</v>
      </c>
      <c r="H17" s="5">
        <v>17</v>
      </c>
      <c r="I17" s="5">
        <v>748</v>
      </c>
      <c r="J17" s="5">
        <v>1138</v>
      </c>
      <c r="K17" s="6">
        <f t="shared" si="0"/>
        <v>12716</v>
      </c>
      <c r="L17" s="6">
        <f t="shared" si="1"/>
        <v>19346</v>
      </c>
      <c r="M17" s="6">
        <f t="shared" si="2"/>
        <v>6630</v>
      </c>
      <c r="N17" s="6" t="str">
        <f t="shared" si="3"/>
        <v>profit</v>
      </c>
    </row>
    <row r="18" spans="1:14" ht="15.6" thickTop="1" thickBot="1" x14ac:dyDescent="0.35">
      <c r="A18" s="4">
        <v>45481</v>
      </c>
      <c r="B18" s="4" t="s">
        <v>39</v>
      </c>
      <c r="C18" s="5" t="s">
        <v>52</v>
      </c>
      <c r="D18" s="5" t="s">
        <v>15</v>
      </c>
      <c r="E18" s="5" t="s">
        <v>36</v>
      </c>
      <c r="F18" s="5" t="s">
        <v>53</v>
      </c>
      <c r="G18" s="5" t="s">
        <v>27</v>
      </c>
      <c r="H18" s="5">
        <v>20</v>
      </c>
      <c r="I18" s="5">
        <v>517</v>
      </c>
      <c r="J18" s="5">
        <v>1405</v>
      </c>
      <c r="K18" s="6">
        <f t="shared" si="0"/>
        <v>10340</v>
      </c>
      <c r="L18" s="6">
        <f t="shared" si="1"/>
        <v>28100</v>
      </c>
      <c r="M18" s="6">
        <f t="shared" si="2"/>
        <v>17760</v>
      </c>
      <c r="N18" s="6" t="str">
        <f t="shared" si="3"/>
        <v>profit</v>
      </c>
    </row>
    <row r="19" spans="1:14" ht="15.6" thickTop="1" thickBot="1" x14ac:dyDescent="0.35">
      <c r="A19" s="4">
        <v>45482</v>
      </c>
      <c r="B19" s="4" t="s">
        <v>39</v>
      </c>
      <c r="C19" s="5" t="s">
        <v>54</v>
      </c>
      <c r="D19" s="5" t="s">
        <v>15</v>
      </c>
      <c r="E19" s="5" t="s">
        <v>36</v>
      </c>
      <c r="F19" s="5" t="s">
        <v>34</v>
      </c>
      <c r="G19" s="5" t="s">
        <v>27</v>
      </c>
      <c r="H19" s="5">
        <v>18</v>
      </c>
      <c r="I19" s="5">
        <v>674</v>
      </c>
      <c r="J19" s="5">
        <v>775</v>
      </c>
      <c r="K19" s="6">
        <f t="shared" si="0"/>
        <v>12132</v>
      </c>
      <c r="L19" s="6">
        <f t="shared" si="1"/>
        <v>13950</v>
      </c>
      <c r="M19" s="6">
        <f t="shared" si="2"/>
        <v>1818</v>
      </c>
      <c r="N19" s="6" t="str">
        <f t="shared" si="3"/>
        <v>profit</v>
      </c>
    </row>
    <row r="20" spans="1:14" ht="15.6" thickTop="1" thickBot="1" x14ac:dyDescent="0.35">
      <c r="A20" s="4">
        <v>45483</v>
      </c>
      <c r="B20" s="4" t="s">
        <v>39</v>
      </c>
      <c r="C20" s="5" t="s">
        <v>55</v>
      </c>
      <c r="D20" s="5" t="s">
        <v>15</v>
      </c>
      <c r="E20" s="5" t="s">
        <v>36</v>
      </c>
      <c r="F20" s="5" t="s">
        <v>38</v>
      </c>
      <c r="G20" s="5" t="s">
        <v>18</v>
      </c>
      <c r="H20" s="5">
        <v>17</v>
      </c>
      <c r="I20" s="5">
        <v>641</v>
      </c>
      <c r="J20" s="5">
        <v>765</v>
      </c>
      <c r="K20" s="6">
        <f t="shared" si="0"/>
        <v>10897</v>
      </c>
      <c r="L20" s="6">
        <f t="shared" si="1"/>
        <v>13005</v>
      </c>
      <c r="M20" s="6">
        <f t="shared" si="2"/>
        <v>2108</v>
      </c>
      <c r="N20" s="6" t="str">
        <f t="shared" si="3"/>
        <v>profit</v>
      </c>
    </row>
    <row r="21" spans="1:14" ht="15.6" thickTop="1" thickBot="1" x14ac:dyDescent="0.35">
      <c r="A21" s="4">
        <v>45510</v>
      </c>
      <c r="B21" s="4" t="s">
        <v>56</v>
      </c>
      <c r="C21" s="5" t="s">
        <v>57</v>
      </c>
      <c r="D21" s="5" t="s">
        <v>15</v>
      </c>
      <c r="E21" s="5" t="s">
        <v>36</v>
      </c>
      <c r="F21" s="5" t="s">
        <v>43</v>
      </c>
      <c r="G21" s="5" t="s">
        <v>18</v>
      </c>
      <c r="H21" s="5">
        <v>10</v>
      </c>
      <c r="I21" s="5">
        <v>754</v>
      </c>
      <c r="J21" s="5">
        <v>982</v>
      </c>
      <c r="K21" s="6">
        <f t="shared" si="0"/>
        <v>7540</v>
      </c>
      <c r="L21" s="6">
        <f t="shared" si="1"/>
        <v>9820</v>
      </c>
      <c r="M21" s="6">
        <f t="shared" si="2"/>
        <v>2280</v>
      </c>
      <c r="N21" s="6" t="str">
        <f t="shared" si="3"/>
        <v>profit</v>
      </c>
    </row>
    <row r="22" spans="1:14" ht="15.6" thickTop="1" thickBot="1" x14ac:dyDescent="0.35">
      <c r="A22" s="4">
        <v>45511</v>
      </c>
      <c r="B22" s="4" t="s">
        <v>56</v>
      </c>
      <c r="C22" s="5" t="s">
        <v>58</v>
      </c>
      <c r="D22" s="5" t="s">
        <v>15</v>
      </c>
      <c r="E22" s="5" t="s">
        <v>36</v>
      </c>
      <c r="F22" s="5" t="s">
        <v>59</v>
      </c>
      <c r="G22" s="5" t="s">
        <v>18</v>
      </c>
      <c r="H22" s="5">
        <v>14</v>
      </c>
      <c r="I22" s="5">
        <v>815</v>
      </c>
      <c r="J22" s="5">
        <v>1341</v>
      </c>
      <c r="K22" s="6">
        <f t="shared" si="0"/>
        <v>11410</v>
      </c>
      <c r="L22" s="6">
        <f t="shared" si="1"/>
        <v>18774</v>
      </c>
      <c r="M22" s="6">
        <f t="shared" si="2"/>
        <v>7364</v>
      </c>
      <c r="N22" s="6" t="str">
        <f t="shared" si="3"/>
        <v>profit</v>
      </c>
    </row>
    <row r="23" spans="1:14" ht="15.6" thickTop="1" thickBot="1" x14ac:dyDescent="0.35">
      <c r="A23" s="4">
        <v>45513</v>
      </c>
      <c r="B23" s="4" t="s">
        <v>56</v>
      </c>
      <c r="C23" s="5" t="s">
        <v>60</v>
      </c>
      <c r="D23" s="5" t="s">
        <v>15</v>
      </c>
      <c r="E23" s="5" t="s">
        <v>36</v>
      </c>
      <c r="F23" s="5" t="s">
        <v>38</v>
      </c>
      <c r="G23" s="5" t="s">
        <v>18</v>
      </c>
      <c r="H23" s="5">
        <v>18</v>
      </c>
      <c r="I23" s="5">
        <v>704</v>
      </c>
      <c r="J23" s="5">
        <v>930</v>
      </c>
      <c r="K23" s="6">
        <f t="shared" si="0"/>
        <v>12672</v>
      </c>
      <c r="L23" s="6">
        <f t="shared" si="1"/>
        <v>16740</v>
      </c>
      <c r="M23" s="6">
        <f t="shared" si="2"/>
        <v>4068</v>
      </c>
      <c r="N23" s="6" t="str">
        <f t="shared" si="3"/>
        <v>profit</v>
      </c>
    </row>
    <row r="24" spans="1:14" ht="15.6" thickTop="1" thickBot="1" x14ac:dyDescent="0.35">
      <c r="A24" s="4">
        <v>45405</v>
      </c>
      <c r="B24" s="4" t="s">
        <v>30</v>
      </c>
      <c r="C24" s="5" t="s">
        <v>61</v>
      </c>
      <c r="D24" s="5" t="s">
        <v>45</v>
      </c>
      <c r="E24" s="5" t="s">
        <v>62</v>
      </c>
      <c r="F24" s="5" t="s">
        <v>63</v>
      </c>
      <c r="G24" s="5" t="s">
        <v>27</v>
      </c>
      <c r="H24" s="5">
        <v>25</v>
      </c>
      <c r="I24" s="5">
        <v>958</v>
      </c>
      <c r="J24" s="5">
        <v>942</v>
      </c>
      <c r="K24" s="6">
        <f t="shared" si="0"/>
        <v>23950</v>
      </c>
      <c r="L24" s="6">
        <f t="shared" si="1"/>
        <v>23550</v>
      </c>
      <c r="M24" s="6">
        <f t="shared" si="2"/>
        <v>-400</v>
      </c>
      <c r="N24" s="6" t="str">
        <f t="shared" si="3"/>
        <v>loss</v>
      </c>
    </row>
    <row r="25" spans="1:14" ht="15.6" thickTop="1" thickBot="1" x14ac:dyDescent="0.35">
      <c r="A25" s="4">
        <v>45514</v>
      </c>
      <c r="B25" s="4" t="s">
        <v>56</v>
      </c>
      <c r="C25" s="5" t="s">
        <v>64</v>
      </c>
      <c r="D25" s="5" t="s">
        <v>15</v>
      </c>
      <c r="E25" s="5" t="s">
        <v>36</v>
      </c>
      <c r="F25" s="5" t="s">
        <v>38</v>
      </c>
      <c r="G25" s="5" t="s">
        <v>18</v>
      </c>
      <c r="H25" s="5">
        <v>19</v>
      </c>
      <c r="I25" s="5">
        <v>744</v>
      </c>
      <c r="J25" s="5">
        <v>1433</v>
      </c>
      <c r="K25" s="6">
        <f t="shared" si="0"/>
        <v>14136</v>
      </c>
      <c r="L25" s="6">
        <f t="shared" si="1"/>
        <v>27227</v>
      </c>
      <c r="M25" s="6">
        <f t="shared" si="2"/>
        <v>13091</v>
      </c>
      <c r="N25" s="6" t="str">
        <f t="shared" si="3"/>
        <v>profit</v>
      </c>
    </row>
    <row r="26" spans="1:14" ht="15.6" thickTop="1" thickBot="1" x14ac:dyDescent="0.35">
      <c r="A26" s="4">
        <v>45407</v>
      </c>
      <c r="B26" s="4" t="s">
        <v>30</v>
      </c>
      <c r="C26" s="5" t="s">
        <v>65</v>
      </c>
      <c r="D26" s="5" t="s">
        <v>45</v>
      </c>
      <c r="E26" s="5" t="s">
        <v>62</v>
      </c>
      <c r="F26" s="5" t="s">
        <v>59</v>
      </c>
      <c r="G26" s="5" t="s">
        <v>18</v>
      </c>
      <c r="H26" s="5">
        <v>26</v>
      </c>
      <c r="I26" s="5">
        <v>520</v>
      </c>
      <c r="J26" s="5">
        <v>1486</v>
      </c>
      <c r="K26" s="6">
        <f t="shared" si="0"/>
        <v>13520</v>
      </c>
      <c r="L26" s="6">
        <f t="shared" si="1"/>
        <v>38636</v>
      </c>
      <c r="M26" s="6">
        <f t="shared" si="2"/>
        <v>25116</v>
      </c>
      <c r="N26" s="6" t="str">
        <f t="shared" si="3"/>
        <v>profit</v>
      </c>
    </row>
    <row r="27" spans="1:14" ht="15.6" thickTop="1" thickBot="1" x14ac:dyDescent="0.35">
      <c r="A27" s="4">
        <v>45515</v>
      </c>
      <c r="B27" s="4" t="s">
        <v>56</v>
      </c>
      <c r="C27" s="5" t="s">
        <v>66</v>
      </c>
      <c r="D27" s="5" t="s">
        <v>15</v>
      </c>
      <c r="E27" s="5" t="s">
        <v>36</v>
      </c>
      <c r="F27" s="5" t="s">
        <v>43</v>
      </c>
      <c r="G27" s="5" t="s">
        <v>27</v>
      </c>
      <c r="H27" s="5">
        <v>10</v>
      </c>
      <c r="I27" s="5">
        <v>669</v>
      </c>
      <c r="J27" s="5">
        <v>1344</v>
      </c>
      <c r="K27" s="6">
        <f t="shared" si="0"/>
        <v>6690</v>
      </c>
      <c r="L27" s="6">
        <f t="shared" si="1"/>
        <v>13440</v>
      </c>
      <c r="M27" s="6">
        <f t="shared" si="2"/>
        <v>6750</v>
      </c>
      <c r="N27" s="6" t="str">
        <f t="shared" si="3"/>
        <v>profit</v>
      </c>
    </row>
    <row r="28" spans="1:14" ht="15.6" thickTop="1" thickBot="1" x14ac:dyDescent="0.35">
      <c r="A28" s="4">
        <v>45516</v>
      </c>
      <c r="B28" s="4" t="s">
        <v>56</v>
      </c>
      <c r="C28" s="5" t="s">
        <v>67</v>
      </c>
      <c r="D28" s="5" t="s">
        <v>15</v>
      </c>
      <c r="E28" s="5" t="s">
        <v>36</v>
      </c>
      <c r="F28" s="5" t="s">
        <v>26</v>
      </c>
      <c r="G28" s="5" t="s">
        <v>27</v>
      </c>
      <c r="H28" s="5">
        <v>20</v>
      </c>
      <c r="I28" s="5">
        <v>966</v>
      </c>
      <c r="J28" s="5">
        <v>924</v>
      </c>
      <c r="K28" s="6">
        <f t="shared" si="0"/>
        <v>19320</v>
      </c>
      <c r="L28" s="6">
        <f t="shared" si="1"/>
        <v>18480</v>
      </c>
      <c r="M28" s="6">
        <f t="shared" si="2"/>
        <v>-840</v>
      </c>
      <c r="N28" s="6" t="str">
        <f t="shared" si="3"/>
        <v>loss</v>
      </c>
    </row>
    <row r="29" spans="1:14" ht="15.6" thickTop="1" thickBot="1" x14ac:dyDescent="0.35">
      <c r="A29" s="4">
        <v>45543</v>
      </c>
      <c r="B29" s="4" t="s">
        <v>68</v>
      </c>
      <c r="C29" s="5" t="s">
        <v>69</v>
      </c>
      <c r="D29" s="5" t="s">
        <v>15</v>
      </c>
      <c r="E29" s="5" t="s">
        <v>36</v>
      </c>
      <c r="F29" s="5" t="s">
        <v>70</v>
      </c>
      <c r="G29" s="5" t="s">
        <v>27</v>
      </c>
      <c r="H29" s="5">
        <v>18</v>
      </c>
      <c r="I29" s="5">
        <v>859</v>
      </c>
      <c r="J29" s="5">
        <v>1044</v>
      </c>
      <c r="K29" s="6">
        <f t="shared" si="0"/>
        <v>15462</v>
      </c>
      <c r="L29" s="6">
        <f t="shared" si="1"/>
        <v>18792</v>
      </c>
      <c r="M29" s="6">
        <f t="shared" si="2"/>
        <v>3330</v>
      </c>
      <c r="N29" s="6" t="str">
        <f t="shared" si="3"/>
        <v>profit</v>
      </c>
    </row>
    <row r="30" spans="1:14" ht="15.6" thickTop="1" thickBot="1" x14ac:dyDescent="0.35">
      <c r="A30" s="4">
        <v>45544</v>
      </c>
      <c r="B30" s="4" t="s">
        <v>68</v>
      </c>
      <c r="C30" s="5" t="s">
        <v>71</v>
      </c>
      <c r="D30" s="5" t="s">
        <v>15</v>
      </c>
      <c r="E30" s="5" t="s">
        <v>36</v>
      </c>
      <c r="F30" s="5" t="s">
        <v>43</v>
      </c>
      <c r="G30" s="5" t="s">
        <v>27</v>
      </c>
      <c r="H30" s="5">
        <v>15</v>
      </c>
      <c r="I30" s="5">
        <v>890</v>
      </c>
      <c r="J30" s="5">
        <v>1362</v>
      </c>
      <c r="K30" s="6">
        <f t="shared" si="0"/>
        <v>13350</v>
      </c>
      <c r="L30" s="6">
        <f t="shared" si="1"/>
        <v>20430</v>
      </c>
      <c r="M30" s="6">
        <f t="shared" si="2"/>
        <v>7080</v>
      </c>
      <c r="N30" s="6" t="str">
        <f t="shared" si="3"/>
        <v>profit</v>
      </c>
    </row>
    <row r="31" spans="1:14" ht="15.6" thickTop="1" thickBot="1" x14ac:dyDescent="0.35">
      <c r="A31" s="4">
        <v>45545</v>
      </c>
      <c r="B31" s="4" t="s">
        <v>68</v>
      </c>
      <c r="C31" s="5" t="s">
        <v>72</v>
      </c>
      <c r="D31" s="5" t="s">
        <v>15</v>
      </c>
      <c r="E31" s="5" t="s">
        <v>36</v>
      </c>
      <c r="F31" s="5" t="s">
        <v>24</v>
      </c>
      <c r="G31" s="5" t="s">
        <v>27</v>
      </c>
      <c r="H31" s="5">
        <v>19</v>
      </c>
      <c r="I31" s="5">
        <v>630</v>
      </c>
      <c r="J31" s="5">
        <v>882</v>
      </c>
      <c r="K31" s="6">
        <f t="shared" si="0"/>
        <v>11970</v>
      </c>
      <c r="L31" s="6">
        <f t="shared" si="1"/>
        <v>16758</v>
      </c>
      <c r="M31" s="6">
        <f t="shared" si="2"/>
        <v>4788</v>
      </c>
      <c r="N31" s="6" t="str">
        <f t="shared" si="3"/>
        <v>profit</v>
      </c>
    </row>
    <row r="32" spans="1:14" ht="15.6" thickTop="1" thickBot="1" x14ac:dyDescent="0.35">
      <c r="A32" s="4">
        <v>45546</v>
      </c>
      <c r="B32" s="4" t="s">
        <v>68</v>
      </c>
      <c r="C32" s="5" t="s">
        <v>73</v>
      </c>
      <c r="D32" s="5" t="s">
        <v>15</v>
      </c>
      <c r="E32" s="5" t="s">
        <v>36</v>
      </c>
      <c r="F32" s="5" t="s">
        <v>63</v>
      </c>
      <c r="G32" s="5" t="s">
        <v>27</v>
      </c>
      <c r="H32" s="5">
        <v>10</v>
      </c>
      <c r="I32" s="5">
        <v>701</v>
      </c>
      <c r="J32" s="5">
        <v>1384</v>
      </c>
      <c r="K32" s="6">
        <f t="shared" si="0"/>
        <v>7010</v>
      </c>
      <c r="L32" s="6">
        <f t="shared" si="1"/>
        <v>13840</v>
      </c>
      <c r="M32" s="6">
        <f t="shared" si="2"/>
        <v>6830</v>
      </c>
      <c r="N32" s="6" t="str">
        <f t="shared" si="3"/>
        <v>profit</v>
      </c>
    </row>
    <row r="33" spans="1:14" ht="15.6" thickTop="1" thickBot="1" x14ac:dyDescent="0.35">
      <c r="A33" s="4">
        <v>45547</v>
      </c>
      <c r="B33" s="4" t="s">
        <v>68</v>
      </c>
      <c r="C33" s="5" t="s">
        <v>74</v>
      </c>
      <c r="D33" s="5" t="s">
        <v>15</v>
      </c>
      <c r="E33" s="5" t="s">
        <v>36</v>
      </c>
      <c r="F33" s="5" t="s">
        <v>75</v>
      </c>
      <c r="G33" s="5" t="s">
        <v>18</v>
      </c>
      <c r="H33" s="5">
        <v>19</v>
      </c>
      <c r="I33" s="5">
        <v>653</v>
      </c>
      <c r="J33" s="5">
        <v>1402</v>
      </c>
      <c r="K33" s="6">
        <f t="shared" si="0"/>
        <v>12407</v>
      </c>
      <c r="L33" s="6">
        <f t="shared" si="1"/>
        <v>26638</v>
      </c>
      <c r="M33" s="6">
        <f t="shared" si="2"/>
        <v>14231</v>
      </c>
      <c r="N33" s="6" t="str">
        <f t="shared" si="3"/>
        <v>profit</v>
      </c>
    </row>
    <row r="34" spans="1:14" ht="15.6" thickTop="1" thickBot="1" x14ac:dyDescent="0.35">
      <c r="A34" s="4">
        <v>45548</v>
      </c>
      <c r="B34" s="4" t="s">
        <v>68</v>
      </c>
      <c r="C34" s="5" t="s">
        <v>76</v>
      </c>
      <c r="D34" s="5" t="s">
        <v>15</v>
      </c>
      <c r="E34" s="5" t="s">
        <v>36</v>
      </c>
      <c r="F34" s="5" t="s">
        <v>77</v>
      </c>
      <c r="G34" s="5" t="s">
        <v>18</v>
      </c>
      <c r="H34" s="5">
        <v>14</v>
      </c>
      <c r="I34" s="5">
        <v>968</v>
      </c>
      <c r="J34" s="5">
        <v>1419</v>
      </c>
      <c r="K34" s="6">
        <f t="shared" si="0"/>
        <v>13552</v>
      </c>
      <c r="L34" s="6">
        <f t="shared" si="1"/>
        <v>19866</v>
      </c>
      <c r="M34" s="6">
        <f t="shared" si="2"/>
        <v>6314</v>
      </c>
      <c r="N34" s="6" t="str">
        <f t="shared" si="3"/>
        <v>profit</v>
      </c>
    </row>
    <row r="35" spans="1:14" ht="15.6" thickTop="1" thickBot="1" x14ac:dyDescent="0.35">
      <c r="A35" s="4">
        <v>45550</v>
      </c>
      <c r="B35" s="4" t="s">
        <v>68</v>
      </c>
      <c r="C35" s="5" t="s">
        <v>78</v>
      </c>
      <c r="D35" s="5" t="s">
        <v>15</v>
      </c>
      <c r="E35" s="5" t="s">
        <v>36</v>
      </c>
      <c r="F35" s="5" t="s">
        <v>43</v>
      </c>
      <c r="G35" s="5" t="s">
        <v>18</v>
      </c>
      <c r="H35" s="5">
        <v>20</v>
      </c>
      <c r="I35" s="5">
        <v>508</v>
      </c>
      <c r="J35" s="5">
        <v>1433</v>
      </c>
      <c r="K35" s="6">
        <f t="shared" si="0"/>
        <v>10160</v>
      </c>
      <c r="L35" s="6">
        <f t="shared" si="1"/>
        <v>28660</v>
      </c>
      <c r="M35" s="6">
        <f t="shared" si="2"/>
        <v>18500</v>
      </c>
      <c r="N35" s="6" t="str">
        <f t="shared" si="3"/>
        <v>profit</v>
      </c>
    </row>
    <row r="36" spans="1:14" ht="15.6" thickTop="1" thickBot="1" x14ac:dyDescent="0.35">
      <c r="A36" s="4">
        <v>45551</v>
      </c>
      <c r="B36" s="4" t="s">
        <v>68</v>
      </c>
      <c r="C36" s="5" t="s">
        <v>79</v>
      </c>
      <c r="D36" s="5" t="s">
        <v>15</v>
      </c>
      <c r="E36" s="5" t="s">
        <v>36</v>
      </c>
      <c r="F36" s="5" t="s">
        <v>59</v>
      </c>
      <c r="G36" s="5" t="s">
        <v>18</v>
      </c>
      <c r="H36" s="5">
        <v>12</v>
      </c>
      <c r="I36" s="5">
        <v>539</v>
      </c>
      <c r="J36" s="5">
        <v>1136</v>
      </c>
      <c r="K36" s="6">
        <f t="shared" si="0"/>
        <v>6468</v>
      </c>
      <c r="L36" s="6">
        <f t="shared" si="1"/>
        <v>13632</v>
      </c>
      <c r="M36" s="6">
        <f t="shared" si="2"/>
        <v>7164</v>
      </c>
      <c r="N36" s="6" t="str">
        <f t="shared" si="3"/>
        <v>profit</v>
      </c>
    </row>
    <row r="37" spans="1:14" ht="15.6" thickTop="1" thickBot="1" x14ac:dyDescent="0.35">
      <c r="A37" s="4">
        <v>45552</v>
      </c>
      <c r="B37" s="4" t="s">
        <v>68</v>
      </c>
      <c r="C37" s="5" t="s">
        <v>80</v>
      </c>
      <c r="D37" s="5" t="s">
        <v>15</v>
      </c>
      <c r="E37" s="5" t="s">
        <v>36</v>
      </c>
      <c r="F37" s="5" t="s">
        <v>34</v>
      </c>
      <c r="G37" s="5" t="s">
        <v>18</v>
      </c>
      <c r="H37" s="5">
        <v>10</v>
      </c>
      <c r="I37" s="5">
        <v>731</v>
      </c>
      <c r="J37" s="5">
        <v>1226</v>
      </c>
      <c r="K37" s="6">
        <f t="shared" si="0"/>
        <v>7310</v>
      </c>
      <c r="L37" s="6">
        <f t="shared" si="1"/>
        <v>12260</v>
      </c>
      <c r="M37" s="6">
        <f t="shared" si="2"/>
        <v>4950</v>
      </c>
      <c r="N37" s="6" t="str">
        <f t="shared" si="3"/>
        <v>profit</v>
      </c>
    </row>
    <row r="38" spans="1:14" ht="15.6" thickTop="1" thickBot="1" x14ac:dyDescent="0.35">
      <c r="A38" s="4">
        <v>45553</v>
      </c>
      <c r="B38" s="4" t="s">
        <v>68</v>
      </c>
      <c r="C38" s="5" t="s">
        <v>81</v>
      </c>
      <c r="D38" s="5" t="s">
        <v>15</v>
      </c>
      <c r="E38" s="5" t="s">
        <v>36</v>
      </c>
      <c r="F38" s="5" t="s">
        <v>38</v>
      </c>
      <c r="G38" s="5" t="s">
        <v>18</v>
      </c>
      <c r="H38" s="5">
        <v>15</v>
      </c>
      <c r="I38" s="5">
        <v>621</v>
      </c>
      <c r="J38" s="5">
        <v>1488</v>
      </c>
      <c r="K38" s="6">
        <f t="shared" si="0"/>
        <v>9315</v>
      </c>
      <c r="L38" s="6">
        <f t="shared" si="1"/>
        <v>22320</v>
      </c>
      <c r="M38" s="6">
        <f t="shared" si="2"/>
        <v>13005</v>
      </c>
      <c r="N38" s="6" t="str">
        <f t="shared" si="3"/>
        <v>profit</v>
      </c>
    </row>
    <row r="39" spans="1:14" ht="15.6" thickTop="1" thickBot="1" x14ac:dyDescent="0.35">
      <c r="A39" s="4">
        <v>45562</v>
      </c>
      <c r="B39" s="4" t="s">
        <v>68</v>
      </c>
      <c r="C39" s="5" t="s">
        <v>82</v>
      </c>
      <c r="D39" s="5" t="s">
        <v>15</v>
      </c>
      <c r="E39" s="5" t="s">
        <v>16</v>
      </c>
      <c r="F39" s="5" t="s">
        <v>34</v>
      </c>
      <c r="G39" s="5" t="s">
        <v>27</v>
      </c>
      <c r="H39" s="5">
        <v>16</v>
      </c>
      <c r="I39" s="5">
        <v>963</v>
      </c>
      <c r="J39" s="5">
        <v>1186</v>
      </c>
      <c r="K39" s="6">
        <f t="shared" si="0"/>
        <v>15408</v>
      </c>
      <c r="L39" s="6">
        <f t="shared" si="1"/>
        <v>18976</v>
      </c>
      <c r="M39" s="6">
        <f t="shared" si="2"/>
        <v>3568</v>
      </c>
      <c r="N39" s="6" t="str">
        <f t="shared" si="3"/>
        <v>profit</v>
      </c>
    </row>
    <row r="40" spans="1:14" ht="15.6" thickTop="1" thickBot="1" x14ac:dyDescent="0.35">
      <c r="A40" s="4">
        <v>45564</v>
      </c>
      <c r="B40" s="4" t="s">
        <v>68</v>
      </c>
      <c r="C40" s="5" t="s">
        <v>83</v>
      </c>
      <c r="D40" s="5" t="s">
        <v>15</v>
      </c>
      <c r="E40" s="5" t="s">
        <v>16</v>
      </c>
      <c r="F40" s="5" t="s">
        <v>38</v>
      </c>
      <c r="G40" s="5" t="s">
        <v>18</v>
      </c>
      <c r="H40" s="5">
        <v>13</v>
      </c>
      <c r="I40" s="5">
        <v>762</v>
      </c>
      <c r="J40" s="5">
        <v>1311</v>
      </c>
      <c r="K40" s="6">
        <f t="shared" si="0"/>
        <v>9906</v>
      </c>
      <c r="L40" s="6">
        <f t="shared" si="1"/>
        <v>17043</v>
      </c>
      <c r="M40" s="6">
        <f t="shared" si="2"/>
        <v>7137</v>
      </c>
      <c r="N40" s="6" t="str">
        <f t="shared" si="3"/>
        <v>profit</v>
      </c>
    </row>
    <row r="41" spans="1:14" ht="15.6" thickTop="1" thickBot="1" x14ac:dyDescent="0.35">
      <c r="A41" s="4">
        <v>45566</v>
      </c>
      <c r="B41" s="4" t="s">
        <v>84</v>
      </c>
      <c r="C41" s="5" t="s">
        <v>85</v>
      </c>
      <c r="D41" s="5" t="s">
        <v>15</v>
      </c>
      <c r="E41" s="5" t="s">
        <v>16</v>
      </c>
      <c r="F41" s="5" t="s">
        <v>63</v>
      </c>
      <c r="G41" s="5" t="s">
        <v>18</v>
      </c>
      <c r="H41" s="5">
        <v>14</v>
      </c>
      <c r="I41" s="5">
        <v>909</v>
      </c>
      <c r="J41" s="5">
        <v>780</v>
      </c>
      <c r="K41" s="6">
        <f t="shared" si="0"/>
        <v>12726</v>
      </c>
      <c r="L41" s="6">
        <f t="shared" si="1"/>
        <v>10920</v>
      </c>
      <c r="M41" s="6">
        <f t="shared" si="2"/>
        <v>-1806</v>
      </c>
      <c r="N41" s="6" t="str">
        <f t="shared" si="3"/>
        <v>loss</v>
      </c>
    </row>
    <row r="42" spans="1:14" ht="15.6" thickTop="1" thickBot="1" x14ac:dyDescent="0.35">
      <c r="A42" s="4">
        <v>45567</v>
      </c>
      <c r="B42" s="4" t="s">
        <v>84</v>
      </c>
      <c r="C42" s="5" t="s">
        <v>86</v>
      </c>
      <c r="D42" s="5" t="s">
        <v>15</v>
      </c>
      <c r="E42" s="5" t="s">
        <v>16</v>
      </c>
      <c r="F42" s="5" t="s">
        <v>59</v>
      </c>
      <c r="G42" s="5" t="s">
        <v>18</v>
      </c>
      <c r="H42" s="5">
        <v>11</v>
      </c>
      <c r="I42" s="5">
        <v>858</v>
      </c>
      <c r="J42" s="5">
        <v>1080</v>
      </c>
      <c r="K42" s="6">
        <f t="shared" si="0"/>
        <v>9438</v>
      </c>
      <c r="L42" s="6">
        <f t="shared" si="1"/>
        <v>11880</v>
      </c>
      <c r="M42" s="6">
        <f t="shared" si="2"/>
        <v>2442</v>
      </c>
      <c r="N42" s="6" t="str">
        <f t="shared" si="3"/>
        <v>profit</v>
      </c>
    </row>
    <row r="43" spans="1:14" ht="15.6" thickTop="1" thickBot="1" x14ac:dyDescent="0.35">
      <c r="A43" s="4">
        <v>45568</v>
      </c>
      <c r="B43" s="4" t="s">
        <v>84</v>
      </c>
      <c r="C43" s="5" t="s">
        <v>87</v>
      </c>
      <c r="D43" s="5" t="s">
        <v>15</v>
      </c>
      <c r="E43" s="5" t="s">
        <v>16</v>
      </c>
      <c r="F43" s="5" t="s">
        <v>38</v>
      </c>
      <c r="G43" s="5" t="s">
        <v>18</v>
      </c>
      <c r="H43" s="5">
        <v>12</v>
      </c>
      <c r="I43" s="5">
        <v>516</v>
      </c>
      <c r="J43" s="5">
        <v>857</v>
      </c>
      <c r="K43" s="6">
        <f t="shared" si="0"/>
        <v>6192</v>
      </c>
      <c r="L43" s="6">
        <f t="shared" si="1"/>
        <v>10284</v>
      </c>
      <c r="M43" s="6">
        <f t="shared" si="2"/>
        <v>4092</v>
      </c>
      <c r="N43" s="6" t="str">
        <f t="shared" si="3"/>
        <v>profit</v>
      </c>
    </row>
    <row r="44" spans="1:14" ht="15.6" thickTop="1" thickBot="1" x14ac:dyDescent="0.35">
      <c r="A44" s="4">
        <v>45580</v>
      </c>
      <c r="B44" s="4" t="s">
        <v>84</v>
      </c>
      <c r="C44" s="5" t="s">
        <v>88</v>
      </c>
      <c r="D44" s="5" t="s">
        <v>15</v>
      </c>
      <c r="E44" s="5" t="s">
        <v>36</v>
      </c>
      <c r="F44" s="5" t="s">
        <v>29</v>
      </c>
      <c r="G44" s="5" t="s">
        <v>27</v>
      </c>
      <c r="H44" s="5">
        <v>20</v>
      </c>
      <c r="I44" s="5">
        <v>817</v>
      </c>
      <c r="J44" s="5">
        <v>1324</v>
      </c>
      <c r="K44" s="6">
        <f t="shared" si="0"/>
        <v>16340</v>
      </c>
      <c r="L44" s="6">
        <f t="shared" si="1"/>
        <v>26480</v>
      </c>
      <c r="M44" s="6">
        <f t="shared" si="2"/>
        <v>10140</v>
      </c>
      <c r="N44" s="6" t="str">
        <f t="shared" si="3"/>
        <v>profit</v>
      </c>
    </row>
    <row r="45" spans="1:14" ht="15.6" thickTop="1" thickBot="1" x14ac:dyDescent="0.35">
      <c r="A45" s="4">
        <v>45581</v>
      </c>
      <c r="B45" s="4" t="s">
        <v>84</v>
      </c>
      <c r="C45" s="5" t="s">
        <v>89</v>
      </c>
      <c r="D45" s="5" t="s">
        <v>15</v>
      </c>
      <c r="E45" s="5" t="s">
        <v>36</v>
      </c>
      <c r="F45" s="5" t="s">
        <v>24</v>
      </c>
      <c r="G45" s="5" t="s">
        <v>27</v>
      </c>
      <c r="H45" s="5">
        <v>16</v>
      </c>
      <c r="I45" s="5">
        <v>935</v>
      </c>
      <c r="J45" s="5">
        <v>980</v>
      </c>
      <c r="K45" s="6">
        <f t="shared" si="0"/>
        <v>14960</v>
      </c>
      <c r="L45" s="6">
        <f t="shared" si="1"/>
        <v>15680</v>
      </c>
      <c r="M45" s="6">
        <f t="shared" si="2"/>
        <v>720</v>
      </c>
      <c r="N45" s="6" t="str">
        <f t="shared" si="3"/>
        <v>profit</v>
      </c>
    </row>
    <row r="46" spans="1:14" ht="15.6" thickTop="1" thickBot="1" x14ac:dyDescent="0.35">
      <c r="A46" s="4">
        <v>45582</v>
      </c>
      <c r="B46" s="4" t="s">
        <v>84</v>
      </c>
      <c r="C46" s="5" t="s">
        <v>90</v>
      </c>
      <c r="D46" s="5" t="s">
        <v>15</v>
      </c>
      <c r="E46" s="5" t="s">
        <v>36</v>
      </c>
      <c r="F46" s="5" t="s">
        <v>75</v>
      </c>
      <c r="G46" s="5" t="s">
        <v>27</v>
      </c>
      <c r="H46" s="5">
        <v>17</v>
      </c>
      <c r="I46" s="5">
        <v>642</v>
      </c>
      <c r="J46" s="5">
        <v>1095</v>
      </c>
      <c r="K46" s="6">
        <f t="shared" si="0"/>
        <v>10914</v>
      </c>
      <c r="L46" s="6">
        <f t="shared" si="1"/>
        <v>18615</v>
      </c>
      <c r="M46" s="6">
        <f t="shared" si="2"/>
        <v>7701</v>
      </c>
      <c r="N46" s="6" t="str">
        <f t="shared" si="3"/>
        <v>profit</v>
      </c>
    </row>
    <row r="47" spans="1:14" ht="15.6" thickTop="1" thickBot="1" x14ac:dyDescent="0.35">
      <c r="A47" s="4">
        <v>45584</v>
      </c>
      <c r="B47" s="4" t="s">
        <v>84</v>
      </c>
      <c r="C47" s="5" t="s">
        <v>91</v>
      </c>
      <c r="D47" s="5" t="s">
        <v>15</v>
      </c>
      <c r="E47" s="5" t="s">
        <v>36</v>
      </c>
      <c r="F47" s="5" t="s">
        <v>34</v>
      </c>
      <c r="G47" s="5" t="s">
        <v>18</v>
      </c>
      <c r="H47" s="5">
        <v>18</v>
      </c>
      <c r="I47" s="5">
        <v>596</v>
      </c>
      <c r="J47" s="5">
        <v>817</v>
      </c>
      <c r="K47" s="6">
        <f t="shared" si="0"/>
        <v>10728</v>
      </c>
      <c r="L47" s="6">
        <f t="shared" si="1"/>
        <v>14706</v>
      </c>
      <c r="M47" s="6">
        <f t="shared" si="2"/>
        <v>3978</v>
      </c>
      <c r="N47" s="6" t="str">
        <f t="shared" si="3"/>
        <v>profit</v>
      </c>
    </row>
    <row r="48" spans="1:14" ht="15.6" thickTop="1" thickBot="1" x14ac:dyDescent="0.35">
      <c r="A48" s="4">
        <v>45585</v>
      </c>
      <c r="B48" s="4" t="s">
        <v>84</v>
      </c>
      <c r="C48" s="5" t="s">
        <v>92</v>
      </c>
      <c r="D48" s="5" t="s">
        <v>15</v>
      </c>
      <c r="E48" s="5" t="s">
        <v>36</v>
      </c>
      <c r="F48" s="5" t="s">
        <v>38</v>
      </c>
      <c r="G48" s="5" t="s">
        <v>18</v>
      </c>
      <c r="H48" s="5">
        <v>14</v>
      </c>
      <c r="I48" s="5">
        <v>533</v>
      </c>
      <c r="J48" s="5">
        <v>922</v>
      </c>
      <c r="K48" s="6">
        <f t="shared" si="0"/>
        <v>7462</v>
      </c>
      <c r="L48" s="6">
        <f t="shared" si="1"/>
        <v>12908</v>
      </c>
      <c r="M48" s="6">
        <f t="shared" si="2"/>
        <v>5446</v>
      </c>
      <c r="N48" s="6" t="str">
        <f t="shared" si="3"/>
        <v>profit</v>
      </c>
    </row>
    <row r="49" spans="1:14" ht="15.6" thickTop="1" thickBot="1" x14ac:dyDescent="0.35">
      <c r="A49" s="4">
        <v>45587</v>
      </c>
      <c r="B49" s="4" t="s">
        <v>84</v>
      </c>
      <c r="C49" s="5" t="s">
        <v>93</v>
      </c>
      <c r="D49" s="5" t="s">
        <v>15</v>
      </c>
      <c r="E49" s="5" t="s">
        <v>36</v>
      </c>
      <c r="F49" s="5" t="s">
        <v>63</v>
      </c>
      <c r="G49" s="5" t="s">
        <v>18</v>
      </c>
      <c r="H49" s="5">
        <v>19</v>
      </c>
      <c r="I49" s="5">
        <v>578</v>
      </c>
      <c r="J49" s="5">
        <v>1434</v>
      </c>
      <c r="K49" s="6">
        <f t="shared" si="0"/>
        <v>10982</v>
      </c>
      <c r="L49" s="6">
        <f t="shared" si="1"/>
        <v>27246</v>
      </c>
      <c r="M49" s="6">
        <f t="shared" si="2"/>
        <v>16264</v>
      </c>
      <c r="N49" s="6" t="str">
        <f t="shared" si="3"/>
        <v>profit</v>
      </c>
    </row>
    <row r="50" spans="1:14" ht="15.6" thickTop="1" thickBot="1" x14ac:dyDescent="0.35">
      <c r="A50" s="4">
        <v>45659</v>
      </c>
      <c r="B50" s="4" t="s">
        <v>94</v>
      </c>
      <c r="C50" s="5" t="s">
        <v>95</v>
      </c>
      <c r="D50" s="5" t="s">
        <v>15</v>
      </c>
      <c r="E50" s="5" t="s">
        <v>16</v>
      </c>
      <c r="F50" s="5" t="s">
        <v>24</v>
      </c>
      <c r="G50" s="5" t="s">
        <v>18</v>
      </c>
      <c r="H50" s="5">
        <v>14</v>
      </c>
      <c r="I50" s="5">
        <v>521</v>
      </c>
      <c r="J50" s="5">
        <v>974</v>
      </c>
      <c r="K50" s="6">
        <f t="shared" si="0"/>
        <v>7294</v>
      </c>
      <c r="L50" s="6">
        <f t="shared" si="1"/>
        <v>13636</v>
      </c>
      <c r="M50" s="6">
        <f t="shared" si="2"/>
        <v>6342</v>
      </c>
      <c r="N50" s="6" t="str">
        <f t="shared" si="3"/>
        <v>profit</v>
      </c>
    </row>
    <row r="51" spans="1:14" ht="15.6" thickTop="1" thickBot="1" x14ac:dyDescent="0.35">
      <c r="A51" s="4">
        <v>45432</v>
      </c>
      <c r="B51" s="4" t="s">
        <v>96</v>
      </c>
      <c r="C51" s="5" t="s">
        <v>97</v>
      </c>
      <c r="D51" s="5" t="s">
        <v>32</v>
      </c>
      <c r="E51" s="5" t="s">
        <v>98</v>
      </c>
      <c r="F51" s="5" t="s">
        <v>34</v>
      </c>
      <c r="G51" s="5" t="s">
        <v>27</v>
      </c>
      <c r="H51" s="5">
        <v>79</v>
      </c>
      <c r="I51" s="5">
        <v>616</v>
      </c>
      <c r="J51" s="5">
        <v>944</v>
      </c>
      <c r="K51" s="6">
        <f t="shared" si="0"/>
        <v>48664</v>
      </c>
      <c r="L51" s="6">
        <f t="shared" si="1"/>
        <v>74576</v>
      </c>
      <c r="M51" s="6">
        <f t="shared" si="2"/>
        <v>25912</v>
      </c>
      <c r="N51" s="6" t="str">
        <f t="shared" si="3"/>
        <v>profit</v>
      </c>
    </row>
    <row r="52" spans="1:14" ht="15.6" thickTop="1" thickBot="1" x14ac:dyDescent="0.35">
      <c r="A52" s="4">
        <v>45661</v>
      </c>
      <c r="B52" s="4" t="s">
        <v>94</v>
      </c>
      <c r="C52" s="5" t="s">
        <v>99</v>
      </c>
      <c r="D52" s="5" t="s">
        <v>15</v>
      </c>
      <c r="E52" s="5" t="s">
        <v>16</v>
      </c>
      <c r="F52" s="5" t="s">
        <v>70</v>
      </c>
      <c r="G52" s="5" t="s">
        <v>18</v>
      </c>
      <c r="H52" s="5">
        <v>14</v>
      </c>
      <c r="I52" s="5">
        <v>734</v>
      </c>
      <c r="J52" s="5">
        <v>1058</v>
      </c>
      <c r="K52" s="6">
        <f t="shared" si="0"/>
        <v>10276</v>
      </c>
      <c r="L52" s="6">
        <f t="shared" si="1"/>
        <v>14812</v>
      </c>
      <c r="M52" s="6">
        <f t="shared" si="2"/>
        <v>4536</v>
      </c>
      <c r="N52" s="6" t="str">
        <f t="shared" si="3"/>
        <v>profit</v>
      </c>
    </row>
    <row r="53" spans="1:14" ht="15.6" thickTop="1" thickBot="1" x14ac:dyDescent="0.35">
      <c r="A53" s="4">
        <v>45663</v>
      </c>
      <c r="B53" s="4" t="s">
        <v>94</v>
      </c>
      <c r="C53" s="5" t="s">
        <v>100</v>
      </c>
      <c r="D53" s="5" t="s">
        <v>15</v>
      </c>
      <c r="E53" s="5" t="s">
        <v>16</v>
      </c>
      <c r="F53" s="5" t="s">
        <v>20</v>
      </c>
      <c r="G53" s="5" t="s">
        <v>18</v>
      </c>
      <c r="H53" s="5">
        <v>20</v>
      </c>
      <c r="I53" s="5">
        <v>837</v>
      </c>
      <c r="J53" s="5">
        <v>1014</v>
      </c>
      <c r="K53" s="6">
        <f t="shared" si="0"/>
        <v>16740</v>
      </c>
      <c r="L53" s="6">
        <f t="shared" si="1"/>
        <v>20280</v>
      </c>
      <c r="M53" s="6">
        <f t="shared" si="2"/>
        <v>3540</v>
      </c>
      <c r="N53" s="6" t="str">
        <f t="shared" si="3"/>
        <v>profit</v>
      </c>
    </row>
    <row r="54" spans="1:14" ht="15.6" thickTop="1" thickBot="1" x14ac:dyDescent="0.35">
      <c r="A54" s="4">
        <v>45665</v>
      </c>
      <c r="B54" s="4" t="s">
        <v>94</v>
      </c>
      <c r="C54" s="5" t="s">
        <v>101</v>
      </c>
      <c r="D54" s="5" t="s">
        <v>15</v>
      </c>
      <c r="E54" s="5" t="s">
        <v>16</v>
      </c>
      <c r="F54" s="5" t="s">
        <v>24</v>
      </c>
      <c r="G54" s="5" t="s">
        <v>27</v>
      </c>
      <c r="H54" s="5">
        <v>11</v>
      </c>
      <c r="I54" s="5">
        <v>617</v>
      </c>
      <c r="J54" s="5">
        <v>1025</v>
      </c>
      <c r="K54" s="6">
        <f t="shared" si="0"/>
        <v>6787</v>
      </c>
      <c r="L54" s="6">
        <f t="shared" si="1"/>
        <v>11275</v>
      </c>
      <c r="M54" s="6">
        <f t="shared" si="2"/>
        <v>4488</v>
      </c>
      <c r="N54" s="6" t="str">
        <f t="shared" si="3"/>
        <v>profit</v>
      </c>
    </row>
    <row r="55" spans="1:14" ht="15.6" thickTop="1" thickBot="1" x14ac:dyDescent="0.35">
      <c r="A55" s="4">
        <v>45678</v>
      </c>
      <c r="B55" s="4" t="s">
        <v>94</v>
      </c>
      <c r="C55" s="5" t="s">
        <v>102</v>
      </c>
      <c r="D55" s="5" t="s">
        <v>15</v>
      </c>
      <c r="E55" s="5" t="s">
        <v>36</v>
      </c>
      <c r="F55" s="5" t="s">
        <v>17</v>
      </c>
      <c r="G55" s="5" t="s">
        <v>18</v>
      </c>
      <c r="H55" s="5">
        <v>20</v>
      </c>
      <c r="I55" s="5">
        <v>749</v>
      </c>
      <c r="J55" s="5">
        <v>753</v>
      </c>
      <c r="K55" s="6">
        <f t="shared" si="0"/>
        <v>14980</v>
      </c>
      <c r="L55" s="6">
        <f t="shared" si="1"/>
        <v>15060</v>
      </c>
      <c r="M55" s="6">
        <f t="shared" si="2"/>
        <v>80</v>
      </c>
      <c r="N55" s="6" t="str">
        <f t="shared" si="3"/>
        <v>profit</v>
      </c>
    </row>
    <row r="56" spans="1:14" ht="15.6" thickTop="1" thickBot="1" x14ac:dyDescent="0.35">
      <c r="A56" s="4">
        <v>45679</v>
      </c>
      <c r="B56" s="4" t="s">
        <v>94</v>
      </c>
      <c r="C56" s="5" t="s">
        <v>103</v>
      </c>
      <c r="D56" s="5" t="s">
        <v>15</v>
      </c>
      <c r="E56" s="5" t="s">
        <v>36</v>
      </c>
      <c r="F56" s="5" t="s">
        <v>20</v>
      </c>
      <c r="G56" s="5" t="s">
        <v>18</v>
      </c>
      <c r="H56" s="5">
        <v>15</v>
      </c>
      <c r="I56" s="5">
        <v>924</v>
      </c>
      <c r="J56" s="5">
        <v>1024</v>
      </c>
      <c r="K56" s="6">
        <f t="shared" si="0"/>
        <v>13860</v>
      </c>
      <c r="L56" s="6">
        <f t="shared" si="1"/>
        <v>15360</v>
      </c>
      <c r="M56" s="6">
        <f t="shared" si="2"/>
        <v>1500</v>
      </c>
      <c r="N56" s="6" t="str">
        <f t="shared" si="3"/>
        <v>profit</v>
      </c>
    </row>
    <row r="57" spans="1:14" ht="15.6" thickTop="1" thickBot="1" x14ac:dyDescent="0.35">
      <c r="A57" s="4">
        <v>45680</v>
      </c>
      <c r="B57" s="4" t="s">
        <v>94</v>
      </c>
      <c r="C57" s="5" t="s">
        <v>104</v>
      </c>
      <c r="D57" s="5" t="s">
        <v>15</v>
      </c>
      <c r="E57" s="5" t="s">
        <v>36</v>
      </c>
      <c r="F57" s="5" t="s">
        <v>22</v>
      </c>
      <c r="G57" s="5" t="s">
        <v>18</v>
      </c>
      <c r="H57" s="5">
        <v>18</v>
      </c>
      <c r="I57" s="5">
        <v>601</v>
      </c>
      <c r="J57" s="5">
        <v>1246</v>
      </c>
      <c r="K57" s="6">
        <f t="shared" si="0"/>
        <v>10818</v>
      </c>
      <c r="L57" s="6">
        <f t="shared" si="1"/>
        <v>22428</v>
      </c>
      <c r="M57" s="6">
        <f t="shared" si="2"/>
        <v>11610</v>
      </c>
      <c r="N57" s="6" t="str">
        <f t="shared" si="3"/>
        <v>profit</v>
      </c>
    </row>
    <row r="58" spans="1:14" ht="15.6" thickTop="1" thickBot="1" x14ac:dyDescent="0.35">
      <c r="A58" s="4">
        <v>45681</v>
      </c>
      <c r="B58" s="4" t="s">
        <v>94</v>
      </c>
      <c r="C58" s="5" t="s">
        <v>105</v>
      </c>
      <c r="D58" s="5" t="s">
        <v>15</v>
      </c>
      <c r="E58" s="5" t="s">
        <v>36</v>
      </c>
      <c r="F58" s="5" t="s">
        <v>24</v>
      </c>
      <c r="G58" s="5" t="s">
        <v>18</v>
      </c>
      <c r="H58" s="5">
        <v>17</v>
      </c>
      <c r="I58" s="5">
        <v>626</v>
      </c>
      <c r="J58" s="5">
        <v>1462</v>
      </c>
      <c r="K58" s="6">
        <f t="shared" si="0"/>
        <v>10642</v>
      </c>
      <c r="L58" s="6">
        <f t="shared" si="1"/>
        <v>24854</v>
      </c>
      <c r="M58" s="6">
        <f t="shared" si="2"/>
        <v>14212</v>
      </c>
      <c r="N58" s="6" t="str">
        <f t="shared" si="3"/>
        <v>profit</v>
      </c>
    </row>
    <row r="59" spans="1:14" ht="15.6" thickTop="1" thickBot="1" x14ac:dyDescent="0.35">
      <c r="A59" s="4">
        <v>45682</v>
      </c>
      <c r="B59" s="4" t="s">
        <v>94</v>
      </c>
      <c r="C59" s="5" t="s">
        <v>106</v>
      </c>
      <c r="D59" s="5" t="s">
        <v>15</v>
      </c>
      <c r="E59" s="5" t="s">
        <v>36</v>
      </c>
      <c r="F59" s="5" t="s">
        <v>24</v>
      </c>
      <c r="G59" s="5" t="s">
        <v>18</v>
      </c>
      <c r="H59" s="5">
        <v>13</v>
      </c>
      <c r="I59" s="5">
        <v>542</v>
      </c>
      <c r="J59" s="5">
        <v>853</v>
      </c>
      <c r="K59" s="6">
        <f t="shared" si="0"/>
        <v>7046</v>
      </c>
      <c r="L59" s="6">
        <f t="shared" si="1"/>
        <v>11089</v>
      </c>
      <c r="M59" s="6">
        <f t="shared" si="2"/>
        <v>4043</v>
      </c>
      <c r="N59" s="6" t="str">
        <f t="shared" si="3"/>
        <v>profit</v>
      </c>
    </row>
    <row r="60" spans="1:14" ht="15.6" thickTop="1" thickBot="1" x14ac:dyDescent="0.35">
      <c r="A60" s="4">
        <v>45441</v>
      </c>
      <c r="B60" s="4" t="s">
        <v>96</v>
      </c>
      <c r="C60" s="5" t="s">
        <v>107</v>
      </c>
      <c r="D60" s="5" t="s">
        <v>32</v>
      </c>
      <c r="E60" s="5" t="s">
        <v>98</v>
      </c>
      <c r="F60" s="5" t="s">
        <v>53</v>
      </c>
      <c r="G60" s="5" t="s">
        <v>27</v>
      </c>
      <c r="H60" s="5">
        <v>50</v>
      </c>
      <c r="I60" s="5">
        <v>639</v>
      </c>
      <c r="J60" s="5">
        <v>789</v>
      </c>
      <c r="K60" s="6">
        <f t="shared" si="0"/>
        <v>31950</v>
      </c>
      <c r="L60" s="6">
        <f t="shared" si="1"/>
        <v>39450</v>
      </c>
      <c r="M60" s="6">
        <f t="shared" si="2"/>
        <v>7500</v>
      </c>
      <c r="N60" s="6" t="str">
        <f t="shared" si="3"/>
        <v>profit</v>
      </c>
    </row>
    <row r="61" spans="1:14" ht="15.6" thickTop="1" thickBot="1" x14ac:dyDescent="0.35">
      <c r="A61" s="4">
        <v>45684</v>
      </c>
      <c r="B61" s="4" t="s">
        <v>94</v>
      </c>
      <c r="C61" s="5" t="s">
        <v>108</v>
      </c>
      <c r="D61" s="5" t="s">
        <v>15</v>
      </c>
      <c r="E61" s="5" t="s">
        <v>36</v>
      </c>
      <c r="F61" s="5" t="s">
        <v>29</v>
      </c>
      <c r="G61" s="5" t="s">
        <v>27</v>
      </c>
      <c r="H61" s="5">
        <v>19</v>
      </c>
      <c r="I61" s="5">
        <v>595</v>
      </c>
      <c r="J61" s="5">
        <v>1424</v>
      </c>
      <c r="K61" s="6">
        <f t="shared" si="0"/>
        <v>11305</v>
      </c>
      <c r="L61" s="6">
        <f t="shared" si="1"/>
        <v>27056</v>
      </c>
      <c r="M61" s="6">
        <f t="shared" si="2"/>
        <v>15751</v>
      </c>
      <c r="N61" s="6" t="str">
        <f t="shared" si="3"/>
        <v>profit</v>
      </c>
    </row>
    <row r="62" spans="1:14" ht="15.6" thickTop="1" thickBot="1" x14ac:dyDescent="0.35">
      <c r="A62" s="4">
        <v>45685</v>
      </c>
      <c r="B62" s="4" t="s">
        <v>94</v>
      </c>
      <c r="C62" s="5" t="s">
        <v>109</v>
      </c>
      <c r="D62" s="5" t="s">
        <v>15</v>
      </c>
      <c r="E62" s="5" t="s">
        <v>36</v>
      </c>
      <c r="F62" s="5" t="s">
        <v>24</v>
      </c>
      <c r="G62" s="5" t="s">
        <v>27</v>
      </c>
      <c r="H62" s="5">
        <v>17</v>
      </c>
      <c r="I62" s="5">
        <v>593</v>
      </c>
      <c r="J62" s="5">
        <v>895</v>
      </c>
      <c r="K62" s="6">
        <f t="shared" si="0"/>
        <v>10081</v>
      </c>
      <c r="L62" s="6">
        <f t="shared" si="1"/>
        <v>15215</v>
      </c>
      <c r="M62" s="6">
        <f t="shared" si="2"/>
        <v>5134</v>
      </c>
      <c r="N62" s="6" t="str">
        <f t="shared" si="3"/>
        <v>profit</v>
      </c>
    </row>
    <row r="63" spans="1:14" ht="15.6" thickTop="1" thickBot="1" x14ac:dyDescent="0.35">
      <c r="A63" s="4">
        <v>45686</v>
      </c>
      <c r="B63" s="4" t="s">
        <v>94</v>
      </c>
      <c r="C63" s="5" t="s">
        <v>110</v>
      </c>
      <c r="D63" s="5" t="s">
        <v>15</v>
      </c>
      <c r="E63" s="5" t="s">
        <v>36</v>
      </c>
      <c r="F63" s="5" t="s">
        <v>38</v>
      </c>
      <c r="G63" s="5" t="s">
        <v>27</v>
      </c>
      <c r="H63" s="5">
        <v>20</v>
      </c>
      <c r="I63" s="5">
        <v>735</v>
      </c>
      <c r="J63" s="5">
        <v>1277</v>
      </c>
      <c r="K63" s="6">
        <f t="shared" si="0"/>
        <v>14700</v>
      </c>
      <c r="L63" s="6">
        <f t="shared" si="1"/>
        <v>25540</v>
      </c>
      <c r="M63" s="6">
        <f t="shared" si="2"/>
        <v>10840</v>
      </c>
      <c r="N63" s="6" t="str">
        <f t="shared" si="3"/>
        <v>profit</v>
      </c>
    </row>
    <row r="64" spans="1:14" ht="15.6" thickTop="1" thickBot="1" x14ac:dyDescent="0.35">
      <c r="A64" s="4">
        <v>45688</v>
      </c>
      <c r="B64" s="4" t="s">
        <v>94</v>
      </c>
      <c r="C64" s="5" t="s">
        <v>111</v>
      </c>
      <c r="D64" s="5" t="s">
        <v>15</v>
      </c>
      <c r="E64" s="5" t="s">
        <v>36</v>
      </c>
      <c r="F64" s="5" t="s">
        <v>112</v>
      </c>
      <c r="G64" s="5" t="s">
        <v>27</v>
      </c>
      <c r="H64" s="5">
        <v>17</v>
      </c>
      <c r="I64" s="5">
        <v>750</v>
      </c>
      <c r="J64" s="5">
        <v>1253</v>
      </c>
      <c r="K64" s="6">
        <f t="shared" si="0"/>
        <v>12750</v>
      </c>
      <c r="L64" s="6">
        <f t="shared" si="1"/>
        <v>21301</v>
      </c>
      <c r="M64" s="6">
        <f t="shared" si="2"/>
        <v>8551</v>
      </c>
      <c r="N64" s="6" t="str">
        <f t="shared" si="3"/>
        <v>profit</v>
      </c>
    </row>
    <row r="65" spans="1:14" ht="15.6" thickTop="1" thickBot="1" x14ac:dyDescent="0.35">
      <c r="A65" s="4">
        <v>45454</v>
      </c>
      <c r="B65" s="4" t="s">
        <v>13</v>
      </c>
      <c r="C65" s="5" t="s">
        <v>14</v>
      </c>
      <c r="D65" s="5" t="s">
        <v>15</v>
      </c>
      <c r="E65" s="5" t="s">
        <v>16</v>
      </c>
      <c r="F65" s="5" t="s">
        <v>17</v>
      </c>
      <c r="G65" s="5" t="s">
        <v>18</v>
      </c>
      <c r="H65" s="5">
        <v>11</v>
      </c>
      <c r="I65" s="5">
        <v>601</v>
      </c>
      <c r="J65" s="5">
        <v>1323</v>
      </c>
      <c r="K65" s="6">
        <f t="shared" si="0"/>
        <v>6611</v>
      </c>
      <c r="L65" s="6">
        <f t="shared" si="1"/>
        <v>14553</v>
      </c>
      <c r="M65" s="6">
        <f t="shared" si="2"/>
        <v>7942</v>
      </c>
      <c r="N65" s="6" t="str">
        <f t="shared" si="3"/>
        <v>profit</v>
      </c>
    </row>
    <row r="66" spans="1:14" ht="15.6" thickTop="1" thickBot="1" x14ac:dyDescent="0.35">
      <c r="A66" s="4">
        <v>45455</v>
      </c>
      <c r="B66" s="4" t="s">
        <v>13</v>
      </c>
      <c r="C66" s="5" t="s">
        <v>19</v>
      </c>
      <c r="D66" s="5" t="s">
        <v>15</v>
      </c>
      <c r="E66" s="5" t="s">
        <v>16</v>
      </c>
      <c r="F66" s="5" t="s">
        <v>20</v>
      </c>
      <c r="G66" s="5" t="s">
        <v>18</v>
      </c>
      <c r="H66" s="5">
        <v>20</v>
      </c>
      <c r="I66" s="5">
        <v>857</v>
      </c>
      <c r="J66" s="5">
        <v>983</v>
      </c>
      <c r="K66" s="6">
        <f t="shared" ref="K66:K129" si="4">H66*I66</f>
        <v>17140</v>
      </c>
      <c r="L66" s="6">
        <f t="shared" ref="L66:L129" si="5">H66*J66</f>
        <v>19660</v>
      </c>
      <c r="M66" s="6">
        <f t="shared" ref="M66:M129" si="6">L66-K66</f>
        <v>2520</v>
      </c>
      <c r="N66" s="6" t="str">
        <f t="shared" ref="N66:N129" si="7">IF(M66&gt;0,"profit","loss")</f>
        <v>profit</v>
      </c>
    </row>
    <row r="67" spans="1:14" ht="15.6" thickTop="1" thickBot="1" x14ac:dyDescent="0.35">
      <c r="A67" s="4">
        <v>45456</v>
      </c>
      <c r="B67" s="4" t="s">
        <v>13</v>
      </c>
      <c r="C67" s="5" t="s">
        <v>21</v>
      </c>
      <c r="D67" s="5" t="s">
        <v>15</v>
      </c>
      <c r="E67" s="5" t="s">
        <v>16</v>
      </c>
      <c r="F67" s="5" t="s">
        <v>22</v>
      </c>
      <c r="G67" s="5" t="s">
        <v>18</v>
      </c>
      <c r="H67" s="5">
        <v>11</v>
      </c>
      <c r="I67" s="5">
        <v>774</v>
      </c>
      <c r="J67" s="5">
        <v>1363</v>
      </c>
      <c r="K67" s="6">
        <f t="shared" si="4"/>
        <v>8514</v>
      </c>
      <c r="L67" s="6">
        <f t="shared" si="5"/>
        <v>14993</v>
      </c>
      <c r="M67" s="6">
        <f t="shared" si="6"/>
        <v>6479</v>
      </c>
      <c r="N67" s="6" t="str">
        <f t="shared" si="7"/>
        <v>profit</v>
      </c>
    </row>
    <row r="68" spans="1:14" ht="15.6" thickTop="1" thickBot="1" x14ac:dyDescent="0.35">
      <c r="A68" s="4">
        <v>45457</v>
      </c>
      <c r="B68" s="4" t="s">
        <v>13</v>
      </c>
      <c r="C68" s="5" t="s">
        <v>23</v>
      </c>
      <c r="D68" s="5" t="s">
        <v>15</v>
      </c>
      <c r="E68" s="5" t="s">
        <v>16</v>
      </c>
      <c r="F68" s="5" t="s">
        <v>24</v>
      </c>
      <c r="G68" s="5" t="s">
        <v>18</v>
      </c>
      <c r="H68" s="5">
        <v>13</v>
      </c>
      <c r="I68" s="5">
        <v>986</v>
      </c>
      <c r="J68" s="5">
        <v>1073</v>
      </c>
      <c r="K68" s="6">
        <f t="shared" si="4"/>
        <v>12818</v>
      </c>
      <c r="L68" s="6">
        <f t="shared" si="5"/>
        <v>13949</v>
      </c>
      <c r="M68" s="6">
        <f t="shared" si="6"/>
        <v>1131</v>
      </c>
      <c r="N68" s="6" t="str">
        <f t="shared" si="7"/>
        <v>profit</v>
      </c>
    </row>
    <row r="69" spans="1:14" ht="15.6" thickTop="1" thickBot="1" x14ac:dyDescent="0.35">
      <c r="A69" s="4">
        <v>45459</v>
      </c>
      <c r="B69" s="4" t="s">
        <v>13</v>
      </c>
      <c r="C69" s="5" t="s">
        <v>25</v>
      </c>
      <c r="D69" s="5" t="s">
        <v>15</v>
      </c>
      <c r="E69" s="5" t="s">
        <v>16</v>
      </c>
      <c r="F69" s="5" t="s">
        <v>26</v>
      </c>
      <c r="G69" s="5" t="s">
        <v>27</v>
      </c>
      <c r="H69" s="5">
        <v>12</v>
      </c>
      <c r="I69" s="5">
        <v>997</v>
      </c>
      <c r="J69" s="5">
        <v>1445</v>
      </c>
      <c r="K69" s="6">
        <f t="shared" si="4"/>
        <v>11964</v>
      </c>
      <c r="L69" s="6">
        <f t="shared" si="5"/>
        <v>17340</v>
      </c>
      <c r="M69" s="6">
        <f t="shared" si="6"/>
        <v>5376</v>
      </c>
      <c r="N69" s="6" t="str">
        <f t="shared" si="7"/>
        <v>profit</v>
      </c>
    </row>
    <row r="70" spans="1:14" ht="15.6" thickTop="1" thickBot="1" x14ac:dyDescent="0.35">
      <c r="A70" s="4">
        <v>45460</v>
      </c>
      <c r="B70" s="4" t="s">
        <v>13</v>
      </c>
      <c r="C70" s="5" t="s">
        <v>28</v>
      </c>
      <c r="D70" s="5" t="s">
        <v>15</v>
      </c>
      <c r="E70" s="5" t="s">
        <v>16</v>
      </c>
      <c r="F70" s="5" t="s">
        <v>29</v>
      </c>
      <c r="G70" s="5" t="s">
        <v>27</v>
      </c>
      <c r="H70" s="5">
        <v>20</v>
      </c>
      <c r="I70" s="5">
        <v>941</v>
      </c>
      <c r="J70" s="5">
        <v>1053</v>
      </c>
      <c r="K70" s="6">
        <f t="shared" si="4"/>
        <v>18820</v>
      </c>
      <c r="L70" s="6">
        <f t="shared" si="5"/>
        <v>21060</v>
      </c>
      <c r="M70" s="6">
        <f t="shared" si="6"/>
        <v>2240</v>
      </c>
      <c r="N70" s="6" t="str">
        <f t="shared" si="7"/>
        <v>profit</v>
      </c>
    </row>
    <row r="71" spans="1:14" ht="15.6" thickTop="1" thickBot="1" x14ac:dyDescent="0.35">
      <c r="A71" s="4">
        <v>45472</v>
      </c>
      <c r="B71" s="4" t="s">
        <v>13</v>
      </c>
      <c r="C71" s="5" t="s">
        <v>35</v>
      </c>
      <c r="D71" s="5" t="s">
        <v>15</v>
      </c>
      <c r="E71" s="5" t="s">
        <v>36</v>
      </c>
      <c r="F71" s="5" t="s">
        <v>34</v>
      </c>
      <c r="G71" s="5" t="s">
        <v>18</v>
      </c>
      <c r="H71" s="5">
        <v>19</v>
      </c>
      <c r="I71" s="5">
        <v>952</v>
      </c>
      <c r="J71" s="5">
        <v>1486</v>
      </c>
      <c r="K71" s="6">
        <f t="shared" si="4"/>
        <v>18088</v>
      </c>
      <c r="L71" s="6">
        <f t="shared" si="5"/>
        <v>28234</v>
      </c>
      <c r="M71" s="6">
        <f t="shared" si="6"/>
        <v>10146</v>
      </c>
      <c r="N71" s="6" t="str">
        <f t="shared" si="7"/>
        <v>profit</v>
      </c>
    </row>
    <row r="72" spans="1:14" ht="15.6" thickTop="1" thickBot="1" x14ac:dyDescent="0.35">
      <c r="A72" s="4">
        <v>45473</v>
      </c>
      <c r="B72" s="4" t="s">
        <v>13</v>
      </c>
      <c r="C72" s="5" t="s">
        <v>37</v>
      </c>
      <c r="D72" s="5" t="s">
        <v>15</v>
      </c>
      <c r="E72" s="5" t="s">
        <v>36</v>
      </c>
      <c r="F72" s="5" t="s">
        <v>38</v>
      </c>
      <c r="G72" s="5" t="s">
        <v>18</v>
      </c>
      <c r="H72" s="5">
        <v>11</v>
      </c>
      <c r="I72" s="5">
        <v>503</v>
      </c>
      <c r="J72" s="5">
        <v>762</v>
      </c>
      <c r="K72" s="6">
        <f t="shared" si="4"/>
        <v>5533</v>
      </c>
      <c r="L72" s="6">
        <f t="shared" si="5"/>
        <v>8382</v>
      </c>
      <c r="M72" s="6">
        <f t="shared" si="6"/>
        <v>2849</v>
      </c>
      <c r="N72" s="6" t="str">
        <f t="shared" si="7"/>
        <v>profit</v>
      </c>
    </row>
    <row r="73" spans="1:14" ht="15.6" thickTop="1" thickBot="1" x14ac:dyDescent="0.35">
      <c r="A73" s="4">
        <v>45474</v>
      </c>
      <c r="B73" s="4" t="s">
        <v>39</v>
      </c>
      <c r="C73" s="5" t="s">
        <v>40</v>
      </c>
      <c r="D73" s="5" t="s">
        <v>15</v>
      </c>
      <c r="E73" s="5" t="s">
        <v>36</v>
      </c>
      <c r="F73" s="5" t="s">
        <v>38</v>
      </c>
      <c r="G73" s="5" t="s">
        <v>18</v>
      </c>
      <c r="H73" s="5">
        <v>10</v>
      </c>
      <c r="I73" s="5">
        <v>719</v>
      </c>
      <c r="J73" s="5">
        <v>862</v>
      </c>
      <c r="K73" s="6">
        <f t="shared" si="4"/>
        <v>7190</v>
      </c>
      <c r="L73" s="6">
        <f t="shared" si="5"/>
        <v>8620</v>
      </c>
      <c r="M73" s="6">
        <f t="shared" si="6"/>
        <v>1430</v>
      </c>
      <c r="N73" s="6" t="str">
        <f t="shared" si="7"/>
        <v>profit</v>
      </c>
    </row>
    <row r="74" spans="1:14" ht="15.6" thickTop="1" thickBot="1" x14ac:dyDescent="0.35">
      <c r="A74" s="4">
        <v>45476</v>
      </c>
      <c r="B74" s="4" t="s">
        <v>39</v>
      </c>
      <c r="C74" s="5" t="s">
        <v>41</v>
      </c>
      <c r="D74" s="5" t="s">
        <v>15</v>
      </c>
      <c r="E74" s="5" t="s">
        <v>36</v>
      </c>
      <c r="F74" s="5" t="s">
        <v>26</v>
      </c>
      <c r="G74" s="5" t="s">
        <v>18</v>
      </c>
      <c r="H74" s="5">
        <v>15</v>
      </c>
      <c r="I74" s="5">
        <v>941</v>
      </c>
      <c r="J74" s="5">
        <v>913</v>
      </c>
      <c r="K74" s="6">
        <f t="shared" si="4"/>
        <v>14115</v>
      </c>
      <c r="L74" s="6">
        <f t="shared" si="5"/>
        <v>13695</v>
      </c>
      <c r="M74" s="6">
        <f t="shared" si="6"/>
        <v>-420</v>
      </c>
      <c r="N74" s="6" t="str">
        <f t="shared" si="7"/>
        <v>loss</v>
      </c>
    </row>
    <row r="75" spans="1:14" ht="15.6" thickTop="1" thickBot="1" x14ac:dyDescent="0.35">
      <c r="A75" s="4">
        <v>45477</v>
      </c>
      <c r="B75" s="4" t="s">
        <v>39</v>
      </c>
      <c r="C75" s="5" t="s">
        <v>42</v>
      </c>
      <c r="D75" s="5" t="s">
        <v>15</v>
      </c>
      <c r="E75" s="5" t="s">
        <v>36</v>
      </c>
      <c r="F75" s="5" t="s">
        <v>43</v>
      </c>
      <c r="G75" s="5" t="s">
        <v>18</v>
      </c>
      <c r="H75" s="5">
        <v>15</v>
      </c>
      <c r="I75" s="5">
        <v>937</v>
      </c>
      <c r="J75" s="5">
        <v>1427</v>
      </c>
      <c r="K75" s="6">
        <f t="shared" si="4"/>
        <v>14055</v>
      </c>
      <c r="L75" s="6">
        <f t="shared" si="5"/>
        <v>21405</v>
      </c>
      <c r="M75" s="6">
        <f t="shared" si="6"/>
        <v>7350</v>
      </c>
      <c r="N75" s="6" t="str">
        <f t="shared" si="7"/>
        <v>profit</v>
      </c>
    </row>
    <row r="76" spans="1:14" ht="15.6" thickTop="1" thickBot="1" x14ac:dyDescent="0.35">
      <c r="A76" s="4">
        <v>45478</v>
      </c>
      <c r="B76" s="4" t="s">
        <v>39</v>
      </c>
      <c r="C76" s="5" t="s">
        <v>47</v>
      </c>
      <c r="D76" s="5" t="s">
        <v>15</v>
      </c>
      <c r="E76" s="5" t="s">
        <v>36</v>
      </c>
      <c r="F76" s="5" t="s">
        <v>48</v>
      </c>
      <c r="G76" s="5" t="s">
        <v>18</v>
      </c>
      <c r="H76" s="5">
        <v>11</v>
      </c>
      <c r="I76" s="5">
        <v>674</v>
      </c>
      <c r="J76" s="5">
        <v>1415</v>
      </c>
      <c r="K76" s="6">
        <f t="shared" si="4"/>
        <v>7414</v>
      </c>
      <c r="L76" s="6">
        <f t="shared" si="5"/>
        <v>15565</v>
      </c>
      <c r="M76" s="6">
        <f t="shared" si="6"/>
        <v>8151</v>
      </c>
      <c r="N76" s="6" t="str">
        <f t="shared" si="7"/>
        <v>profit</v>
      </c>
    </row>
    <row r="77" spans="1:14" ht="15.6" thickTop="1" thickBot="1" x14ac:dyDescent="0.35">
      <c r="A77" s="4">
        <v>45458</v>
      </c>
      <c r="B77" s="4" t="s">
        <v>13</v>
      </c>
      <c r="C77" s="5" t="s">
        <v>113</v>
      </c>
      <c r="D77" s="5" t="s">
        <v>15</v>
      </c>
      <c r="E77" s="5" t="s">
        <v>16</v>
      </c>
      <c r="F77" s="5" t="s">
        <v>24</v>
      </c>
      <c r="G77" s="5" t="s">
        <v>18</v>
      </c>
      <c r="H77" s="5">
        <v>20</v>
      </c>
      <c r="I77" s="5">
        <v>827</v>
      </c>
      <c r="J77" s="5">
        <v>816</v>
      </c>
      <c r="K77" s="6">
        <f t="shared" si="4"/>
        <v>16540</v>
      </c>
      <c r="L77" s="6">
        <f t="shared" si="5"/>
        <v>16320</v>
      </c>
      <c r="M77" s="6">
        <f t="shared" si="6"/>
        <v>-220</v>
      </c>
      <c r="N77" s="6" t="str">
        <f t="shared" si="7"/>
        <v>loss</v>
      </c>
    </row>
    <row r="78" spans="1:14" ht="15.6" thickTop="1" thickBot="1" x14ac:dyDescent="0.35">
      <c r="A78" s="4">
        <v>45479</v>
      </c>
      <c r="B78" s="4" t="s">
        <v>39</v>
      </c>
      <c r="C78" s="5" t="s">
        <v>49</v>
      </c>
      <c r="D78" s="5" t="s">
        <v>15</v>
      </c>
      <c r="E78" s="5" t="s">
        <v>36</v>
      </c>
      <c r="F78" s="5" t="s">
        <v>26</v>
      </c>
      <c r="G78" s="5" t="s">
        <v>27</v>
      </c>
      <c r="H78" s="5">
        <v>20</v>
      </c>
      <c r="I78" s="5">
        <v>596</v>
      </c>
      <c r="J78" s="5">
        <v>1255</v>
      </c>
      <c r="K78" s="6">
        <f t="shared" si="4"/>
        <v>11920</v>
      </c>
      <c r="L78" s="6">
        <f t="shared" si="5"/>
        <v>25100</v>
      </c>
      <c r="M78" s="6">
        <f t="shared" si="6"/>
        <v>13180</v>
      </c>
      <c r="N78" s="6" t="str">
        <f t="shared" si="7"/>
        <v>profit</v>
      </c>
    </row>
    <row r="79" spans="1:14" ht="15.6" thickTop="1" thickBot="1" x14ac:dyDescent="0.35">
      <c r="A79" s="4">
        <v>45480</v>
      </c>
      <c r="B79" s="4" t="s">
        <v>39</v>
      </c>
      <c r="C79" s="5" t="s">
        <v>50</v>
      </c>
      <c r="D79" s="5" t="s">
        <v>15</v>
      </c>
      <c r="E79" s="5" t="s">
        <v>36</v>
      </c>
      <c r="F79" s="5" t="s">
        <v>51</v>
      </c>
      <c r="G79" s="5" t="s">
        <v>27</v>
      </c>
      <c r="H79" s="5">
        <v>20</v>
      </c>
      <c r="I79" s="5">
        <v>689</v>
      </c>
      <c r="J79" s="5">
        <v>939</v>
      </c>
      <c r="K79" s="6">
        <f t="shared" si="4"/>
        <v>13780</v>
      </c>
      <c r="L79" s="6">
        <f t="shared" si="5"/>
        <v>18780</v>
      </c>
      <c r="M79" s="6">
        <f t="shared" si="6"/>
        <v>5000</v>
      </c>
      <c r="N79" s="6" t="str">
        <f t="shared" si="7"/>
        <v>profit</v>
      </c>
    </row>
    <row r="80" spans="1:14" ht="15.6" thickTop="1" thickBot="1" x14ac:dyDescent="0.35">
      <c r="A80" s="4">
        <v>45481</v>
      </c>
      <c r="B80" s="4" t="s">
        <v>39</v>
      </c>
      <c r="C80" s="5" t="s">
        <v>52</v>
      </c>
      <c r="D80" s="5" t="s">
        <v>15</v>
      </c>
      <c r="E80" s="5" t="s">
        <v>36</v>
      </c>
      <c r="F80" s="5" t="s">
        <v>53</v>
      </c>
      <c r="G80" s="5" t="s">
        <v>27</v>
      </c>
      <c r="H80" s="5">
        <v>17</v>
      </c>
      <c r="I80" s="5">
        <v>990</v>
      </c>
      <c r="J80" s="5">
        <v>1391</v>
      </c>
      <c r="K80" s="6">
        <f t="shared" si="4"/>
        <v>16830</v>
      </c>
      <c r="L80" s="6">
        <f t="shared" si="5"/>
        <v>23647</v>
      </c>
      <c r="M80" s="6">
        <f t="shared" si="6"/>
        <v>6817</v>
      </c>
      <c r="N80" s="6" t="str">
        <f t="shared" si="7"/>
        <v>profit</v>
      </c>
    </row>
    <row r="81" spans="1:14" ht="15.6" thickTop="1" thickBot="1" x14ac:dyDescent="0.35">
      <c r="A81" s="4">
        <v>45482</v>
      </c>
      <c r="B81" s="4" t="s">
        <v>39</v>
      </c>
      <c r="C81" s="5" t="s">
        <v>54</v>
      </c>
      <c r="D81" s="5" t="s">
        <v>15</v>
      </c>
      <c r="E81" s="5" t="s">
        <v>36</v>
      </c>
      <c r="F81" s="5" t="s">
        <v>34</v>
      </c>
      <c r="G81" s="5" t="s">
        <v>27</v>
      </c>
      <c r="H81" s="5">
        <v>20</v>
      </c>
      <c r="I81" s="5">
        <v>589</v>
      </c>
      <c r="J81" s="5">
        <v>773</v>
      </c>
      <c r="K81" s="6">
        <f t="shared" si="4"/>
        <v>11780</v>
      </c>
      <c r="L81" s="6">
        <f t="shared" si="5"/>
        <v>15460</v>
      </c>
      <c r="M81" s="6">
        <f t="shared" si="6"/>
        <v>3680</v>
      </c>
      <c r="N81" s="6" t="str">
        <f t="shared" si="7"/>
        <v>profit</v>
      </c>
    </row>
    <row r="82" spans="1:14" ht="15.6" thickTop="1" thickBot="1" x14ac:dyDescent="0.35">
      <c r="A82" s="4">
        <v>45483</v>
      </c>
      <c r="B82" s="4" t="s">
        <v>39</v>
      </c>
      <c r="C82" s="5" t="s">
        <v>55</v>
      </c>
      <c r="D82" s="5" t="s">
        <v>15</v>
      </c>
      <c r="E82" s="5" t="s">
        <v>36</v>
      </c>
      <c r="F82" s="5" t="s">
        <v>38</v>
      </c>
      <c r="G82" s="5" t="s">
        <v>18</v>
      </c>
      <c r="H82" s="5">
        <v>17</v>
      </c>
      <c r="I82" s="5">
        <v>773</v>
      </c>
      <c r="J82" s="5">
        <v>1266</v>
      </c>
      <c r="K82" s="6">
        <f t="shared" si="4"/>
        <v>13141</v>
      </c>
      <c r="L82" s="6">
        <f t="shared" si="5"/>
        <v>21522</v>
      </c>
      <c r="M82" s="6">
        <f t="shared" si="6"/>
        <v>8381</v>
      </c>
      <c r="N82" s="6" t="str">
        <f t="shared" si="7"/>
        <v>profit</v>
      </c>
    </row>
    <row r="83" spans="1:14" ht="15.6" thickTop="1" thickBot="1" x14ac:dyDescent="0.35">
      <c r="A83" s="4">
        <v>45464</v>
      </c>
      <c r="B83" s="4" t="s">
        <v>13</v>
      </c>
      <c r="C83" s="5" t="s">
        <v>114</v>
      </c>
      <c r="D83" s="5" t="s">
        <v>32</v>
      </c>
      <c r="E83" s="5" t="s">
        <v>98</v>
      </c>
      <c r="F83" s="5" t="s">
        <v>43</v>
      </c>
      <c r="G83" s="5" t="s">
        <v>18</v>
      </c>
      <c r="H83" s="5">
        <v>75</v>
      </c>
      <c r="I83" s="5">
        <v>859</v>
      </c>
      <c r="J83" s="5">
        <v>1486</v>
      </c>
      <c r="K83" s="6">
        <f t="shared" si="4"/>
        <v>64425</v>
      </c>
      <c r="L83" s="6">
        <f t="shared" si="5"/>
        <v>111450</v>
      </c>
      <c r="M83" s="6">
        <f t="shared" si="6"/>
        <v>47025</v>
      </c>
      <c r="N83" s="6" t="str">
        <f t="shared" si="7"/>
        <v>profit</v>
      </c>
    </row>
    <row r="84" spans="1:14" ht="15.6" thickTop="1" thickBot="1" x14ac:dyDescent="0.35">
      <c r="A84" s="4">
        <v>45510</v>
      </c>
      <c r="B84" s="4" t="s">
        <v>56</v>
      </c>
      <c r="C84" s="5" t="s">
        <v>57</v>
      </c>
      <c r="D84" s="5" t="s">
        <v>15</v>
      </c>
      <c r="E84" s="5" t="s">
        <v>36</v>
      </c>
      <c r="F84" s="5" t="s">
        <v>43</v>
      </c>
      <c r="G84" s="5" t="s">
        <v>18</v>
      </c>
      <c r="H84" s="5">
        <v>11</v>
      </c>
      <c r="I84" s="5">
        <v>830</v>
      </c>
      <c r="J84" s="5">
        <v>1386</v>
      </c>
      <c r="K84" s="6">
        <f t="shared" si="4"/>
        <v>9130</v>
      </c>
      <c r="L84" s="6">
        <f t="shared" si="5"/>
        <v>15246</v>
      </c>
      <c r="M84" s="6">
        <f t="shared" si="6"/>
        <v>6116</v>
      </c>
      <c r="N84" s="6" t="str">
        <f t="shared" si="7"/>
        <v>profit</v>
      </c>
    </row>
    <row r="85" spans="1:14" ht="15.6" thickTop="1" thickBot="1" x14ac:dyDescent="0.35">
      <c r="A85" s="4">
        <v>45511</v>
      </c>
      <c r="B85" s="4" t="s">
        <v>56</v>
      </c>
      <c r="C85" s="5" t="s">
        <v>58</v>
      </c>
      <c r="D85" s="5" t="s">
        <v>15</v>
      </c>
      <c r="E85" s="5" t="s">
        <v>36</v>
      </c>
      <c r="F85" s="5" t="s">
        <v>59</v>
      </c>
      <c r="G85" s="5" t="s">
        <v>18</v>
      </c>
      <c r="H85" s="5">
        <v>11</v>
      </c>
      <c r="I85" s="5">
        <v>930</v>
      </c>
      <c r="J85" s="5">
        <v>876</v>
      </c>
      <c r="K85" s="6">
        <f t="shared" si="4"/>
        <v>10230</v>
      </c>
      <c r="L85" s="6">
        <f t="shared" si="5"/>
        <v>9636</v>
      </c>
      <c r="M85" s="6">
        <f t="shared" si="6"/>
        <v>-594</v>
      </c>
      <c r="N85" s="6" t="str">
        <f t="shared" si="7"/>
        <v>loss</v>
      </c>
    </row>
    <row r="86" spans="1:14" ht="15.6" thickTop="1" thickBot="1" x14ac:dyDescent="0.35">
      <c r="A86" s="4">
        <v>45513</v>
      </c>
      <c r="B86" s="4" t="s">
        <v>56</v>
      </c>
      <c r="C86" s="5" t="s">
        <v>60</v>
      </c>
      <c r="D86" s="5" t="s">
        <v>15</v>
      </c>
      <c r="E86" s="5" t="s">
        <v>36</v>
      </c>
      <c r="F86" s="5" t="s">
        <v>38</v>
      </c>
      <c r="G86" s="5" t="s">
        <v>18</v>
      </c>
      <c r="H86" s="5">
        <v>19</v>
      </c>
      <c r="I86" s="5">
        <v>654</v>
      </c>
      <c r="J86" s="5">
        <v>1295</v>
      </c>
      <c r="K86" s="6">
        <f t="shared" si="4"/>
        <v>12426</v>
      </c>
      <c r="L86" s="6">
        <f t="shared" si="5"/>
        <v>24605</v>
      </c>
      <c r="M86" s="6">
        <f t="shared" si="6"/>
        <v>12179</v>
      </c>
      <c r="N86" s="6" t="str">
        <f t="shared" si="7"/>
        <v>profit</v>
      </c>
    </row>
    <row r="87" spans="1:14" ht="15.6" thickTop="1" thickBot="1" x14ac:dyDescent="0.35">
      <c r="A87" s="4">
        <v>45514</v>
      </c>
      <c r="B87" s="4" t="s">
        <v>56</v>
      </c>
      <c r="C87" s="5" t="s">
        <v>64</v>
      </c>
      <c r="D87" s="5" t="s">
        <v>15</v>
      </c>
      <c r="E87" s="5" t="s">
        <v>36</v>
      </c>
      <c r="F87" s="5" t="s">
        <v>38</v>
      </c>
      <c r="G87" s="5" t="s">
        <v>18</v>
      </c>
      <c r="H87" s="5">
        <v>18</v>
      </c>
      <c r="I87" s="5">
        <v>767</v>
      </c>
      <c r="J87" s="5">
        <v>988</v>
      </c>
      <c r="K87" s="6">
        <f t="shared" si="4"/>
        <v>13806</v>
      </c>
      <c r="L87" s="6">
        <f t="shared" si="5"/>
        <v>17784</v>
      </c>
      <c r="M87" s="6">
        <f t="shared" si="6"/>
        <v>3978</v>
      </c>
      <c r="N87" s="6" t="str">
        <f t="shared" si="7"/>
        <v>profit</v>
      </c>
    </row>
    <row r="88" spans="1:14" ht="15.6" thickTop="1" thickBot="1" x14ac:dyDescent="0.35">
      <c r="A88" s="4">
        <v>45515</v>
      </c>
      <c r="B88" s="4" t="s">
        <v>56</v>
      </c>
      <c r="C88" s="5" t="s">
        <v>66</v>
      </c>
      <c r="D88" s="5" t="s">
        <v>15</v>
      </c>
      <c r="E88" s="5" t="s">
        <v>36</v>
      </c>
      <c r="F88" s="5" t="s">
        <v>43</v>
      </c>
      <c r="G88" s="5" t="s">
        <v>27</v>
      </c>
      <c r="H88" s="5">
        <v>12</v>
      </c>
      <c r="I88" s="5">
        <v>654</v>
      </c>
      <c r="J88" s="5">
        <v>788</v>
      </c>
      <c r="K88" s="6">
        <f t="shared" si="4"/>
        <v>7848</v>
      </c>
      <c r="L88" s="6">
        <f t="shared" si="5"/>
        <v>9456</v>
      </c>
      <c r="M88" s="6">
        <f t="shared" si="6"/>
        <v>1608</v>
      </c>
      <c r="N88" s="6" t="str">
        <f t="shared" si="7"/>
        <v>profit</v>
      </c>
    </row>
    <row r="89" spans="1:14" ht="15.6" thickTop="1" thickBot="1" x14ac:dyDescent="0.35">
      <c r="A89" s="4">
        <v>45516</v>
      </c>
      <c r="B89" s="4" t="s">
        <v>56</v>
      </c>
      <c r="C89" s="5" t="s">
        <v>67</v>
      </c>
      <c r="D89" s="5" t="s">
        <v>15</v>
      </c>
      <c r="E89" s="5" t="s">
        <v>36</v>
      </c>
      <c r="F89" s="5" t="s">
        <v>26</v>
      </c>
      <c r="G89" s="5" t="s">
        <v>27</v>
      </c>
      <c r="H89" s="5">
        <v>11</v>
      </c>
      <c r="I89" s="5">
        <v>827</v>
      </c>
      <c r="J89" s="5">
        <v>765</v>
      </c>
      <c r="K89" s="6">
        <f t="shared" si="4"/>
        <v>9097</v>
      </c>
      <c r="L89" s="6">
        <f t="shared" si="5"/>
        <v>8415</v>
      </c>
      <c r="M89" s="6">
        <f t="shared" si="6"/>
        <v>-682</v>
      </c>
      <c r="N89" s="6" t="str">
        <f t="shared" si="7"/>
        <v>loss</v>
      </c>
    </row>
    <row r="90" spans="1:14" ht="15.6" thickTop="1" thickBot="1" x14ac:dyDescent="0.35">
      <c r="A90" s="4">
        <v>45543</v>
      </c>
      <c r="B90" s="4" t="s">
        <v>68</v>
      </c>
      <c r="C90" s="5" t="s">
        <v>69</v>
      </c>
      <c r="D90" s="5" t="s">
        <v>15</v>
      </c>
      <c r="E90" s="5" t="s">
        <v>36</v>
      </c>
      <c r="F90" s="5" t="s">
        <v>70</v>
      </c>
      <c r="G90" s="5" t="s">
        <v>27</v>
      </c>
      <c r="H90" s="5">
        <v>12</v>
      </c>
      <c r="I90" s="5">
        <v>561</v>
      </c>
      <c r="J90" s="5">
        <v>1162</v>
      </c>
      <c r="K90" s="6">
        <f t="shared" si="4"/>
        <v>6732</v>
      </c>
      <c r="L90" s="6">
        <f t="shared" si="5"/>
        <v>13944</v>
      </c>
      <c r="M90" s="6">
        <f t="shared" si="6"/>
        <v>7212</v>
      </c>
      <c r="N90" s="6" t="str">
        <f t="shared" si="7"/>
        <v>profit</v>
      </c>
    </row>
    <row r="91" spans="1:14" ht="15.6" thickTop="1" thickBot="1" x14ac:dyDescent="0.35">
      <c r="A91" s="4">
        <v>45544</v>
      </c>
      <c r="B91" s="4" t="s">
        <v>68</v>
      </c>
      <c r="C91" s="5" t="s">
        <v>71</v>
      </c>
      <c r="D91" s="5" t="s">
        <v>15</v>
      </c>
      <c r="E91" s="5" t="s">
        <v>36</v>
      </c>
      <c r="F91" s="5" t="s">
        <v>43</v>
      </c>
      <c r="G91" s="5" t="s">
        <v>27</v>
      </c>
      <c r="H91" s="5">
        <v>12</v>
      </c>
      <c r="I91" s="5">
        <v>879</v>
      </c>
      <c r="J91" s="5">
        <v>1428</v>
      </c>
      <c r="K91" s="6">
        <f t="shared" si="4"/>
        <v>10548</v>
      </c>
      <c r="L91" s="6">
        <f t="shared" si="5"/>
        <v>17136</v>
      </c>
      <c r="M91" s="6">
        <f t="shared" si="6"/>
        <v>6588</v>
      </c>
      <c r="N91" s="6" t="str">
        <f t="shared" si="7"/>
        <v>profit</v>
      </c>
    </row>
    <row r="92" spans="1:14" ht="15.6" thickTop="1" thickBot="1" x14ac:dyDescent="0.35">
      <c r="A92" s="4">
        <v>45545</v>
      </c>
      <c r="B92" s="4" t="s">
        <v>68</v>
      </c>
      <c r="C92" s="5" t="s">
        <v>72</v>
      </c>
      <c r="D92" s="5" t="s">
        <v>15</v>
      </c>
      <c r="E92" s="5" t="s">
        <v>36</v>
      </c>
      <c r="F92" s="5" t="s">
        <v>24</v>
      </c>
      <c r="G92" s="5" t="s">
        <v>27</v>
      </c>
      <c r="H92" s="5">
        <v>13</v>
      </c>
      <c r="I92" s="5">
        <v>523</v>
      </c>
      <c r="J92" s="5">
        <v>1326</v>
      </c>
      <c r="K92" s="6">
        <f t="shared" si="4"/>
        <v>6799</v>
      </c>
      <c r="L92" s="6">
        <f t="shared" si="5"/>
        <v>17238</v>
      </c>
      <c r="M92" s="6">
        <f t="shared" si="6"/>
        <v>10439</v>
      </c>
      <c r="N92" s="6" t="str">
        <f t="shared" si="7"/>
        <v>profit</v>
      </c>
    </row>
    <row r="93" spans="1:14" ht="15.6" thickTop="1" thickBot="1" x14ac:dyDescent="0.35">
      <c r="A93" s="4">
        <v>45546</v>
      </c>
      <c r="B93" s="4" t="s">
        <v>68</v>
      </c>
      <c r="C93" s="5" t="s">
        <v>73</v>
      </c>
      <c r="D93" s="5" t="s">
        <v>15</v>
      </c>
      <c r="E93" s="5" t="s">
        <v>36</v>
      </c>
      <c r="F93" s="5" t="s">
        <v>63</v>
      </c>
      <c r="G93" s="5" t="s">
        <v>27</v>
      </c>
      <c r="H93" s="5">
        <v>10</v>
      </c>
      <c r="I93" s="5">
        <v>990</v>
      </c>
      <c r="J93" s="5">
        <v>1030</v>
      </c>
      <c r="K93" s="6">
        <f t="shared" si="4"/>
        <v>9900</v>
      </c>
      <c r="L93" s="6">
        <f t="shared" si="5"/>
        <v>10300</v>
      </c>
      <c r="M93" s="6">
        <f t="shared" si="6"/>
        <v>400</v>
      </c>
      <c r="N93" s="6" t="str">
        <f t="shared" si="7"/>
        <v>profit</v>
      </c>
    </row>
    <row r="94" spans="1:14" ht="15.6" thickTop="1" thickBot="1" x14ac:dyDescent="0.35">
      <c r="A94" s="4">
        <v>45475</v>
      </c>
      <c r="B94" s="4" t="s">
        <v>39</v>
      </c>
      <c r="C94" s="5" t="s">
        <v>115</v>
      </c>
      <c r="D94" s="5" t="s">
        <v>15</v>
      </c>
      <c r="E94" s="5" t="s">
        <v>36</v>
      </c>
      <c r="F94" s="5" t="s">
        <v>43</v>
      </c>
      <c r="G94" s="5" t="s">
        <v>18</v>
      </c>
      <c r="H94" s="5">
        <v>15</v>
      </c>
      <c r="I94" s="5">
        <v>910</v>
      </c>
      <c r="J94" s="5">
        <v>916</v>
      </c>
      <c r="K94" s="6">
        <f t="shared" si="4"/>
        <v>13650</v>
      </c>
      <c r="L94" s="6">
        <f t="shared" si="5"/>
        <v>13740</v>
      </c>
      <c r="M94" s="6">
        <f t="shared" si="6"/>
        <v>90</v>
      </c>
      <c r="N94" s="6" t="str">
        <f t="shared" si="7"/>
        <v>profit</v>
      </c>
    </row>
    <row r="95" spans="1:14" ht="15.6" thickTop="1" thickBot="1" x14ac:dyDescent="0.35">
      <c r="A95" s="4">
        <v>45547</v>
      </c>
      <c r="B95" s="4" t="s">
        <v>68</v>
      </c>
      <c r="C95" s="5" t="s">
        <v>74</v>
      </c>
      <c r="D95" s="5" t="s">
        <v>15</v>
      </c>
      <c r="E95" s="5" t="s">
        <v>36</v>
      </c>
      <c r="F95" s="5" t="s">
        <v>75</v>
      </c>
      <c r="G95" s="5" t="s">
        <v>18</v>
      </c>
      <c r="H95" s="5">
        <v>12</v>
      </c>
      <c r="I95" s="5">
        <v>707</v>
      </c>
      <c r="J95" s="5">
        <v>1203</v>
      </c>
      <c r="K95" s="6">
        <f t="shared" si="4"/>
        <v>8484</v>
      </c>
      <c r="L95" s="6">
        <f t="shared" si="5"/>
        <v>14436</v>
      </c>
      <c r="M95" s="6">
        <f t="shared" si="6"/>
        <v>5952</v>
      </c>
      <c r="N95" s="6" t="str">
        <f t="shared" si="7"/>
        <v>profit</v>
      </c>
    </row>
    <row r="96" spans="1:14" ht="15.6" thickTop="1" thickBot="1" x14ac:dyDescent="0.35">
      <c r="A96" s="4">
        <v>45548</v>
      </c>
      <c r="B96" s="4" t="s">
        <v>68</v>
      </c>
      <c r="C96" s="5" t="s">
        <v>76</v>
      </c>
      <c r="D96" s="5" t="s">
        <v>15</v>
      </c>
      <c r="E96" s="5" t="s">
        <v>36</v>
      </c>
      <c r="F96" s="5" t="s">
        <v>77</v>
      </c>
      <c r="G96" s="5" t="s">
        <v>18</v>
      </c>
      <c r="H96" s="5">
        <v>13</v>
      </c>
      <c r="I96" s="5">
        <v>515</v>
      </c>
      <c r="J96" s="5">
        <v>1095</v>
      </c>
      <c r="K96" s="6">
        <f t="shared" si="4"/>
        <v>6695</v>
      </c>
      <c r="L96" s="6">
        <f t="shared" si="5"/>
        <v>14235</v>
      </c>
      <c r="M96" s="6">
        <f t="shared" si="6"/>
        <v>7540</v>
      </c>
      <c r="N96" s="6" t="str">
        <f t="shared" si="7"/>
        <v>profit</v>
      </c>
    </row>
    <row r="97" spans="1:14" ht="15.6" thickTop="1" thickBot="1" x14ac:dyDescent="0.35">
      <c r="A97" s="4">
        <v>45550</v>
      </c>
      <c r="B97" s="4" t="s">
        <v>68</v>
      </c>
      <c r="C97" s="5" t="s">
        <v>78</v>
      </c>
      <c r="D97" s="5" t="s">
        <v>15</v>
      </c>
      <c r="E97" s="5" t="s">
        <v>36</v>
      </c>
      <c r="F97" s="5" t="s">
        <v>43</v>
      </c>
      <c r="G97" s="5" t="s">
        <v>18</v>
      </c>
      <c r="H97" s="5">
        <v>12</v>
      </c>
      <c r="I97" s="5">
        <v>671</v>
      </c>
      <c r="J97" s="5">
        <v>850</v>
      </c>
      <c r="K97" s="6">
        <f t="shared" si="4"/>
        <v>8052</v>
      </c>
      <c r="L97" s="6">
        <f t="shared" si="5"/>
        <v>10200</v>
      </c>
      <c r="M97" s="6">
        <f t="shared" si="6"/>
        <v>2148</v>
      </c>
      <c r="N97" s="6" t="str">
        <f t="shared" si="7"/>
        <v>profit</v>
      </c>
    </row>
    <row r="98" spans="1:14" ht="15.6" thickTop="1" thickBot="1" x14ac:dyDescent="0.35">
      <c r="A98" s="4">
        <v>45551</v>
      </c>
      <c r="B98" s="4" t="s">
        <v>68</v>
      </c>
      <c r="C98" s="5" t="s">
        <v>79</v>
      </c>
      <c r="D98" s="5" t="s">
        <v>15</v>
      </c>
      <c r="E98" s="5" t="s">
        <v>36</v>
      </c>
      <c r="F98" s="5" t="s">
        <v>59</v>
      </c>
      <c r="G98" s="5" t="s">
        <v>18</v>
      </c>
      <c r="H98" s="5">
        <v>12</v>
      </c>
      <c r="I98" s="5">
        <v>500</v>
      </c>
      <c r="J98" s="5">
        <v>1276</v>
      </c>
      <c r="K98" s="6">
        <f t="shared" si="4"/>
        <v>6000</v>
      </c>
      <c r="L98" s="6">
        <f t="shared" si="5"/>
        <v>15312</v>
      </c>
      <c r="M98" s="6">
        <f t="shared" si="6"/>
        <v>9312</v>
      </c>
      <c r="N98" s="6" t="str">
        <f t="shared" si="7"/>
        <v>profit</v>
      </c>
    </row>
    <row r="99" spans="1:14" ht="15.6" thickTop="1" thickBot="1" x14ac:dyDescent="0.35">
      <c r="A99" s="4">
        <v>45552</v>
      </c>
      <c r="B99" s="4" t="s">
        <v>68</v>
      </c>
      <c r="C99" s="5" t="s">
        <v>80</v>
      </c>
      <c r="D99" s="5" t="s">
        <v>15</v>
      </c>
      <c r="E99" s="5" t="s">
        <v>36</v>
      </c>
      <c r="F99" s="5" t="s">
        <v>34</v>
      </c>
      <c r="G99" s="5" t="s">
        <v>18</v>
      </c>
      <c r="H99" s="5">
        <v>18</v>
      </c>
      <c r="I99" s="5">
        <v>602</v>
      </c>
      <c r="J99" s="5">
        <v>1401</v>
      </c>
      <c r="K99" s="6">
        <f t="shared" si="4"/>
        <v>10836</v>
      </c>
      <c r="L99" s="6">
        <f t="shared" si="5"/>
        <v>25218</v>
      </c>
      <c r="M99" s="6">
        <f t="shared" si="6"/>
        <v>14382</v>
      </c>
      <c r="N99" s="6" t="str">
        <f t="shared" si="7"/>
        <v>profit</v>
      </c>
    </row>
    <row r="100" spans="1:14" ht="15.6" thickTop="1" thickBot="1" x14ac:dyDescent="0.35">
      <c r="A100" s="4">
        <v>45553</v>
      </c>
      <c r="B100" s="4" t="s">
        <v>68</v>
      </c>
      <c r="C100" s="5" t="s">
        <v>81</v>
      </c>
      <c r="D100" s="5" t="s">
        <v>15</v>
      </c>
      <c r="E100" s="5" t="s">
        <v>36</v>
      </c>
      <c r="F100" s="5" t="s">
        <v>38</v>
      </c>
      <c r="G100" s="5" t="s">
        <v>18</v>
      </c>
      <c r="H100" s="5">
        <v>18</v>
      </c>
      <c r="I100" s="5">
        <v>629</v>
      </c>
      <c r="J100" s="5">
        <v>945</v>
      </c>
      <c r="K100" s="6">
        <f t="shared" si="4"/>
        <v>11322</v>
      </c>
      <c r="L100" s="6">
        <f t="shared" si="5"/>
        <v>17010</v>
      </c>
      <c r="M100" s="6">
        <f t="shared" si="6"/>
        <v>5688</v>
      </c>
      <c r="N100" s="6" t="str">
        <f t="shared" si="7"/>
        <v>profit</v>
      </c>
    </row>
    <row r="101" spans="1:14" ht="15.6" thickTop="1" thickBot="1" x14ac:dyDescent="0.35">
      <c r="A101" s="4">
        <v>45562</v>
      </c>
      <c r="B101" s="4" t="s">
        <v>68</v>
      </c>
      <c r="C101" s="5" t="s">
        <v>82</v>
      </c>
      <c r="D101" s="5" t="s">
        <v>15</v>
      </c>
      <c r="E101" s="5" t="s">
        <v>16</v>
      </c>
      <c r="F101" s="5" t="s">
        <v>34</v>
      </c>
      <c r="G101" s="5" t="s">
        <v>27</v>
      </c>
      <c r="H101" s="5">
        <v>17</v>
      </c>
      <c r="I101" s="5">
        <v>565</v>
      </c>
      <c r="J101" s="5">
        <v>1281</v>
      </c>
      <c r="K101" s="6">
        <f t="shared" si="4"/>
        <v>9605</v>
      </c>
      <c r="L101" s="6">
        <f t="shared" si="5"/>
        <v>21777</v>
      </c>
      <c r="M101" s="6">
        <f t="shared" si="6"/>
        <v>12172</v>
      </c>
      <c r="N101" s="6" t="str">
        <f t="shared" si="7"/>
        <v>profit</v>
      </c>
    </row>
    <row r="102" spans="1:14" ht="15.6" thickTop="1" thickBot="1" x14ac:dyDescent="0.35">
      <c r="A102" s="4">
        <v>45564</v>
      </c>
      <c r="B102" s="4" t="s">
        <v>68</v>
      </c>
      <c r="C102" s="5" t="s">
        <v>83</v>
      </c>
      <c r="D102" s="5" t="s">
        <v>15</v>
      </c>
      <c r="E102" s="5" t="s">
        <v>16</v>
      </c>
      <c r="F102" s="5" t="s">
        <v>38</v>
      </c>
      <c r="G102" s="5" t="s">
        <v>18</v>
      </c>
      <c r="H102" s="5">
        <v>10</v>
      </c>
      <c r="I102" s="5">
        <v>917</v>
      </c>
      <c r="J102" s="5">
        <v>1107</v>
      </c>
      <c r="K102" s="6">
        <f t="shared" si="4"/>
        <v>9170</v>
      </c>
      <c r="L102" s="6">
        <f t="shared" si="5"/>
        <v>11070</v>
      </c>
      <c r="M102" s="6">
        <f t="shared" si="6"/>
        <v>1900</v>
      </c>
      <c r="N102" s="6" t="str">
        <f t="shared" si="7"/>
        <v>profit</v>
      </c>
    </row>
    <row r="103" spans="1:14" ht="15.6" thickTop="1" thickBot="1" x14ac:dyDescent="0.35">
      <c r="A103" s="4">
        <v>45566</v>
      </c>
      <c r="B103" s="4" t="s">
        <v>84</v>
      </c>
      <c r="C103" s="5" t="s">
        <v>85</v>
      </c>
      <c r="D103" s="5" t="s">
        <v>15</v>
      </c>
      <c r="E103" s="5" t="s">
        <v>16</v>
      </c>
      <c r="F103" s="5" t="s">
        <v>63</v>
      </c>
      <c r="G103" s="5" t="s">
        <v>18</v>
      </c>
      <c r="H103" s="5">
        <v>18</v>
      </c>
      <c r="I103" s="5">
        <v>867</v>
      </c>
      <c r="J103" s="5">
        <v>875</v>
      </c>
      <c r="K103" s="6">
        <f t="shared" si="4"/>
        <v>15606</v>
      </c>
      <c r="L103" s="6">
        <f t="shared" si="5"/>
        <v>15750</v>
      </c>
      <c r="M103" s="6">
        <f t="shared" si="6"/>
        <v>144</v>
      </c>
      <c r="N103" s="6" t="str">
        <f t="shared" si="7"/>
        <v>profit</v>
      </c>
    </row>
    <row r="104" spans="1:14" ht="15.6" thickTop="1" thickBot="1" x14ac:dyDescent="0.35">
      <c r="A104" s="4">
        <v>45567</v>
      </c>
      <c r="B104" s="4" t="s">
        <v>84</v>
      </c>
      <c r="C104" s="5" t="s">
        <v>86</v>
      </c>
      <c r="D104" s="5" t="s">
        <v>15</v>
      </c>
      <c r="E104" s="5" t="s">
        <v>16</v>
      </c>
      <c r="F104" s="5" t="s">
        <v>59</v>
      </c>
      <c r="G104" s="5" t="s">
        <v>18</v>
      </c>
      <c r="H104" s="5">
        <v>10</v>
      </c>
      <c r="I104" s="5">
        <v>757</v>
      </c>
      <c r="J104" s="5">
        <v>885</v>
      </c>
      <c r="K104" s="6">
        <f t="shared" si="4"/>
        <v>7570</v>
      </c>
      <c r="L104" s="6">
        <f t="shared" si="5"/>
        <v>8850</v>
      </c>
      <c r="M104" s="6">
        <f t="shared" si="6"/>
        <v>1280</v>
      </c>
      <c r="N104" s="6" t="str">
        <f t="shared" si="7"/>
        <v>profit</v>
      </c>
    </row>
    <row r="105" spans="1:14" ht="15.6" thickTop="1" thickBot="1" x14ac:dyDescent="0.35">
      <c r="A105" s="4">
        <v>45568</v>
      </c>
      <c r="B105" s="4" t="s">
        <v>84</v>
      </c>
      <c r="C105" s="5" t="s">
        <v>87</v>
      </c>
      <c r="D105" s="5" t="s">
        <v>15</v>
      </c>
      <c r="E105" s="5" t="s">
        <v>16</v>
      </c>
      <c r="F105" s="5" t="s">
        <v>38</v>
      </c>
      <c r="G105" s="5" t="s">
        <v>18</v>
      </c>
      <c r="H105" s="5">
        <v>18</v>
      </c>
      <c r="I105" s="5">
        <v>668</v>
      </c>
      <c r="J105" s="5">
        <v>1366</v>
      </c>
      <c r="K105" s="6">
        <f t="shared" si="4"/>
        <v>12024</v>
      </c>
      <c r="L105" s="6">
        <f t="shared" si="5"/>
        <v>24588</v>
      </c>
      <c r="M105" s="6">
        <f t="shared" si="6"/>
        <v>12564</v>
      </c>
      <c r="N105" s="6" t="str">
        <f t="shared" si="7"/>
        <v>profit</v>
      </c>
    </row>
    <row r="106" spans="1:14" ht="15.6" thickTop="1" thickBot="1" x14ac:dyDescent="0.35">
      <c r="A106" s="4">
        <v>45580</v>
      </c>
      <c r="B106" s="4" t="s">
        <v>84</v>
      </c>
      <c r="C106" s="5" t="s">
        <v>88</v>
      </c>
      <c r="D106" s="5" t="s">
        <v>15</v>
      </c>
      <c r="E106" s="5" t="s">
        <v>36</v>
      </c>
      <c r="F106" s="5" t="s">
        <v>29</v>
      </c>
      <c r="G106" s="5" t="s">
        <v>27</v>
      </c>
      <c r="H106" s="5">
        <v>20</v>
      </c>
      <c r="I106" s="5">
        <v>882</v>
      </c>
      <c r="J106" s="5">
        <v>1193</v>
      </c>
      <c r="K106" s="6">
        <f t="shared" si="4"/>
        <v>17640</v>
      </c>
      <c r="L106" s="6">
        <f t="shared" si="5"/>
        <v>23860</v>
      </c>
      <c r="M106" s="6">
        <f t="shared" si="6"/>
        <v>6220</v>
      </c>
      <c r="N106" s="6" t="str">
        <f t="shared" si="7"/>
        <v>profit</v>
      </c>
    </row>
    <row r="107" spans="1:14" ht="15.6" thickTop="1" thickBot="1" x14ac:dyDescent="0.35">
      <c r="A107" s="4">
        <v>45488</v>
      </c>
      <c r="B107" s="4" t="s">
        <v>39</v>
      </c>
      <c r="C107" s="5" t="s">
        <v>116</v>
      </c>
      <c r="D107" s="5" t="s">
        <v>45</v>
      </c>
      <c r="E107" s="5" t="s">
        <v>117</v>
      </c>
      <c r="F107" s="5" t="s">
        <v>38</v>
      </c>
      <c r="G107" s="5" t="s">
        <v>18</v>
      </c>
      <c r="H107" s="5">
        <v>26</v>
      </c>
      <c r="I107" s="5">
        <v>627</v>
      </c>
      <c r="J107" s="5">
        <v>1416</v>
      </c>
      <c r="K107" s="6">
        <f t="shared" si="4"/>
        <v>16302</v>
      </c>
      <c r="L107" s="6">
        <f t="shared" si="5"/>
        <v>36816</v>
      </c>
      <c r="M107" s="6">
        <f t="shared" si="6"/>
        <v>20514</v>
      </c>
      <c r="N107" s="6" t="str">
        <f t="shared" si="7"/>
        <v>profit</v>
      </c>
    </row>
    <row r="108" spans="1:14" ht="15.6" thickTop="1" thickBot="1" x14ac:dyDescent="0.35">
      <c r="A108" s="4">
        <v>45581</v>
      </c>
      <c r="B108" s="4" t="s">
        <v>84</v>
      </c>
      <c r="C108" s="5" t="s">
        <v>89</v>
      </c>
      <c r="D108" s="5" t="s">
        <v>15</v>
      </c>
      <c r="E108" s="5" t="s">
        <v>36</v>
      </c>
      <c r="F108" s="5" t="s">
        <v>24</v>
      </c>
      <c r="G108" s="5" t="s">
        <v>27</v>
      </c>
      <c r="H108" s="5">
        <v>17</v>
      </c>
      <c r="I108" s="5">
        <v>739</v>
      </c>
      <c r="J108" s="5">
        <v>826</v>
      </c>
      <c r="K108" s="6">
        <f t="shared" si="4"/>
        <v>12563</v>
      </c>
      <c r="L108" s="6">
        <f t="shared" si="5"/>
        <v>14042</v>
      </c>
      <c r="M108" s="6">
        <f t="shared" si="6"/>
        <v>1479</v>
      </c>
      <c r="N108" s="6" t="str">
        <f t="shared" si="7"/>
        <v>profit</v>
      </c>
    </row>
    <row r="109" spans="1:14" ht="15.6" thickTop="1" thickBot="1" x14ac:dyDescent="0.35">
      <c r="A109" s="4">
        <v>45582</v>
      </c>
      <c r="B109" s="4" t="s">
        <v>84</v>
      </c>
      <c r="C109" s="5" t="s">
        <v>90</v>
      </c>
      <c r="D109" s="5" t="s">
        <v>15</v>
      </c>
      <c r="E109" s="5" t="s">
        <v>36</v>
      </c>
      <c r="F109" s="5" t="s">
        <v>75</v>
      </c>
      <c r="G109" s="5" t="s">
        <v>27</v>
      </c>
      <c r="H109" s="5">
        <v>15</v>
      </c>
      <c r="I109" s="5">
        <v>563</v>
      </c>
      <c r="J109" s="5">
        <v>1069</v>
      </c>
      <c r="K109" s="6">
        <f t="shared" si="4"/>
        <v>8445</v>
      </c>
      <c r="L109" s="6">
        <f t="shared" si="5"/>
        <v>16035</v>
      </c>
      <c r="M109" s="6">
        <f t="shared" si="6"/>
        <v>7590</v>
      </c>
      <c r="N109" s="6" t="str">
        <f t="shared" si="7"/>
        <v>profit</v>
      </c>
    </row>
    <row r="110" spans="1:14" ht="15.6" thickTop="1" thickBot="1" x14ac:dyDescent="0.35">
      <c r="A110" s="4">
        <v>45584</v>
      </c>
      <c r="B110" s="4" t="s">
        <v>84</v>
      </c>
      <c r="C110" s="5" t="s">
        <v>91</v>
      </c>
      <c r="D110" s="5" t="s">
        <v>15</v>
      </c>
      <c r="E110" s="5" t="s">
        <v>36</v>
      </c>
      <c r="F110" s="5" t="s">
        <v>34</v>
      </c>
      <c r="G110" s="5" t="s">
        <v>18</v>
      </c>
      <c r="H110" s="5">
        <v>15</v>
      </c>
      <c r="I110" s="5">
        <v>662</v>
      </c>
      <c r="J110" s="5">
        <v>1183</v>
      </c>
      <c r="K110" s="6">
        <f t="shared" si="4"/>
        <v>9930</v>
      </c>
      <c r="L110" s="6">
        <f t="shared" si="5"/>
        <v>17745</v>
      </c>
      <c r="M110" s="6">
        <f t="shared" si="6"/>
        <v>7815</v>
      </c>
      <c r="N110" s="6" t="str">
        <f t="shared" si="7"/>
        <v>profit</v>
      </c>
    </row>
    <row r="111" spans="1:14" ht="15.6" thickTop="1" thickBot="1" x14ac:dyDescent="0.35">
      <c r="A111" s="4">
        <v>45585</v>
      </c>
      <c r="B111" s="4" t="s">
        <v>84</v>
      </c>
      <c r="C111" s="5" t="s">
        <v>92</v>
      </c>
      <c r="D111" s="5" t="s">
        <v>15</v>
      </c>
      <c r="E111" s="5" t="s">
        <v>36</v>
      </c>
      <c r="F111" s="5" t="s">
        <v>38</v>
      </c>
      <c r="G111" s="5" t="s">
        <v>18</v>
      </c>
      <c r="H111" s="5">
        <v>16</v>
      </c>
      <c r="I111" s="5">
        <v>846</v>
      </c>
      <c r="J111" s="5">
        <v>1375</v>
      </c>
      <c r="K111" s="6">
        <f t="shared" si="4"/>
        <v>13536</v>
      </c>
      <c r="L111" s="6">
        <f t="shared" si="5"/>
        <v>22000</v>
      </c>
      <c r="M111" s="6">
        <f t="shared" si="6"/>
        <v>8464</v>
      </c>
      <c r="N111" s="6" t="str">
        <f t="shared" si="7"/>
        <v>profit</v>
      </c>
    </row>
    <row r="112" spans="1:14" ht="15.6" thickTop="1" thickBot="1" x14ac:dyDescent="0.35">
      <c r="A112" s="4">
        <v>45587</v>
      </c>
      <c r="B112" s="4" t="s">
        <v>84</v>
      </c>
      <c r="C112" s="5" t="s">
        <v>93</v>
      </c>
      <c r="D112" s="5" t="s">
        <v>15</v>
      </c>
      <c r="E112" s="5" t="s">
        <v>36</v>
      </c>
      <c r="F112" s="5" t="s">
        <v>63</v>
      </c>
      <c r="G112" s="5" t="s">
        <v>18</v>
      </c>
      <c r="H112" s="5">
        <v>14</v>
      </c>
      <c r="I112" s="5">
        <v>777</v>
      </c>
      <c r="J112" s="5">
        <v>1192</v>
      </c>
      <c r="K112" s="6">
        <f t="shared" si="4"/>
        <v>10878</v>
      </c>
      <c r="L112" s="6">
        <f t="shared" si="5"/>
        <v>16688</v>
      </c>
      <c r="M112" s="6">
        <f t="shared" si="6"/>
        <v>5810</v>
      </c>
      <c r="N112" s="6" t="str">
        <f t="shared" si="7"/>
        <v>profit</v>
      </c>
    </row>
    <row r="113" spans="1:14" ht="15.6" thickTop="1" thickBot="1" x14ac:dyDescent="0.35">
      <c r="A113" s="4">
        <v>45659</v>
      </c>
      <c r="B113" s="4" t="s">
        <v>94</v>
      </c>
      <c r="C113" s="5" t="s">
        <v>95</v>
      </c>
      <c r="D113" s="5" t="s">
        <v>15</v>
      </c>
      <c r="E113" s="5" t="s">
        <v>16</v>
      </c>
      <c r="F113" s="5" t="s">
        <v>24</v>
      </c>
      <c r="G113" s="5" t="s">
        <v>18</v>
      </c>
      <c r="H113" s="5">
        <v>16</v>
      </c>
      <c r="I113" s="5">
        <v>632</v>
      </c>
      <c r="J113" s="5">
        <v>835</v>
      </c>
      <c r="K113" s="6">
        <f t="shared" si="4"/>
        <v>10112</v>
      </c>
      <c r="L113" s="6">
        <f t="shared" si="5"/>
        <v>13360</v>
      </c>
      <c r="M113" s="6">
        <f t="shared" si="6"/>
        <v>3248</v>
      </c>
      <c r="N113" s="6" t="str">
        <f t="shared" si="7"/>
        <v>profit</v>
      </c>
    </row>
    <row r="114" spans="1:14" ht="15.6" thickTop="1" thickBot="1" x14ac:dyDescent="0.35">
      <c r="A114" s="4">
        <v>45661</v>
      </c>
      <c r="B114" s="4" t="s">
        <v>94</v>
      </c>
      <c r="C114" s="5" t="s">
        <v>99</v>
      </c>
      <c r="D114" s="5" t="s">
        <v>15</v>
      </c>
      <c r="E114" s="5" t="s">
        <v>16</v>
      </c>
      <c r="F114" s="5" t="s">
        <v>70</v>
      </c>
      <c r="G114" s="5" t="s">
        <v>18</v>
      </c>
      <c r="H114" s="5">
        <v>11</v>
      </c>
      <c r="I114" s="5">
        <v>731</v>
      </c>
      <c r="J114" s="5">
        <v>1311</v>
      </c>
      <c r="K114" s="6">
        <f t="shared" si="4"/>
        <v>8041</v>
      </c>
      <c r="L114" s="6">
        <f t="shared" si="5"/>
        <v>14421</v>
      </c>
      <c r="M114" s="6">
        <f t="shared" si="6"/>
        <v>6380</v>
      </c>
      <c r="N114" s="6" t="str">
        <f t="shared" si="7"/>
        <v>profit</v>
      </c>
    </row>
    <row r="115" spans="1:14" ht="15.6" thickTop="1" thickBot="1" x14ac:dyDescent="0.35">
      <c r="A115" s="4">
        <v>45663</v>
      </c>
      <c r="B115" s="4" t="s">
        <v>94</v>
      </c>
      <c r="C115" s="5" t="s">
        <v>100</v>
      </c>
      <c r="D115" s="5" t="s">
        <v>15</v>
      </c>
      <c r="E115" s="5" t="s">
        <v>16</v>
      </c>
      <c r="F115" s="5" t="s">
        <v>20</v>
      </c>
      <c r="G115" s="5" t="s">
        <v>18</v>
      </c>
      <c r="H115" s="5">
        <v>10</v>
      </c>
      <c r="I115" s="5">
        <v>774</v>
      </c>
      <c r="J115" s="5">
        <v>1472</v>
      </c>
      <c r="K115" s="6">
        <f t="shared" si="4"/>
        <v>7740</v>
      </c>
      <c r="L115" s="6">
        <f t="shared" si="5"/>
        <v>14720</v>
      </c>
      <c r="M115" s="6">
        <f t="shared" si="6"/>
        <v>6980</v>
      </c>
      <c r="N115" s="6" t="str">
        <f t="shared" si="7"/>
        <v>profit</v>
      </c>
    </row>
    <row r="116" spans="1:14" ht="15.6" thickTop="1" thickBot="1" x14ac:dyDescent="0.35">
      <c r="A116" s="4">
        <v>45665</v>
      </c>
      <c r="B116" s="4" t="s">
        <v>94</v>
      </c>
      <c r="C116" s="5" t="s">
        <v>101</v>
      </c>
      <c r="D116" s="5" t="s">
        <v>15</v>
      </c>
      <c r="E116" s="5" t="s">
        <v>16</v>
      </c>
      <c r="F116" s="5" t="s">
        <v>24</v>
      </c>
      <c r="G116" s="5" t="s">
        <v>27</v>
      </c>
      <c r="H116" s="5">
        <v>11</v>
      </c>
      <c r="I116" s="5">
        <v>986</v>
      </c>
      <c r="J116" s="5">
        <v>1228</v>
      </c>
      <c r="K116" s="6">
        <f t="shared" si="4"/>
        <v>10846</v>
      </c>
      <c r="L116" s="6">
        <f t="shared" si="5"/>
        <v>13508</v>
      </c>
      <c r="M116" s="6">
        <f t="shared" si="6"/>
        <v>2662</v>
      </c>
      <c r="N116" s="6" t="str">
        <f t="shared" si="7"/>
        <v>profit</v>
      </c>
    </row>
    <row r="117" spans="1:14" ht="15.6" thickTop="1" thickBot="1" x14ac:dyDescent="0.35">
      <c r="A117" s="4">
        <v>45678</v>
      </c>
      <c r="B117" s="4" t="s">
        <v>94</v>
      </c>
      <c r="C117" s="5" t="s">
        <v>102</v>
      </c>
      <c r="D117" s="5" t="s">
        <v>15</v>
      </c>
      <c r="E117" s="5" t="s">
        <v>36</v>
      </c>
      <c r="F117" s="5" t="s">
        <v>17</v>
      </c>
      <c r="G117" s="5" t="s">
        <v>18</v>
      </c>
      <c r="H117" s="5">
        <v>11</v>
      </c>
      <c r="I117" s="5">
        <v>519</v>
      </c>
      <c r="J117" s="5">
        <v>1143</v>
      </c>
      <c r="K117" s="6">
        <f t="shared" si="4"/>
        <v>5709</v>
      </c>
      <c r="L117" s="6">
        <f t="shared" si="5"/>
        <v>12573</v>
      </c>
      <c r="M117" s="6">
        <f t="shared" si="6"/>
        <v>6864</v>
      </c>
      <c r="N117" s="6" t="str">
        <f t="shared" si="7"/>
        <v>profit</v>
      </c>
    </row>
    <row r="118" spans="1:14" ht="15.6" thickTop="1" thickBot="1" x14ac:dyDescent="0.35">
      <c r="A118" s="4">
        <v>45679</v>
      </c>
      <c r="B118" s="4" t="s">
        <v>94</v>
      </c>
      <c r="C118" s="5" t="s">
        <v>103</v>
      </c>
      <c r="D118" s="5" t="s">
        <v>15</v>
      </c>
      <c r="E118" s="5" t="s">
        <v>36</v>
      </c>
      <c r="F118" s="5" t="s">
        <v>20</v>
      </c>
      <c r="G118" s="5" t="s">
        <v>18</v>
      </c>
      <c r="H118" s="5">
        <v>20</v>
      </c>
      <c r="I118" s="5">
        <v>597</v>
      </c>
      <c r="J118" s="5">
        <v>1175</v>
      </c>
      <c r="K118" s="6">
        <f t="shared" si="4"/>
        <v>11940</v>
      </c>
      <c r="L118" s="6">
        <f t="shared" si="5"/>
        <v>23500</v>
      </c>
      <c r="M118" s="6">
        <f t="shared" si="6"/>
        <v>11560</v>
      </c>
      <c r="N118" s="6" t="str">
        <f t="shared" si="7"/>
        <v>profit</v>
      </c>
    </row>
    <row r="119" spans="1:14" ht="15.6" thickTop="1" thickBot="1" x14ac:dyDescent="0.35">
      <c r="A119" s="4">
        <v>45680</v>
      </c>
      <c r="B119" s="4" t="s">
        <v>94</v>
      </c>
      <c r="C119" s="5" t="s">
        <v>104</v>
      </c>
      <c r="D119" s="5" t="s">
        <v>15</v>
      </c>
      <c r="E119" s="5" t="s">
        <v>36</v>
      </c>
      <c r="F119" s="5" t="s">
        <v>22</v>
      </c>
      <c r="G119" s="5" t="s">
        <v>18</v>
      </c>
      <c r="H119" s="5">
        <v>18</v>
      </c>
      <c r="I119" s="5">
        <v>632</v>
      </c>
      <c r="J119" s="5">
        <v>1384</v>
      </c>
      <c r="K119" s="6">
        <f t="shared" si="4"/>
        <v>11376</v>
      </c>
      <c r="L119" s="6">
        <f t="shared" si="5"/>
        <v>24912</v>
      </c>
      <c r="M119" s="6">
        <f t="shared" si="6"/>
        <v>13536</v>
      </c>
      <c r="N119" s="6" t="str">
        <f t="shared" si="7"/>
        <v>profit</v>
      </c>
    </row>
    <row r="120" spans="1:14" ht="15.6" thickTop="1" thickBot="1" x14ac:dyDescent="0.35">
      <c r="A120" s="4">
        <v>45681</v>
      </c>
      <c r="B120" s="4" t="s">
        <v>94</v>
      </c>
      <c r="C120" s="5" t="s">
        <v>105</v>
      </c>
      <c r="D120" s="5" t="s">
        <v>15</v>
      </c>
      <c r="E120" s="5" t="s">
        <v>36</v>
      </c>
      <c r="F120" s="5" t="s">
        <v>24</v>
      </c>
      <c r="G120" s="5" t="s">
        <v>18</v>
      </c>
      <c r="H120" s="5">
        <v>17</v>
      </c>
      <c r="I120" s="5">
        <v>649</v>
      </c>
      <c r="J120" s="5">
        <v>1392</v>
      </c>
      <c r="K120" s="6">
        <f t="shared" si="4"/>
        <v>11033</v>
      </c>
      <c r="L120" s="6">
        <f t="shared" si="5"/>
        <v>23664</v>
      </c>
      <c r="M120" s="6">
        <f t="shared" si="6"/>
        <v>12631</v>
      </c>
      <c r="N120" s="6" t="str">
        <f t="shared" si="7"/>
        <v>profit</v>
      </c>
    </row>
    <row r="121" spans="1:14" ht="15.6" thickTop="1" thickBot="1" x14ac:dyDescent="0.35">
      <c r="A121" s="4">
        <v>45682</v>
      </c>
      <c r="B121" s="4" t="s">
        <v>94</v>
      </c>
      <c r="C121" s="5" t="s">
        <v>106</v>
      </c>
      <c r="D121" s="5" t="s">
        <v>15</v>
      </c>
      <c r="E121" s="5" t="s">
        <v>36</v>
      </c>
      <c r="F121" s="5" t="s">
        <v>24</v>
      </c>
      <c r="G121" s="5" t="s">
        <v>18</v>
      </c>
      <c r="H121" s="5">
        <v>18</v>
      </c>
      <c r="I121" s="5">
        <v>587</v>
      </c>
      <c r="J121" s="5">
        <v>905</v>
      </c>
      <c r="K121" s="6">
        <f t="shared" si="4"/>
        <v>10566</v>
      </c>
      <c r="L121" s="6">
        <f t="shared" si="5"/>
        <v>16290</v>
      </c>
      <c r="M121" s="6">
        <f t="shared" si="6"/>
        <v>5724</v>
      </c>
      <c r="N121" s="6" t="str">
        <f t="shared" si="7"/>
        <v>profit</v>
      </c>
    </row>
    <row r="122" spans="1:14" ht="15.6" thickTop="1" thickBot="1" x14ac:dyDescent="0.35">
      <c r="A122" s="4">
        <v>45684</v>
      </c>
      <c r="B122" s="4" t="s">
        <v>94</v>
      </c>
      <c r="C122" s="5" t="s">
        <v>108</v>
      </c>
      <c r="D122" s="5" t="s">
        <v>15</v>
      </c>
      <c r="E122" s="5" t="s">
        <v>36</v>
      </c>
      <c r="F122" s="5" t="s">
        <v>29</v>
      </c>
      <c r="G122" s="5" t="s">
        <v>27</v>
      </c>
      <c r="H122" s="5">
        <v>19</v>
      </c>
      <c r="I122" s="5">
        <v>701</v>
      </c>
      <c r="J122" s="5">
        <v>1136</v>
      </c>
      <c r="K122" s="6">
        <f t="shared" si="4"/>
        <v>13319</v>
      </c>
      <c r="L122" s="6">
        <f t="shared" si="5"/>
        <v>21584</v>
      </c>
      <c r="M122" s="6">
        <f t="shared" si="6"/>
        <v>8265</v>
      </c>
      <c r="N122" s="6" t="str">
        <f t="shared" si="7"/>
        <v>profit</v>
      </c>
    </row>
    <row r="123" spans="1:14" ht="15.6" thickTop="1" thickBot="1" x14ac:dyDescent="0.35">
      <c r="A123" s="4">
        <v>45685</v>
      </c>
      <c r="B123" s="4" t="s">
        <v>94</v>
      </c>
      <c r="C123" s="5" t="s">
        <v>109</v>
      </c>
      <c r="D123" s="5" t="s">
        <v>15</v>
      </c>
      <c r="E123" s="5" t="s">
        <v>36</v>
      </c>
      <c r="F123" s="5" t="s">
        <v>24</v>
      </c>
      <c r="G123" s="5" t="s">
        <v>27</v>
      </c>
      <c r="H123" s="5">
        <v>19</v>
      </c>
      <c r="I123" s="5">
        <v>972</v>
      </c>
      <c r="J123" s="5">
        <v>1314</v>
      </c>
      <c r="K123" s="6">
        <f t="shared" si="4"/>
        <v>18468</v>
      </c>
      <c r="L123" s="6">
        <f t="shared" si="5"/>
        <v>24966</v>
      </c>
      <c r="M123" s="6">
        <f t="shared" si="6"/>
        <v>6498</v>
      </c>
      <c r="N123" s="6" t="str">
        <f t="shared" si="7"/>
        <v>profit</v>
      </c>
    </row>
    <row r="124" spans="1:14" ht="15.6" thickTop="1" thickBot="1" x14ac:dyDescent="0.35">
      <c r="A124" s="4">
        <v>45686</v>
      </c>
      <c r="B124" s="4" t="s">
        <v>94</v>
      </c>
      <c r="C124" s="5" t="s">
        <v>110</v>
      </c>
      <c r="D124" s="5" t="s">
        <v>15</v>
      </c>
      <c r="E124" s="5" t="s">
        <v>36</v>
      </c>
      <c r="F124" s="5" t="s">
        <v>38</v>
      </c>
      <c r="G124" s="5" t="s">
        <v>27</v>
      </c>
      <c r="H124" s="5">
        <v>13</v>
      </c>
      <c r="I124" s="5">
        <v>615</v>
      </c>
      <c r="J124" s="5">
        <v>1010</v>
      </c>
      <c r="K124" s="6">
        <f t="shared" si="4"/>
        <v>7995</v>
      </c>
      <c r="L124" s="6">
        <f t="shared" si="5"/>
        <v>13130</v>
      </c>
      <c r="M124" s="6">
        <f t="shared" si="6"/>
        <v>5135</v>
      </c>
      <c r="N124" s="6" t="str">
        <f t="shared" si="7"/>
        <v>profit</v>
      </c>
    </row>
    <row r="125" spans="1:14" ht="15.6" thickTop="1" thickBot="1" x14ac:dyDescent="0.35">
      <c r="A125" s="4">
        <v>45688</v>
      </c>
      <c r="B125" s="4" t="s">
        <v>94</v>
      </c>
      <c r="C125" s="5" t="s">
        <v>111</v>
      </c>
      <c r="D125" s="5" t="s">
        <v>15</v>
      </c>
      <c r="E125" s="5" t="s">
        <v>36</v>
      </c>
      <c r="F125" s="5" t="s">
        <v>112</v>
      </c>
      <c r="G125" s="5" t="s">
        <v>27</v>
      </c>
      <c r="H125" s="5">
        <v>19</v>
      </c>
      <c r="I125" s="5">
        <v>864</v>
      </c>
      <c r="J125" s="5">
        <v>1147</v>
      </c>
      <c r="K125" s="6">
        <f t="shared" si="4"/>
        <v>16416</v>
      </c>
      <c r="L125" s="6">
        <f t="shared" si="5"/>
        <v>21793</v>
      </c>
      <c r="M125" s="6">
        <f t="shared" si="6"/>
        <v>5377</v>
      </c>
      <c r="N125" s="6" t="str">
        <f t="shared" si="7"/>
        <v>profit</v>
      </c>
    </row>
    <row r="126" spans="1:14" ht="15.6" thickTop="1" thickBot="1" x14ac:dyDescent="0.35">
      <c r="A126" s="4">
        <v>45507</v>
      </c>
      <c r="B126" s="4" t="s">
        <v>56</v>
      </c>
      <c r="C126" s="5" t="s">
        <v>118</v>
      </c>
      <c r="D126" s="5" t="s">
        <v>32</v>
      </c>
      <c r="E126" s="5" t="s">
        <v>119</v>
      </c>
      <c r="F126" s="5" t="s">
        <v>75</v>
      </c>
      <c r="G126" s="5" t="s">
        <v>27</v>
      </c>
      <c r="H126" s="5">
        <v>86</v>
      </c>
      <c r="I126" s="5">
        <v>540</v>
      </c>
      <c r="J126" s="5">
        <v>1460</v>
      </c>
      <c r="K126" s="6">
        <f t="shared" si="4"/>
        <v>46440</v>
      </c>
      <c r="L126" s="6">
        <f t="shared" si="5"/>
        <v>125560</v>
      </c>
      <c r="M126" s="6">
        <f t="shared" si="6"/>
        <v>79120</v>
      </c>
      <c r="N126" s="6" t="str">
        <f t="shared" si="7"/>
        <v>profit</v>
      </c>
    </row>
    <row r="127" spans="1:14" ht="15.6" thickTop="1" thickBot="1" x14ac:dyDescent="0.35">
      <c r="A127" s="4">
        <v>45454</v>
      </c>
      <c r="B127" s="4" t="s">
        <v>13</v>
      </c>
      <c r="C127" s="5" t="s">
        <v>14</v>
      </c>
      <c r="D127" s="5" t="s">
        <v>15</v>
      </c>
      <c r="E127" s="5" t="s">
        <v>16</v>
      </c>
      <c r="F127" s="5" t="s">
        <v>17</v>
      </c>
      <c r="G127" s="5" t="s">
        <v>18</v>
      </c>
      <c r="H127" s="5">
        <v>13</v>
      </c>
      <c r="I127" s="5">
        <v>643</v>
      </c>
      <c r="J127" s="5">
        <v>1432</v>
      </c>
      <c r="K127" s="6">
        <f t="shared" si="4"/>
        <v>8359</v>
      </c>
      <c r="L127" s="6">
        <f t="shared" si="5"/>
        <v>18616</v>
      </c>
      <c r="M127" s="6">
        <f t="shared" si="6"/>
        <v>10257</v>
      </c>
      <c r="N127" s="6" t="str">
        <f t="shared" si="7"/>
        <v>profit</v>
      </c>
    </row>
    <row r="128" spans="1:14" ht="15.6" thickTop="1" thickBot="1" x14ac:dyDescent="0.35">
      <c r="A128" s="4">
        <v>45455</v>
      </c>
      <c r="B128" s="4" t="s">
        <v>13</v>
      </c>
      <c r="C128" s="5" t="s">
        <v>19</v>
      </c>
      <c r="D128" s="5" t="s">
        <v>15</v>
      </c>
      <c r="E128" s="5" t="s">
        <v>16</v>
      </c>
      <c r="F128" s="5" t="s">
        <v>20</v>
      </c>
      <c r="G128" s="5" t="s">
        <v>18</v>
      </c>
      <c r="H128" s="5">
        <v>16</v>
      </c>
      <c r="I128" s="5">
        <v>848</v>
      </c>
      <c r="J128" s="5">
        <v>1211</v>
      </c>
      <c r="K128" s="6">
        <f t="shared" si="4"/>
        <v>13568</v>
      </c>
      <c r="L128" s="6">
        <f t="shared" si="5"/>
        <v>19376</v>
      </c>
      <c r="M128" s="6">
        <f t="shared" si="6"/>
        <v>5808</v>
      </c>
      <c r="N128" s="6" t="str">
        <f t="shared" si="7"/>
        <v>profit</v>
      </c>
    </row>
    <row r="129" spans="1:14" ht="15.6" thickTop="1" thickBot="1" x14ac:dyDescent="0.35">
      <c r="A129" s="4">
        <v>45456</v>
      </c>
      <c r="B129" s="4" t="s">
        <v>13</v>
      </c>
      <c r="C129" s="5" t="s">
        <v>21</v>
      </c>
      <c r="D129" s="5" t="s">
        <v>15</v>
      </c>
      <c r="E129" s="5" t="s">
        <v>16</v>
      </c>
      <c r="F129" s="5" t="s">
        <v>22</v>
      </c>
      <c r="G129" s="5" t="s">
        <v>18</v>
      </c>
      <c r="H129" s="5">
        <v>19</v>
      </c>
      <c r="I129" s="5">
        <v>982</v>
      </c>
      <c r="J129" s="5">
        <v>1457</v>
      </c>
      <c r="K129" s="6">
        <f t="shared" si="4"/>
        <v>18658</v>
      </c>
      <c r="L129" s="6">
        <f t="shared" si="5"/>
        <v>27683</v>
      </c>
      <c r="M129" s="6">
        <f t="shared" si="6"/>
        <v>9025</v>
      </c>
      <c r="N129" s="6" t="str">
        <f t="shared" si="7"/>
        <v>profit</v>
      </c>
    </row>
    <row r="130" spans="1:14" ht="15.6" thickTop="1" thickBot="1" x14ac:dyDescent="0.35">
      <c r="A130" s="4">
        <v>45457</v>
      </c>
      <c r="B130" s="4" t="s">
        <v>13</v>
      </c>
      <c r="C130" s="5" t="s">
        <v>23</v>
      </c>
      <c r="D130" s="5" t="s">
        <v>15</v>
      </c>
      <c r="E130" s="5" t="s">
        <v>16</v>
      </c>
      <c r="F130" s="5" t="s">
        <v>24</v>
      </c>
      <c r="G130" s="5" t="s">
        <v>18</v>
      </c>
      <c r="H130" s="5">
        <v>19</v>
      </c>
      <c r="I130" s="5">
        <v>918</v>
      </c>
      <c r="J130" s="5">
        <v>864</v>
      </c>
      <c r="K130" s="6">
        <f t="shared" ref="K130:K193" si="8">H130*I130</f>
        <v>17442</v>
      </c>
      <c r="L130" s="6">
        <f t="shared" ref="L130:L193" si="9">H130*J130</f>
        <v>16416</v>
      </c>
      <c r="M130" s="6">
        <f t="shared" ref="M130:M193" si="10">L130-K130</f>
        <v>-1026</v>
      </c>
      <c r="N130" s="6" t="str">
        <f t="shared" ref="N130:N193" si="11">IF(M130&gt;0,"profit","loss")</f>
        <v>loss</v>
      </c>
    </row>
    <row r="131" spans="1:14" ht="15.6" thickTop="1" thickBot="1" x14ac:dyDescent="0.35">
      <c r="A131" s="4">
        <v>45512</v>
      </c>
      <c r="B131" s="4" t="s">
        <v>56</v>
      </c>
      <c r="C131" s="5" t="s">
        <v>120</v>
      </c>
      <c r="D131" s="5" t="s">
        <v>15</v>
      </c>
      <c r="E131" s="5" t="s">
        <v>36</v>
      </c>
      <c r="F131" s="5" t="s">
        <v>34</v>
      </c>
      <c r="G131" s="5" t="s">
        <v>18</v>
      </c>
      <c r="H131" s="5">
        <v>10</v>
      </c>
      <c r="I131" s="5">
        <v>863</v>
      </c>
      <c r="J131" s="5">
        <v>1386</v>
      </c>
      <c r="K131" s="6">
        <f t="shared" si="8"/>
        <v>8630</v>
      </c>
      <c r="L131" s="6">
        <f t="shared" si="9"/>
        <v>13860</v>
      </c>
      <c r="M131" s="6">
        <f t="shared" si="10"/>
        <v>5230</v>
      </c>
      <c r="N131" s="6" t="str">
        <f t="shared" si="11"/>
        <v>profit</v>
      </c>
    </row>
    <row r="132" spans="1:14" ht="15.6" thickTop="1" thickBot="1" x14ac:dyDescent="0.35">
      <c r="A132" s="4">
        <v>45459</v>
      </c>
      <c r="B132" s="4" t="s">
        <v>13</v>
      </c>
      <c r="C132" s="5" t="s">
        <v>25</v>
      </c>
      <c r="D132" s="5" t="s">
        <v>15</v>
      </c>
      <c r="E132" s="5" t="s">
        <v>16</v>
      </c>
      <c r="F132" s="5" t="s">
        <v>26</v>
      </c>
      <c r="G132" s="5" t="s">
        <v>27</v>
      </c>
      <c r="H132" s="5">
        <v>17</v>
      </c>
      <c r="I132" s="5">
        <v>787</v>
      </c>
      <c r="J132" s="5">
        <v>1108</v>
      </c>
      <c r="K132" s="6">
        <f t="shared" si="8"/>
        <v>13379</v>
      </c>
      <c r="L132" s="6">
        <f t="shared" si="9"/>
        <v>18836</v>
      </c>
      <c r="M132" s="6">
        <f t="shared" si="10"/>
        <v>5457</v>
      </c>
      <c r="N132" s="6" t="str">
        <f t="shared" si="11"/>
        <v>profit</v>
      </c>
    </row>
    <row r="133" spans="1:14" ht="15.6" thickTop="1" thickBot="1" x14ac:dyDescent="0.35">
      <c r="A133" s="4">
        <v>45460</v>
      </c>
      <c r="B133" s="4" t="s">
        <v>13</v>
      </c>
      <c r="C133" s="5" t="s">
        <v>28</v>
      </c>
      <c r="D133" s="5" t="s">
        <v>15</v>
      </c>
      <c r="E133" s="5" t="s">
        <v>16</v>
      </c>
      <c r="F133" s="5" t="s">
        <v>29</v>
      </c>
      <c r="G133" s="5" t="s">
        <v>27</v>
      </c>
      <c r="H133" s="5">
        <v>15</v>
      </c>
      <c r="I133" s="5">
        <v>545</v>
      </c>
      <c r="J133" s="5">
        <v>1182</v>
      </c>
      <c r="K133" s="6">
        <f t="shared" si="8"/>
        <v>8175</v>
      </c>
      <c r="L133" s="6">
        <f t="shared" si="9"/>
        <v>17730</v>
      </c>
      <c r="M133" s="6">
        <f t="shared" si="10"/>
        <v>9555</v>
      </c>
      <c r="N133" s="6" t="str">
        <f t="shared" si="11"/>
        <v>profit</v>
      </c>
    </row>
    <row r="134" spans="1:14" ht="15.6" thickTop="1" thickBot="1" x14ac:dyDescent="0.35">
      <c r="A134" s="4">
        <v>45472</v>
      </c>
      <c r="B134" s="4" t="s">
        <v>13</v>
      </c>
      <c r="C134" s="5" t="s">
        <v>35</v>
      </c>
      <c r="D134" s="5" t="s">
        <v>15</v>
      </c>
      <c r="E134" s="5" t="s">
        <v>36</v>
      </c>
      <c r="F134" s="5" t="s">
        <v>34</v>
      </c>
      <c r="G134" s="5" t="s">
        <v>18</v>
      </c>
      <c r="H134" s="5">
        <v>11</v>
      </c>
      <c r="I134" s="5">
        <v>616</v>
      </c>
      <c r="J134" s="5">
        <v>1015</v>
      </c>
      <c r="K134" s="6">
        <f t="shared" si="8"/>
        <v>6776</v>
      </c>
      <c r="L134" s="6">
        <f t="shared" si="9"/>
        <v>11165</v>
      </c>
      <c r="M134" s="6">
        <f t="shared" si="10"/>
        <v>4389</v>
      </c>
      <c r="N134" s="6" t="str">
        <f t="shared" si="11"/>
        <v>profit</v>
      </c>
    </row>
    <row r="135" spans="1:14" ht="15.6" thickTop="1" thickBot="1" x14ac:dyDescent="0.35">
      <c r="A135" s="4">
        <v>45473</v>
      </c>
      <c r="B135" s="4" t="s">
        <v>13</v>
      </c>
      <c r="C135" s="5" t="s">
        <v>37</v>
      </c>
      <c r="D135" s="5" t="s">
        <v>15</v>
      </c>
      <c r="E135" s="5" t="s">
        <v>36</v>
      </c>
      <c r="F135" s="5" t="s">
        <v>38</v>
      </c>
      <c r="G135" s="5" t="s">
        <v>18</v>
      </c>
      <c r="H135" s="5">
        <v>16</v>
      </c>
      <c r="I135" s="5">
        <v>911</v>
      </c>
      <c r="J135" s="5">
        <v>1299</v>
      </c>
      <c r="K135" s="6">
        <f t="shared" si="8"/>
        <v>14576</v>
      </c>
      <c r="L135" s="6">
        <f t="shared" si="9"/>
        <v>20784</v>
      </c>
      <c r="M135" s="6">
        <f t="shared" si="10"/>
        <v>6208</v>
      </c>
      <c r="N135" s="6" t="str">
        <f t="shared" si="11"/>
        <v>profit</v>
      </c>
    </row>
    <row r="136" spans="1:14" ht="15.6" thickTop="1" thickBot="1" x14ac:dyDescent="0.35">
      <c r="A136" s="4">
        <v>45474</v>
      </c>
      <c r="B136" s="4" t="s">
        <v>39</v>
      </c>
      <c r="C136" s="5" t="s">
        <v>40</v>
      </c>
      <c r="D136" s="5" t="s">
        <v>15</v>
      </c>
      <c r="E136" s="5" t="s">
        <v>36</v>
      </c>
      <c r="F136" s="5" t="s">
        <v>38</v>
      </c>
      <c r="G136" s="5" t="s">
        <v>18</v>
      </c>
      <c r="H136" s="5">
        <v>19</v>
      </c>
      <c r="I136" s="5">
        <v>816</v>
      </c>
      <c r="J136" s="5">
        <v>1285</v>
      </c>
      <c r="K136" s="6">
        <f t="shared" si="8"/>
        <v>15504</v>
      </c>
      <c r="L136" s="6">
        <f t="shared" si="9"/>
        <v>24415</v>
      </c>
      <c r="M136" s="6">
        <f t="shared" si="10"/>
        <v>8911</v>
      </c>
      <c r="N136" s="6" t="str">
        <f t="shared" si="11"/>
        <v>profit</v>
      </c>
    </row>
    <row r="137" spans="1:14" ht="15.6" thickTop="1" thickBot="1" x14ac:dyDescent="0.35">
      <c r="A137" s="4">
        <v>45476</v>
      </c>
      <c r="B137" s="4" t="s">
        <v>39</v>
      </c>
      <c r="C137" s="5" t="s">
        <v>41</v>
      </c>
      <c r="D137" s="5" t="s">
        <v>15</v>
      </c>
      <c r="E137" s="5" t="s">
        <v>36</v>
      </c>
      <c r="F137" s="5" t="s">
        <v>26</v>
      </c>
      <c r="G137" s="5" t="s">
        <v>18</v>
      </c>
      <c r="H137" s="5">
        <v>16</v>
      </c>
      <c r="I137" s="5">
        <v>693</v>
      </c>
      <c r="J137" s="5">
        <v>1042</v>
      </c>
      <c r="K137" s="6">
        <f t="shared" si="8"/>
        <v>11088</v>
      </c>
      <c r="L137" s="6">
        <f t="shared" si="9"/>
        <v>16672</v>
      </c>
      <c r="M137" s="6">
        <f t="shared" si="10"/>
        <v>5584</v>
      </c>
      <c r="N137" s="6" t="str">
        <f t="shared" si="11"/>
        <v>profit</v>
      </c>
    </row>
    <row r="138" spans="1:14" ht="15.6" thickTop="1" thickBot="1" x14ac:dyDescent="0.35">
      <c r="A138" s="4">
        <v>45477</v>
      </c>
      <c r="B138" s="4" t="s">
        <v>39</v>
      </c>
      <c r="C138" s="5" t="s">
        <v>42</v>
      </c>
      <c r="D138" s="5" t="s">
        <v>15</v>
      </c>
      <c r="E138" s="5" t="s">
        <v>36</v>
      </c>
      <c r="F138" s="5" t="s">
        <v>43</v>
      </c>
      <c r="G138" s="5" t="s">
        <v>18</v>
      </c>
      <c r="H138" s="5">
        <v>14</v>
      </c>
      <c r="I138" s="5">
        <v>965</v>
      </c>
      <c r="J138" s="5">
        <v>1212</v>
      </c>
      <c r="K138" s="6">
        <f t="shared" si="8"/>
        <v>13510</v>
      </c>
      <c r="L138" s="6">
        <f t="shared" si="9"/>
        <v>16968</v>
      </c>
      <c r="M138" s="6">
        <f t="shared" si="10"/>
        <v>3458</v>
      </c>
      <c r="N138" s="6" t="str">
        <f t="shared" si="11"/>
        <v>profit</v>
      </c>
    </row>
    <row r="139" spans="1:14" ht="15.6" thickTop="1" thickBot="1" x14ac:dyDescent="0.35">
      <c r="A139" s="4">
        <v>45520</v>
      </c>
      <c r="B139" s="4" t="s">
        <v>56</v>
      </c>
      <c r="C139" s="5" t="s">
        <v>121</v>
      </c>
      <c r="D139" s="5" t="s">
        <v>45</v>
      </c>
      <c r="E139" s="5" t="s">
        <v>117</v>
      </c>
      <c r="F139" s="5" t="s">
        <v>51</v>
      </c>
      <c r="G139" s="5" t="s">
        <v>27</v>
      </c>
      <c r="H139" s="5">
        <v>26</v>
      </c>
      <c r="I139" s="5">
        <v>715</v>
      </c>
      <c r="J139" s="5">
        <v>840</v>
      </c>
      <c r="K139" s="6">
        <f t="shared" si="8"/>
        <v>18590</v>
      </c>
      <c r="L139" s="6">
        <f t="shared" si="9"/>
        <v>21840</v>
      </c>
      <c r="M139" s="6">
        <f t="shared" si="10"/>
        <v>3250</v>
      </c>
      <c r="N139" s="6" t="str">
        <f t="shared" si="11"/>
        <v>profit</v>
      </c>
    </row>
    <row r="140" spans="1:14" ht="15.6" thickTop="1" thickBot="1" x14ac:dyDescent="0.35">
      <c r="A140" s="4">
        <v>45478</v>
      </c>
      <c r="B140" s="4" t="s">
        <v>39</v>
      </c>
      <c r="C140" s="5" t="s">
        <v>47</v>
      </c>
      <c r="D140" s="5" t="s">
        <v>15</v>
      </c>
      <c r="E140" s="5" t="s">
        <v>36</v>
      </c>
      <c r="F140" s="5" t="s">
        <v>48</v>
      </c>
      <c r="G140" s="5" t="s">
        <v>18</v>
      </c>
      <c r="H140" s="5">
        <v>20</v>
      </c>
      <c r="I140" s="5">
        <v>960</v>
      </c>
      <c r="J140" s="5">
        <v>1170</v>
      </c>
      <c r="K140" s="6">
        <f t="shared" si="8"/>
        <v>19200</v>
      </c>
      <c r="L140" s="6">
        <f t="shared" si="9"/>
        <v>23400</v>
      </c>
      <c r="M140" s="6">
        <f t="shared" si="10"/>
        <v>4200</v>
      </c>
      <c r="N140" s="6" t="str">
        <f t="shared" si="11"/>
        <v>profit</v>
      </c>
    </row>
    <row r="141" spans="1:14" ht="15.6" thickTop="1" thickBot="1" x14ac:dyDescent="0.35">
      <c r="A141" s="4">
        <v>45479</v>
      </c>
      <c r="B141" s="4" t="s">
        <v>39</v>
      </c>
      <c r="C141" s="5" t="s">
        <v>49</v>
      </c>
      <c r="D141" s="5" t="s">
        <v>15</v>
      </c>
      <c r="E141" s="5" t="s">
        <v>36</v>
      </c>
      <c r="F141" s="5" t="s">
        <v>26</v>
      </c>
      <c r="G141" s="5" t="s">
        <v>27</v>
      </c>
      <c r="H141" s="5">
        <v>16</v>
      </c>
      <c r="I141" s="5">
        <v>734</v>
      </c>
      <c r="J141" s="5">
        <v>1330</v>
      </c>
      <c r="K141" s="6">
        <f t="shared" si="8"/>
        <v>11744</v>
      </c>
      <c r="L141" s="6">
        <f t="shared" si="9"/>
        <v>21280</v>
      </c>
      <c r="M141" s="6">
        <f t="shared" si="10"/>
        <v>9536</v>
      </c>
      <c r="N141" s="6" t="str">
        <f t="shared" si="11"/>
        <v>profit</v>
      </c>
    </row>
    <row r="142" spans="1:14" ht="15.6" thickTop="1" thickBot="1" x14ac:dyDescent="0.35">
      <c r="A142" s="4">
        <v>45480</v>
      </c>
      <c r="B142" s="4" t="s">
        <v>39</v>
      </c>
      <c r="C142" s="5" t="s">
        <v>50</v>
      </c>
      <c r="D142" s="5" t="s">
        <v>15</v>
      </c>
      <c r="E142" s="5" t="s">
        <v>36</v>
      </c>
      <c r="F142" s="5" t="s">
        <v>51</v>
      </c>
      <c r="G142" s="5" t="s">
        <v>27</v>
      </c>
      <c r="H142" s="5">
        <v>16</v>
      </c>
      <c r="I142" s="5">
        <v>673</v>
      </c>
      <c r="J142" s="5">
        <v>1233</v>
      </c>
      <c r="K142" s="6">
        <f t="shared" si="8"/>
        <v>10768</v>
      </c>
      <c r="L142" s="6">
        <f t="shared" si="9"/>
        <v>19728</v>
      </c>
      <c r="M142" s="6">
        <f t="shared" si="10"/>
        <v>8960</v>
      </c>
      <c r="N142" s="6" t="str">
        <f t="shared" si="11"/>
        <v>profit</v>
      </c>
    </row>
    <row r="143" spans="1:14" ht="15.6" thickTop="1" thickBot="1" x14ac:dyDescent="0.35">
      <c r="A143" s="4">
        <v>45481</v>
      </c>
      <c r="B143" s="4" t="s">
        <v>39</v>
      </c>
      <c r="C143" s="5" t="s">
        <v>52</v>
      </c>
      <c r="D143" s="5" t="s">
        <v>15</v>
      </c>
      <c r="E143" s="5" t="s">
        <v>36</v>
      </c>
      <c r="F143" s="5" t="s">
        <v>53</v>
      </c>
      <c r="G143" s="5" t="s">
        <v>27</v>
      </c>
      <c r="H143" s="5">
        <v>14</v>
      </c>
      <c r="I143" s="5">
        <v>782</v>
      </c>
      <c r="J143" s="5">
        <v>835</v>
      </c>
      <c r="K143" s="6">
        <f t="shared" si="8"/>
        <v>10948</v>
      </c>
      <c r="L143" s="6">
        <f t="shared" si="9"/>
        <v>11690</v>
      </c>
      <c r="M143" s="6">
        <f t="shared" si="10"/>
        <v>742</v>
      </c>
      <c r="N143" s="6" t="str">
        <f t="shared" si="11"/>
        <v>profit</v>
      </c>
    </row>
    <row r="144" spans="1:14" ht="15.6" thickTop="1" thickBot="1" x14ac:dyDescent="0.35">
      <c r="A144" s="4">
        <v>45482</v>
      </c>
      <c r="B144" s="4" t="s">
        <v>39</v>
      </c>
      <c r="C144" s="5" t="s">
        <v>54</v>
      </c>
      <c r="D144" s="5" t="s">
        <v>15</v>
      </c>
      <c r="E144" s="5" t="s">
        <v>36</v>
      </c>
      <c r="F144" s="5" t="s">
        <v>34</v>
      </c>
      <c r="G144" s="5" t="s">
        <v>27</v>
      </c>
      <c r="H144" s="5">
        <v>19</v>
      </c>
      <c r="I144" s="5">
        <v>536</v>
      </c>
      <c r="J144" s="5">
        <v>927</v>
      </c>
      <c r="K144" s="6">
        <f t="shared" si="8"/>
        <v>10184</v>
      </c>
      <c r="L144" s="6">
        <f t="shared" si="9"/>
        <v>17613</v>
      </c>
      <c r="M144" s="6">
        <f t="shared" si="10"/>
        <v>7429</v>
      </c>
      <c r="N144" s="6" t="str">
        <f t="shared" si="11"/>
        <v>profit</v>
      </c>
    </row>
    <row r="145" spans="1:14" ht="15.6" thickTop="1" thickBot="1" x14ac:dyDescent="0.35">
      <c r="A145" s="4">
        <v>45526</v>
      </c>
      <c r="B145" s="4" t="s">
        <v>56</v>
      </c>
      <c r="C145" s="5" t="s">
        <v>122</v>
      </c>
      <c r="D145" s="5" t="s">
        <v>45</v>
      </c>
      <c r="E145" s="5" t="s">
        <v>117</v>
      </c>
      <c r="F145" s="5" t="s">
        <v>63</v>
      </c>
      <c r="G145" s="5" t="s">
        <v>18</v>
      </c>
      <c r="H145" s="5">
        <v>23</v>
      </c>
      <c r="I145" s="5">
        <v>923</v>
      </c>
      <c r="J145" s="5">
        <v>897</v>
      </c>
      <c r="K145" s="6">
        <f t="shared" si="8"/>
        <v>21229</v>
      </c>
      <c r="L145" s="6">
        <f t="shared" si="9"/>
        <v>20631</v>
      </c>
      <c r="M145" s="6">
        <f t="shared" si="10"/>
        <v>-598</v>
      </c>
      <c r="N145" s="6" t="str">
        <f t="shared" si="11"/>
        <v>loss</v>
      </c>
    </row>
    <row r="146" spans="1:14" ht="15.6" thickTop="1" thickBot="1" x14ac:dyDescent="0.35">
      <c r="A146" s="4">
        <v>45483</v>
      </c>
      <c r="B146" s="4" t="s">
        <v>39</v>
      </c>
      <c r="C146" s="5" t="s">
        <v>55</v>
      </c>
      <c r="D146" s="5" t="s">
        <v>15</v>
      </c>
      <c r="E146" s="5" t="s">
        <v>36</v>
      </c>
      <c r="F146" s="5" t="s">
        <v>38</v>
      </c>
      <c r="G146" s="5" t="s">
        <v>18</v>
      </c>
      <c r="H146" s="5">
        <v>11</v>
      </c>
      <c r="I146" s="5">
        <v>991</v>
      </c>
      <c r="J146" s="5">
        <v>803</v>
      </c>
      <c r="K146" s="6">
        <f t="shared" si="8"/>
        <v>10901</v>
      </c>
      <c r="L146" s="6">
        <f t="shared" si="9"/>
        <v>8833</v>
      </c>
      <c r="M146" s="6">
        <f t="shared" si="10"/>
        <v>-2068</v>
      </c>
      <c r="N146" s="6" t="str">
        <f t="shared" si="11"/>
        <v>loss</v>
      </c>
    </row>
    <row r="147" spans="1:14" ht="15.6" thickTop="1" thickBot="1" x14ac:dyDescent="0.35">
      <c r="A147" s="4">
        <v>45510</v>
      </c>
      <c r="B147" s="4" t="s">
        <v>56</v>
      </c>
      <c r="C147" s="5" t="s">
        <v>57</v>
      </c>
      <c r="D147" s="5" t="s">
        <v>15</v>
      </c>
      <c r="E147" s="5" t="s">
        <v>36</v>
      </c>
      <c r="F147" s="5" t="s">
        <v>43</v>
      </c>
      <c r="G147" s="5" t="s">
        <v>18</v>
      </c>
      <c r="H147" s="5">
        <v>10</v>
      </c>
      <c r="I147" s="5">
        <v>844</v>
      </c>
      <c r="J147" s="5">
        <v>865</v>
      </c>
      <c r="K147" s="6">
        <f t="shared" si="8"/>
        <v>8440</v>
      </c>
      <c r="L147" s="6">
        <f t="shared" si="9"/>
        <v>8650</v>
      </c>
      <c r="M147" s="6">
        <f t="shared" si="10"/>
        <v>210</v>
      </c>
      <c r="N147" s="6" t="str">
        <f t="shared" si="11"/>
        <v>profit</v>
      </c>
    </row>
    <row r="148" spans="1:14" ht="15.6" thickTop="1" thickBot="1" x14ac:dyDescent="0.35">
      <c r="A148" s="4">
        <v>45511</v>
      </c>
      <c r="B148" s="4" t="s">
        <v>56</v>
      </c>
      <c r="C148" s="5" t="s">
        <v>58</v>
      </c>
      <c r="D148" s="5" t="s">
        <v>15</v>
      </c>
      <c r="E148" s="5" t="s">
        <v>36</v>
      </c>
      <c r="F148" s="5" t="s">
        <v>59</v>
      </c>
      <c r="G148" s="5" t="s">
        <v>18</v>
      </c>
      <c r="H148" s="5">
        <v>20</v>
      </c>
      <c r="I148" s="5">
        <v>803</v>
      </c>
      <c r="J148" s="5">
        <v>1377</v>
      </c>
      <c r="K148" s="6">
        <f t="shared" si="8"/>
        <v>16060</v>
      </c>
      <c r="L148" s="6">
        <f t="shared" si="9"/>
        <v>27540</v>
      </c>
      <c r="M148" s="6">
        <f t="shared" si="10"/>
        <v>11480</v>
      </c>
      <c r="N148" s="6" t="str">
        <f t="shared" si="11"/>
        <v>profit</v>
      </c>
    </row>
    <row r="149" spans="1:14" ht="15.6" thickTop="1" thickBot="1" x14ac:dyDescent="0.35">
      <c r="A149" s="4">
        <v>45513</v>
      </c>
      <c r="B149" s="4" t="s">
        <v>56</v>
      </c>
      <c r="C149" s="5" t="s">
        <v>60</v>
      </c>
      <c r="D149" s="5" t="s">
        <v>15</v>
      </c>
      <c r="E149" s="5" t="s">
        <v>36</v>
      </c>
      <c r="F149" s="5" t="s">
        <v>38</v>
      </c>
      <c r="G149" s="5" t="s">
        <v>18</v>
      </c>
      <c r="H149" s="5">
        <v>12</v>
      </c>
      <c r="I149" s="5">
        <v>606</v>
      </c>
      <c r="J149" s="5">
        <v>1154</v>
      </c>
      <c r="K149" s="6">
        <f t="shared" si="8"/>
        <v>7272</v>
      </c>
      <c r="L149" s="6">
        <f t="shared" si="9"/>
        <v>13848</v>
      </c>
      <c r="M149" s="6">
        <f t="shared" si="10"/>
        <v>6576</v>
      </c>
      <c r="N149" s="6" t="str">
        <f t="shared" si="11"/>
        <v>profit</v>
      </c>
    </row>
    <row r="150" spans="1:14" ht="15.6" thickTop="1" thickBot="1" x14ac:dyDescent="0.35">
      <c r="A150" s="4">
        <v>45514</v>
      </c>
      <c r="B150" s="4" t="s">
        <v>56</v>
      </c>
      <c r="C150" s="5" t="s">
        <v>64</v>
      </c>
      <c r="D150" s="5" t="s">
        <v>15</v>
      </c>
      <c r="E150" s="5" t="s">
        <v>36</v>
      </c>
      <c r="F150" s="5" t="s">
        <v>38</v>
      </c>
      <c r="G150" s="5" t="s">
        <v>18</v>
      </c>
      <c r="H150" s="5">
        <v>11</v>
      </c>
      <c r="I150" s="5">
        <v>622</v>
      </c>
      <c r="J150" s="5">
        <v>767</v>
      </c>
      <c r="K150" s="6">
        <f t="shared" si="8"/>
        <v>6842</v>
      </c>
      <c r="L150" s="6">
        <f t="shared" si="9"/>
        <v>8437</v>
      </c>
      <c r="M150" s="6">
        <f t="shared" si="10"/>
        <v>1595</v>
      </c>
      <c r="N150" s="6" t="str">
        <f t="shared" si="11"/>
        <v>profit</v>
      </c>
    </row>
    <row r="151" spans="1:14" ht="15.6" thickTop="1" thickBot="1" x14ac:dyDescent="0.35">
      <c r="A151" s="4">
        <v>45515</v>
      </c>
      <c r="B151" s="4" t="s">
        <v>56</v>
      </c>
      <c r="C151" s="5" t="s">
        <v>66</v>
      </c>
      <c r="D151" s="5" t="s">
        <v>15</v>
      </c>
      <c r="E151" s="5" t="s">
        <v>36</v>
      </c>
      <c r="F151" s="5" t="s">
        <v>43</v>
      </c>
      <c r="G151" s="5" t="s">
        <v>27</v>
      </c>
      <c r="H151" s="5">
        <v>17</v>
      </c>
      <c r="I151" s="5">
        <v>671</v>
      </c>
      <c r="J151" s="5">
        <v>906</v>
      </c>
      <c r="K151" s="6">
        <f t="shared" si="8"/>
        <v>11407</v>
      </c>
      <c r="L151" s="6">
        <f t="shared" si="9"/>
        <v>15402</v>
      </c>
      <c r="M151" s="6">
        <f t="shared" si="10"/>
        <v>3995</v>
      </c>
      <c r="N151" s="6" t="str">
        <f t="shared" si="11"/>
        <v>profit</v>
      </c>
    </row>
    <row r="152" spans="1:14" ht="15.6" thickTop="1" thickBot="1" x14ac:dyDescent="0.35">
      <c r="A152" s="4">
        <v>45516</v>
      </c>
      <c r="B152" s="4" t="s">
        <v>56</v>
      </c>
      <c r="C152" s="5" t="s">
        <v>67</v>
      </c>
      <c r="D152" s="5" t="s">
        <v>15</v>
      </c>
      <c r="E152" s="5" t="s">
        <v>36</v>
      </c>
      <c r="F152" s="5" t="s">
        <v>26</v>
      </c>
      <c r="G152" s="5" t="s">
        <v>27</v>
      </c>
      <c r="H152" s="5">
        <v>12</v>
      </c>
      <c r="I152" s="5">
        <v>814</v>
      </c>
      <c r="J152" s="5">
        <v>1392</v>
      </c>
      <c r="K152" s="6">
        <f t="shared" si="8"/>
        <v>9768</v>
      </c>
      <c r="L152" s="6">
        <f t="shared" si="9"/>
        <v>16704</v>
      </c>
      <c r="M152" s="6">
        <f t="shared" si="10"/>
        <v>6936</v>
      </c>
      <c r="N152" s="6" t="str">
        <f t="shared" si="11"/>
        <v>profit</v>
      </c>
    </row>
    <row r="153" spans="1:14" ht="15.6" thickTop="1" thickBot="1" x14ac:dyDescent="0.35">
      <c r="A153" s="4">
        <v>45543</v>
      </c>
      <c r="B153" s="4" t="s">
        <v>68</v>
      </c>
      <c r="C153" s="5" t="s">
        <v>69</v>
      </c>
      <c r="D153" s="5" t="s">
        <v>15</v>
      </c>
      <c r="E153" s="5" t="s">
        <v>36</v>
      </c>
      <c r="F153" s="5" t="s">
        <v>70</v>
      </c>
      <c r="G153" s="5" t="s">
        <v>27</v>
      </c>
      <c r="H153" s="5">
        <v>11</v>
      </c>
      <c r="I153" s="5">
        <v>960</v>
      </c>
      <c r="J153" s="5">
        <v>939</v>
      </c>
      <c r="K153" s="6">
        <f t="shared" si="8"/>
        <v>10560</v>
      </c>
      <c r="L153" s="6">
        <f t="shared" si="9"/>
        <v>10329</v>
      </c>
      <c r="M153" s="6">
        <f t="shared" si="10"/>
        <v>-231</v>
      </c>
      <c r="N153" s="6" t="str">
        <f t="shared" si="11"/>
        <v>loss</v>
      </c>
    </row>
    <row r="154" spans="1:14" ht="15.6" thickTop="1" thickBot="1" x14ac:dyDescent="0.35">
      <c r="A154" s="4">
        <v>45535</v>
      </c>
      <c r="B154" s="4" t="s">
        <v>56</v>
      </c>
      <c r="C154" s="5" t="s">
        <v>123</v>
      </c>
      <c r="D154" s="5" t="s">
        <v>32</v>
      </c>
      <c r="E154" s="5" t="s">
        <v>98</v>
      </c>
      <c r="F154" s="5" t="s">
        <v>20</v>
      </c>
      <c r="G154" s="5" t="s">
        <v>27</v>
      </c>
      <c r="H154" s="5">
        <v>89</v>
      </c>
      <c r="I154" s="5">
        <v>910</v>
      </c>
      <c r="J154" s="5">
        <v>1261</v>
      </c>
      <c r="K154" s="6">
        <f t="shared" si="8"/>
        <v>80990</v>
      </c>
      <c r="L154" s="6">
        <f t="shared" si="9"/>
        <v>112229</v>
      </c>
      <c r="M154" s="6">
        <f t="shared" si="10"/>
        <v>31239</v>
      </c>
      <c r="N154" s="6" t="str">
        <f t="shared" si="11"/>
        <v>profit</v>
      </c>
    </row>
    <row r="155" spans="1:14" ht="15.6" thickTop="1" thickBot="1" x14ac:dyDescent="0.35">
      <c r="A155" s="4">
        <v>45544</v>
      </c>
      <c r="B155" s="4" t="s">
        <v>68</v>
      </c>
      <c r="C155" s="5" t="s">
        <v>71</v>
      </c>
      <c r="D155" s="5" t="s">
        <v>15</v>
      </c>
      <c r="E155" s="5" t="s">
        <v>36</v>
      </c>
      <c r="F155" s="5" t="s">
        <v>43</v>
      </c>
      <c r="G155" s="5" t="s">
        <v>27</v>
      </c>
      <c r="H155" s="5">
        <v>10</v>
      </c>
      <c r="I155" s="5">
        <v>654</v>
      </c>
      <c r="J155" s="5">
        <v>1029</v>
      </c>
      <c r="K155" s="6">
        <f t="shared" si="8"/>
        <v>6540</v>
      </c>
      <c r="L155" s="6">
        <f t="shared" si="9"/>
        <v>10290</v>
      </c>
      <c r="M155" s="6">
        <f t="shared" si="10"/>
        <v>3750</v>
      </c>
      <c r="N155" s="6" t="str">
        <f t="shared" si="11"/>
        <v>profit</v>
      </c>
    </row>
    <row r="156" spans="1:14" ht="15.6" thickTop="1" thickBot="1" x14ac:dyDescent="0.35">
      <c r="A156" s="4">
        <v>45545</v>
      </c>
      <c r="B156" s="4" t="s">
        <v>68</v>
      </c>
      <c r="C156" s="5" t="s">
        <v>72</v>
      </c>
      <c r="D156" s="5" t="s">
        <v>15</v>
      </c>
      <c r="E156" s="5" t="s">
        <v>36</v>
      </c>
      <c r="F156" s="5" t="s">
        <v>24</v>
      </c>
      <c r="G156" s="5" t="s">
        <v>27</v>
      </c>
      <c r="H156" s="5">
        <v>14</v>
      </c>
      <c r="I156" s="5">
        <v>504</v>
      </c>
      <c r="J156" s="5">
        <v>1130</v>
      </c>
      <c r="K156" s="6">
        <f t="shared" si="8"/>
        <v>7056</v>
      </c>
      <c r="L156" s="6">
        <f t="shared" si="9"/>
        <v>15820</v>
      </c>
      <c r="M156" s="6">
        <f t="shared" si="10"/>
        <v>8764</v>
      </c>
      <c r="N156" s="6" t="str">
        <f t="shared" si="11"/>
        <v>profit</v>
      </c>
    </row>
    <row r="157" spans="1:14" ht="15.6" thickTop="1" thickBot="1" x14ac:dyDescent="0.35">
      <c r="A157" s="4">
        <v>45546</v>
      </c>
      <c r="B157" s="4" t="s">
        <v>68</v>
      </c>
      <c r="C157" s="5" t="s">
        <v>73</v>
      </c>
      <c r="D157" s="5" t="s">
        <v>15</v>
      </c>
      <c r="E157" s="5" t="s">
        <v>36</v>
      </c>
      <c r="F157" s="5" t="s">
        <v>63</v>
      </c>
      <c r="G157" s="5" t="s">
        <v>27</v>
      </c>
      <c r="H157" s="5">
        <v>12</v>
      </c>
      <c r="I157" s="5">
        <v>886</v>
      </c>
      <c r="J157" s="5">
        <v>1233</v>
      </c>
      <c r="K157" s="6">
        <f t="shared" si="8"/>
        <v>10632</v>
      </c>
      <c r="L157" s="6">
        <f t="shared" si="9"/>
        <v>14796</v>
      </c>
      <c r="M157" s="6">
        <f t="shared" si="10"/>
        <v>4164</v>
      </c>
      <c r="N157" s="6" t="str">
        <f t="shared" si="11"/>
        <v>profit</v>
      </c>
    </row>
    <row r="158" spans="1:14" ht="15.6" thickTop="1" thickBot="1" x14ac:dyDescent="0.35">
      <c r="A158" s="4">
        <v>45547</v>
      </c>
      <c r="B158" s="4" t="s">
        <v>68</v>
      </c>
      <c r="C158" s="5" t="s">
        <v>74</v>
      </c>
      <c r="D158" s="5" t="s">
        <v>15</v>
      </c>
      <c r="E158" s="5" t="s">
        <v>36</v>
      </c>
      <c r="F158" s="5" t="s">
        <v>75</v>
      </c>
      <c r="G158" s="5" t="s">
        <v>18</v>
      </c>
      <c r="H158" s="5">
        <v>10</v>
      </c>
      <c r="I158" s="5">
        <v>554</v>
      </c>
      <c r="J158" s="5">
        <v>1210</v>
      </c>
      <c r="K158" s="6">
        <f t="shared" si="8"/>
        <v>5540</v>
      </c>
      <c r="L158" s="6">
        <f t="shared" si="9"/>
        <v>12100</v>
      </c>
      <c r="M158" s="6">
        <f t="shared" si="10"/>
        <v>6560</v>
      </c>
      <c r="N158" s="6" t="str">
        <f t="shared" si="11"/>
        <v>profit</v>
      </c>
    </row>
    <row r="159" spans="1:14" ht="15.6" thickTop="1" thickBot="1" x14ac:dyDescent="0.35">
      <c r="A159" s="4">
        <v>45540</v>
      </c>
      <c r="B159" s="4" t="s">
        <v>68</v>
      </c>
      <c r="C159" s="5" t="s">
        <v>124</v>
      </c>
      <c r="D159" s="5" t="s">
        <v>32</v>
      </c>
      <c r="E159" s="5" t="s">
        <v>119</v>
      </c>
      <c r="F159" s="5" t="s">
        <v>29</v>
      </c>
      <c r="G159" s="5" t="s">
        <v>18</v>
      </c>
      <c r="H159" s="5">
        <v>59</v>
      </c>
      <c r="I159" s="5">
        <v>764</v>
      </c>
      <c r="J159" s="5">
        <v>1365</v>
      </c>
      <c r="K159" s="6">
        <f t="shared" si="8"/>
        <v>45076</v>
      </c>
      <c r="L159" s="6">
        <f t="shared" si="9"/>
        <v>80535</v>
      </c>
      <c r="M159" s="6">
        <f t="shared" si="10"/>
        <v>35459</v>
      </c>
      <c r="N159" s="6" t="str">
        <f t="shared" si="11"/>
        <v>profit</v>
      </c>
    </row>
    <row r="160" spans="1:14" ht="15.6" thickTop="1" thickBot="1" x14ac:dyDescent="0.35">
      <c r="A160" s="4">
        <v>45548</v>
      </c>
      <c r="B160" s="4" t="s">
        <v>68</v>
      </c>
      <c r="C160" s="5" t="s">
        <v>76</v>
      </c>
      <c r="D160" s="5" t="s">
        <v>15</v>
      </c>
      <c r="E160" s="5" t="s">
        <v>36</v>
      </c>
      <c r="F160" s="5" t="s">
        <v>77</v>
      </c>
      <c r="G160" s="5" t="s">
        <v>18</v>
      </c>
      <c r="H160" s="5">
        <v>14</v>
      </c>
      <c r="I160" s="5">
        <v>933</v>
      </c>
      <c r="J160" s="5">
        <v>1064</v>
      </c>
      <c r="K160" s="6">
        <f t="shared" si="8"/>
        <v>13062</v>
      </c>
      <c r="L160" s="6">
        <f t="shared" si="9"/>
        <v>14896</v>
      </c>
      <c r="M160" s="6">
        <f t="shared" si="10"/>
        <v>1834</v>
      </c>
      <c r="N160" s="6" t="str">
        <f t="shared" si="11"/>
        <v>profit</v>
      </c>
    </row>
    <row r="161" spans="1:14" ht="15.6" thickTop="1" thickBot="1" x14ac:dyDescent="0.35">
      <c r="A161" s="4">
        <v>45550</v>
      </c>
      <c r="B161" s="4" t="s">
        <v>68</v>
      </c>
      <c r="C161" s="5" t="s">
        <v>78</v>
      </c>
      <c r="D161" s="5" t="s">
        <v>15</v>
      </c>
      <c r="E161" s="5" t="s">
        <v>36</v>
      </c>
      <c r="F161" s="5" t="s">
        <v>43</v>
      </c>
      <c r="G161" s="5" t="s">
        <v>18</v>
      </c>
      <c r="H161" s="5">
        <v>15</v>
      </c>
      <c r="I161" s="5">
        <v>674</v>
      </c>
      <c r="J161" s="5">
        <v>1125</v>
      </c>
      <c r="K161" s="6">
        <f t="shared" si="8"/>
        <v>10110</v>
      </c>
      <c r="L161" s="6">
        <f t="shared" si="9"/>
        <v>16875</v>
      </c>
      <c r="M161" s="6">
        <f t="shared" si="10"/>
        <v>6765</v>
      </c>
      <c r="N161" s="6" t="str">
        <f t="shared" si="11"/>
        <v>profit</v>
      </c>
    </row>
    <row r="162" spans="1:14" ht="15.6" thickTop="1" thickBot="1" x14ac:dyDescent="0.35">
      <c r="A162" s="4">
        <v>45551</v>
      </c>
      <c r="B162" s="4" t="s">
        <v>68</v>
      </c>
      <c r="C162" s="5" t="s">
        <v>79</v>
      </c>
      <c r="D162" s="5" t="s">
        <v>15</v>
      </c>
      <c r="E162" s="5" t="s">
        <v>36</v>
      </c>
      <c r="F162" s="5" t="s">
        <v>59</v>
      </c>
      <c r="G162" s="5" t="s">
        <v>18</v>
      </c>
      <c r="H162" s="5">
        <v>20</v>
      </c>
      <c r="I162" s="5">
        <v>529</v>
      </c>
      <c r="J162" s="5">
        <v>1455</v>
      </c>
      <c r="K162" s="6">
        <f t="shared" si="8"/>
        <v>10580</v>
      </c>
      <c r="L162" s="6">
        <f t="shared" si="9"/>
        <v>29100</v>
      </c>
      <c r="M162" s="6">
        <f t="shared" si="10"/>
        <v>18520</v>
      </c>
      <c r="N162" s="6" t="str">
        <f t="shared" si="11"/>
        <v>profit</v>
      </c>
    </row>
    <row r="163" spans="1:14" ht="15.6" thickTop="1" thickBot="1" x14ac:dyDescent="0.35">
      <c r="A163" s="4">
        <v>45552</v>
      </c>
      <c r="B163" s="4" t="s">
        <v>68</v>
      </c>
      <c r="C163" s="5" t="s">
        <v>80</v>
      </c>
      <c r="D163" s="5" t="s">
        <v>15</v>
      </c>
      <c r="E163" s="5" t="s">
        <v>36</v>
      </c>
      <c r="F163" s="5" t="s">
        <v>34</v>
      </c>
      <c r="G163" s="5" t="s">
        <v>18</v>
      </c>
      <c r="H163" s="5">
        <v>18</v>
      </c>
      <c r="I163" s="5">
        <v>717</v>
      </c>
      <c r="J163" s="5">
        <v>833</v>
      </c>
      <c r="K163" s="6">
        <f t="shared" si="8"/>
        <v>12906</v>
      </c>
      <c r="L163" s="6">
        <f t="shared" si="9"/>
        <v>14994</v>
      </c>
      <c r="M163" s="6">
        <f t="shared" si="10"/>
        <v>2088</v>
      </c>
      <c r="N163" s="6" t="str">
        <f t="shared" si="11"/>
        <v>profit</v>
      </c>
    </row>
    <row r="164" spans="1:14" ht="15.6" thickTop="1" thickBot="1" x14ac:dyDescent="0.35">
      <c r="A164" s="4">
        <v>45553</v>
      </c>
      <c r="B164" s="4" t="s">
        <v>68</v>
      </c>
      <c r="C164" s="5" t="s">
        <v>81</v>
      </c>
      <c r="D164" s="5" t="s">
        <v>15</v>
      </c>
      <c r="E164" s="5" t="s">
        <v>36</v>
      </c>
      <c r="F164" s="5" t="s">
        <v>38</v>
      </c>
      <c r="G164" s="5" t="s">
        <v>18</v>
      </c>
      <c r="H164" s="5">
        <v>17</v>
      </c>
      <c r="I164" s="5">
        <v>966</v>
      </c>
      <c r="J164" s="5">
        <v>1044</v>
      </c>
      <c r="K164" s="6">
        <f t="shared" si="8"/>
        <v>16422</v>
      </c>
      <c r="L164" s="6">
        <f t="shared" si="9"/>
        <v>17748</v>
      </c>
      <c r="M164" s="6">
        <f t="shared" si="10"/>
        <v>1326</v>
      </c>
      <c r="N164" s="6" t="str">
        <f t="shared" si="11"/>
        <v>profit</v>
      </c>
    </row>
    <row r="165" spans="1:14" ht="15.6" thickTop="1" thickBot="1" x14ac:dyDescent="0.35">
      <c r="A165" s="4">
        <v>45562</v>
      </c>
      <c r="B165" s="4" t="s">
        <v>68</v>
      </c>
      <c r="C165" s="5" t="s">
        <v>82</v>
      </c>
      <c r="D165" s="5" t="s">
        <v>15</v>
      </c>
      <c r="E165" s="5" t="s">
        <v>16</v>
      </c>
      <c r="F165" s="5" t="s">
        <v>34</v>
      </c>
      <c r="G165" s="5" t="s">
        <v>27</v>
      </c>
      <c r="H165" s="5">
        <v>16</v>
      </c>
      <c r="I165" s="5">
        <v>599</v>
      </c>
      <c r="J165" s="5">
        <v>1490</v>
      </c>
      <c r="K165" s="6">
        <f t="shared" si="8"/>
        <v>9584</v>
      </c>
      <c r="L165" s="6">
        <f t="shared" si="9"/>
        <v>23840</v>
      </c>
      <c r="M165" s="6">
        <f t="shared" si="10"/>
        <v>14256</v>
      </c>
      <c r="N165" s="6" t="str">
        <f t="shared" si="11"/>
        <v>profit</v>
      </c>
    </row>
    <row r="166" spans="1:14" ht="15.6" thickTop="1" thickBot="1" x14ac:dyDescent="0.35">
      <c r="A166" s="4">
        <v>45564</v>
      </c>
      <c r="B166" s="4" t="s">
        <v>68</v>
      </c>
      <c r="C166" s="5" t="s">
        <v>83</v>
      </c>
      <c r="D166" s="5" t="s">
        <v>15</v>
      </c>
      <c r="E166" s="5" t="s">
        <v>16</v>
      </c>
      <c r="F166" s="5" t="s">
        <v>38</v>
      </c>
      <c r="G166" s="5" t="s">
        <v>18</v>
      </c>
      <c r="H166" s="5">
        <v>12</v>
      </c>
      <c r="I166" s="5">
        <v>827</v>
      </c>
      <c r="J166" s="5">
        <v>955</v>
      </c>
      <c r="K166" s="6">
        <f t="shared" si="8"/>
        <v>9924</v>
      </c>
      <c r="L166" s="6">
        <f t="shared" si="9"/>
        <v>11460</v>
      </c>
      <c r="M166" s="6">
        <f t="shared" si="10"/>
        <v>1536</v>
      </c>
      <c r="N166" s="6" t="str">
        <f t="shared" si="11"/>
        <v>profit</v>
      </c>
    </row>
    <row r="167" spans="1:14" ht="15.6" thickTop="1" thickBot="1" x14ac:dyDescent="0.35">
      <c r="A167" s="4">
        <v>45566</v>
      </c>
      <c r="B167" s="4" t="s">
        <v>84</v>
      </c>
      <c r="C167" s="5" t="s">
        <v>85</v>
      </c>
      <c r="D167" s="5" t="s">
        <v>15</v>
      </c>
      <c r="E167" s="5" t="s">
        <v>16</v>
      </c>
      <c r="F167" s="5" t="s">
        <v>63</v>
      </c>
      <c r="G167" s="5" t="s">
        <v>18</v>
      </c>
      <c r="H167" s="5">
        <v>17</v>
      </c>
      <c r="I167" s="5">
        <v>932</v>
      </c>
      <c r="J167" s="5">
        <v>808</v>
      </c>
      <c r="K167" s="6">
        <f t="shared" si="8"/>
        <v>15844</v>
      </c>
      <c r="L167" s="6">
        <f t="shared" si="9"/>
        <v>13736</v>
      </c>
      <c r="M167" s="6">
        <f t="shared" si="10"/>
        <v>-2108</v>
      </c>
      <c r="N167" s="6" t="str">
        <f t="shared" si="11"/>
        <v>loss</v>
      </c>
    </row>
    <row r="168" spans="1:14" ht="15.6" thickTop="1" thickBot="1" x14ac:dyDescent="0.35">
      <c r="A168" s="4">
        <v>45549</v>
      </c>
      <c r="B168" s="4" t="s">
        <v>68</v>
      </c>
      <c r="C168" s="5" t="s">
        <v>125</v>
      </c>
      <c r="D168" s="5" t="s">
        <v>15</v>
      </c>
      <c r="E168" s="5" t="s">
        <v>36</v>
      </c>
      <c r="F168" s="5" t="s">
        <v>34</v>
      </c>
      <c r="G168" s="5" t="s">
        <v>18</v>
      </c>
      <c r="H168" s="5">
        <v>14</v>
      </c>
      <c r="I168" s="5">
        <v>857</v>
      </c>
      <c r="J168" s="5">
        <v>767</v>
      </c>
      <c r="K168" s="6">
        <f t="shared" si="8"/>
        <v>11998</v>
      </c>
      <c r="L168" s="6">
        <f t="shared" si="9"/>
        <v>10738</v>
      </c>
      <c r="M168" s="6">
        <f t="shared" si="10"/>
        <v>-1260</v>
      </c>
      <c r="N168" s="6" t="str">
        <f t="shared" si="11"/>
        <v>loss</v>
      </c>
    </row>
    <row r="169" spans="1:14" ht="15.6" thickTop="1" thickBot="1" x14ac:dyDescent="0.35">
      <c r="A169" s="4">
        <v>45567</v>
      </c>
      <c r="B169" s="4" t="s">
        <v>84</v>
      </c>
      <c r="C169" s="5" t="s">
        <v>86</v>
      </c>
      <c r="D169" s="5" t="s">
        <v>15</v>
      </c>
      <c r="E169" s="5" t="s">
        <v>16</v>
      </c>
      <c r="F169" s="5" t="s">
        <v>59</v>
      </c>
      <c r="G169" s="5" t="s">
        <v>18</v>
      </c>
      <c r="H169" s="5">
        <v>11</v>
      </c>
      <c r="I169" s="5">
        <v>654</v>
      </c>
      <c r="J169" s="5">
        <v>767</v>
      </c>
      <c r="K169" s="6">
        <f t="shared" si="8"/>
        <v>7194</v>
      </c>
      <c r="L169" s="6">
        <f t="shared" si="9"/>
        <v>8437</v>
      </c>
      <c r="M169" s="6">
        <f t="shared" si="10"/>
        <v>1243</v>
      </c>
      <c r="N169" s="6" t="str">
        <f t="shared" si="11"/>
        <v>profit</v>
      </c>
    </row>
    <row r="170" spans="1:14" ht="15.6" thickTop="1" thickBot="1" x14ac:dyDescent="0.35">
      <c r="A170" s="4">
        <v>45568</v>
      </c>
      <c r="B170" s="4" t="s">
        <v>84</v>
      </c>
      <c r="C170" s="5" t="s">
        <v>87</v>
      </c>
      <c r="D170" s="5" t="s">
        <v>15</v>
      </c>
      <c r="E170" s="5" t="s">
        <v>16</v>
      </c>
      <c r="F170" s="5" t="s">
        <v>38</v>
      </c>
      <c r="G170" s="5" t="s">
        <v>18</v>
      </c>
      <c r="H170" s="5">
        <v>19</v>
      </c>
      <c r="I170" s="5">
        <v>764</v>
      </c>
      <c r="J170" s="5">
        <v>1069</v>
      </c>
      <c r="K170" s="6">
        <f t="shared" si="8"/>
        <v>14516</v>
      </c>
      <c r="L170" s="6">
        <f t="shared" si="9"/>
        <v>20311</v>
      </c>
      <c r="M170" s="6">
        <f t="shared" si="10"/>
        <v>5795</v>
      </c>
      <c r="N170" s="6" t="str">
        <f t="shared" si="11"/>
        <v>profit</v>
      </c>
    </row>
    <row r="171" spans="1:14" ht="15.6" thickTop="1" thickBot="1" x14ac:dyDescent="0.35">
      <c r="A171" s="4">
        <v>45580</v>
      </c>
      <c r="B171" s="4" t="s">
        <v>84</v>
      </c>
      <c r="C171" s="5" t="s">
        <v>88</v>
      </c>
      <c r="D171" s="5" t="s">
        <v>15</v>
      </c>
      <c r="E171" s="5" t="s">
        <v>36</v>
      </c>
      <c r="F171" s="5" t="s">
        <v>29</v>
      </c>
      <c r="G171" s="5" t="s">
        <v>27</v>
      </c>
      <c r="H171" s="5">
        <v>15</v>
      </c>
      <c r="I171" s="5">
        <v>906</v>
      </c>
      <c r="J171" s="5">
        <v>1485</v>
      </c>
      <c r="K171" s="6">
        <f t="shared" si="8"/>
        <v>13590</v>
      </c>
      <c r="L171" s="6">
        <f t="shared" si="9"/>
        <v>22275</v>
      </c>
      <c r="M171" s="6">
        <f t="shared" si="10"/>
        <v>8685</v>
      </c>
      <c r="N171" s="6" t="str">
        <f t="shared" si="11"/>
        <v>profit</v>
      </c>
    </row>
    <row r="172" spans="1:14" ht="15.6" thickTop="1" thickBot="1" x14ac:dyDescent="0.35">
      <c r="A172" s="4">
        <v>45581</v>
      </c>
      <c r="B172" s="4" t="s">
        <v>84</v>
      </c>
      <c r="C172" s="5" t="s">
        <v>89</v>
      </c>
      <c r="D172" s="5" t="s">
        <v>15</v>
      </c>
      <c r="E172" s="5" t="s">
        <v>36</v>
      </c>
      <c r="F172" s="5" t="s">
        <v>24</v>
      </c>
      <c r="G172" s="5" t="s">
        <v>27</v>
      </c>
      <c r="H172" s="5">
        <v>20</v>
      </c>
      <c r="I172" s="5">
        <v>780</v>
      </c>
      <c r="J172" s="5">
        <v>783</v>
      </c>
      <c r="K172" s="6">
        <f t="shared" si="8"/>
        <v>15600</v>
      </c>
      <c r="L172" s="6">
        <f t="shared" si="9"/>
        <v>15660</v>
      </c>
      <c r="M172" s="6">
        <f t="shared" si="10"/>
        <v>60</v>
      </c>
      <c r="N172" s="6" t="str">
        <f t="shared" si="11"/>
        <v>profit</v>
      </c>
    </row>
    <row r="173" spans="1:14" ht="15.6" thickTop="1" thickBot="1" x14ac:dyDescent="0.35">
      <c r="A173" s="4">
        <v>45554</v>
      </c>
      <c r="B173" s="4" t="s">
        <v>68</v>
      </c>
      <c r="C173" s="5" t="s">
        <v>126</v>
      </c>
      <c r="D173" s="5" t="s">
        <v>15</v>
      </c>
      <c r="E173" s="5" t="s">
        <v>36</v>
      </c>
      <c r="F173" s="5" t="s">
        <v>38</v>
      </c>
      <c r="G173" s="5" t="s">
        <v>27</v>
      </c>
      <c r="H173" s="5">
        <v>14</v>
      </c>
      <c r="I173" s="5">
        <v>515</v>
      </c>
      <c r="J173" s="5">
        <v>1230</v>
      </c>
      <c r="K173" s="6">
        <f t="shared" si="8"/>
        <v>7210</v>
      </c>
      <c r="L173" s="6">
        <f t="shared" si="9"/>
        <v>17220</v>
      </c>
      <c r="M173" s="6">
        <f t="shared" si="10"/>
        <v>10010</v>
      </c>
      <c r="N173" s="6" t="str">
        <f t="shared" si="11"/>
        <v>profit</v>
      </c>
    </row>
    <row r="174" spans="1:14" ht="15.6" thickTop="1" thickBot="1" x14ac:dyDescent="0.35">
      <c r="A174" s="4">
        <v>45582</v>
      </c>
      <c r="B174" s="4" t="s">
        <v>84</v>
      </c>
      <c r="C174" s="5" t="s">
        <v>90</v>
      </c>
      <c r="D174" s="5" t="s">
        <v>15</v>
      </c>
      <c r="E174" s="5" t="s">
        <v>36</v>
      </c>
      <c r="F174" s="5" t="s">
        <v>75</v>
      </c>
      <c r="G174" s="5" t="s">
        <v>27</v>
      </c>
      <c r="H174" s="5">
        <v>17</v>
      </c>
      <c r="I174" s="5">
        <v>747</v>
      </c>
      <c r="J174" s="5">
        <v>1190</v>
      </c>
      <c r="K174" s="6">
        <f t="shared" si="8"/>
        <v>12699</v>
      </c>
      <c r="L174" s="6">
        <f t="shared" si="9"/>
        <v>20230</v>
      </c>
      <c r="M174" s="6">
        <f t="shared" si="10"/>
        <v>7531</v>
      </c>
      <c r="N174" s="6" t="str">
        <f t="shared" si="11"/>
        <v>profit</v>
      </c>
    </row>
    <row r="175" spans="1:14" ht="15.6" thickTop="1" thickBot="1" x14ac:dyDescent="0.35">
      <c r="A175" s="4">
        <v>45584</v>
      </c>
      <c r="B175" s="4" t="s">
        <v>84</v>
      </c>
      <c r="C175" s="5" t="s">
        <v>91</v>
      </c>
      <c r="D175" s="5" t="s">
        <v>15</v>
      </c>
      <c r="E175" s="5" t="s">
        <v>36</v>
      </c>
      <c r="F175" s="5" t="s">
        <v>34</v>
      </c>
      <c r="G175" s="5" t="s">
        <v>18</v>
      </c>
      <c r="H175" s="5">
        <v>15</v>
      </c>
      <c r="I175" s="5">
        <v>747</v>
      </c>
      <c r="J175" s="5">
        <v>966</v>
      </c>
      <c r="K175" s="6">
        <f t="shared" si="8"/>
        <v>11205</v>
      </c>
      <c r="L175" s="6">
        <f t="shared" si="9"/>
        <v>14490</v>
      </c>
      <c r="M175" s="6">
        <f t="shared" si="10"/>
        <v>3285</v>
      </c>
      <c r="N175" s="6" t="str">
        <f t="shared" si="11"/>
        <v>profit</v>
      </c>
    </row>
    <row r="176" spans="1:14" ht="15.6" thickTop="1" thickBot="1" x14ac:dyDescent="0.35">
      <c r="A176" s="4">
        <v>45585</v>
      </c>
      <c r="B176" s="4" t="s">
        <v>84</v>
      </c>
      <c r="C176" s="5" t="s">
        <v>92</v>
      </c>
      <c r="D176" s="5" t="s">
        <v>15</v>
      </c>
      <c r="E176" s="5" t="s">
        <v>36</v>
      </c>
      <c r="F176" s="5" t="s">
        <v>38</v>
      </c>
      <c r="G176" s="5" t="s">
        <v>18</v>
      </c>
      <c r="H176" s="5">
        <v>20</v>
      </c>
      <c r="I176" s="5">
        <v>844</v>
      </c>
      <c r="J176" s="5">
        <v>1010</v>
      </c>
      <c r="K176" s="6">
        <f t="shared" si="8"/>
        <v>16880</v>
      </c>
      <c r="L176" s="6">
        <f t="shared" si="9"/>
        <v>20200</v>
      </c>
      <c r="M176" s="6">
        <f t="shared" si="10"/>
        <v>3320</v>
      </c>
      <c r="N176" s="6" t="str">
        <f t="shared" si="11"/>
        <v>profit</v>
      </c>
    </row>
    <row r="177" spans="1:14" ht="15.6" thickTop="1" thickBot="1" x14ac:dyDescent="0.35">
      <c r="A177" s="4">
        <v>45587</v>
      </c>
      <c r="B177" s="4" t="s">
        <v>84</v>
      </c>
      <c r="C177" s="5" t="s">
        <v>93</v>
      </c>
      <c r="D177" s="5" t="s">
        <v>15</v>
      </c>
      <c r="E177" s="5" t="s">
        <v>36</v>
      </c>
      <c r="F177" s="5" t="s">
        <v>63</v>
      </c>
      <c r="G177" s="5" t="s">
        <v>18</v>
      </c>
      <c r="H177" s="5">
        <v>14</v>
      </c>
      <c r="I177" s="5">
        <v>799</v>
      </c>
      <c r="J177" s="5">
        <v>1154</v>
      </c>
      <c r="K177" s="6">
        <f t="shared" si="8"/>
        <v>11186</v>
      </c>
      <c r="L177" s="6">
        <f t="shared" si="9"/>
        <v>16156</v>
      </c>
      <c r="M177" s="6">
        <f t="shared" si="10"/>
        <v>4970</v>
      </c>
      <c r="N177" s="6" t="str">
        <f t="shared" si="11"/>
        <v>profit</v>
      </c>
    </row>
    <row r="178" spans="1:14" ht="15.6" thickTop="1" thickBot="1" x14ac:dyDescent="0.35">
      <c r="A178" s="4">
        <v>45659</v>
      </c>
      <c r="B178" s="4" t="s">
        <v>94</v>
      </c>
      <c r="C178" s="5" t="s">
        <v>95</v>
      </c>
      <c r="D178" s="5" t="s">
        <v>15</v>
      </c>
      <c r="E178" s="5" t="s">
        <v>16</v>
      </c>
      <c r="F178" s="5" t="s">
        <v>24</v>
      </c>
      <c r="G178" s="5" t="s">
        <v>18</v>
      </c>
      <c r="H178" s="5">
        <v>19</v>
      </c>
      <c r="I178" s="5">
        <v>608</v>
      </c>
      <c r="J178" s="5">
        <v>1032</v>
      </c>
      <c r="K178" s="6">
        <f t="shared" si="8"/>
        <v>11552</v>
      </c>
      <c r="L178" s="6">
        <f t="shared" si="9"/>
        <v>19608</v>
      </c>
      <c r="M178" s="6">
        <f t="shared" si="10"/>
        <v>8056</v>
      </c>
      <c r="N178" s="6" t="str">
        <f t="shared" si="11"/>
        <v>profit</v>
      </c>
    </row>
    <row r="179" spans="1:14" ht="15.6" thickTop="1" thickBot="1" x14ac:dyDescent="0.35">
      <c r="A179" s="4">
        <v>45661</v>
      </c>
      <c r="B179" s="4" t="s">
        <v>94</v>
      </c>
      <c r="C179" s="5" t="s">
        <v>99</v>
      </c>
      <c r="D179" s="5" t="s">
        <v>15</v>
      </c>
      <c r="E179" s="5" t="s">
        <v>16</v>
      </c>
      <c r="F179" s="5" t="s">
        <v>70</v>
      </c>
      <c r="G179" s="5" t="s">
        <v>18</v>
      </c>
      <c r="H179" s="5">
        <v>14</v>
      </c>
      <c r="I179" s="5">
        <v>579</v>
      </c>
      <c r="J179" s="5">
        <v>907</v>
      </c>
      <c r="K179" s="6">
        <f t="shared" si="8"/>
        <v>8106</v>
      </c>
      <c r="L179" s="6">
        <f t="shared" si="9"/>
        <v>12698</v>
      </c>
      <c r="M179" s="6">
        <f t="shared" si="10"/>
        <v>4592</v>
      </c>
      <c r="N179" s="6" t="str">
        <f t="shared" si="11"/>
        <v>profit</v>
      </c>
    </row>
    <row r="180" spans="1:14" ht="15.6" thickTop="1" thickBot="1" x14ac:dyDescent="0.35">
      <c r="A180" s="4">
        <v>45663</v>
      </c>
      <c r="B180" s="4" t="s">
        <v>94</v>
      </c>
      <c r="C180" s="5" t="s">
        <v>100</v>
      </c>
      <c r="D180" s="5" t="s">
        <v>15</v>
      </c>
      <c r="E180" s="5" t="s">
        <v>16</v>
      </c>
      <c r="F180" s="5" t="s">
        <v>20</v>
      </c>
      <c r="G180" s="5" t="s">
        <v>18</v>
      </c>
      <c r="H180" s="5">
        <v>17</v>
      </c>
      <c r="I180" s="5">
        <v>825</v>
      </c>
      <c r="J180" s="5">
        <v>1080</v>
      </c>
      <c r="K180" s="6">
        <f t="shared" si="8"/>
        <v>14025</v>
      </c>
      <c r="L180" s="6">
        <f t="shared" si="9"/>
        <v>18360</v>
      </c>
      <c r="M180" s="6">
        <f t="shared" si="10"/>
        <v>4335</v>
      </c>
      <c r="N180" s="6" t="str">
        <f t="shared" si="11"/>
        <v>profit</v>
      </c>
    </row>
    <row r="181" spans="1:14" ht="15.6" thickTop="1" thickBot="1" x14ac:dyDescent="0.35">
      <c r="A181" s="4">
        <v>45665</v>
      </c>
      <c r="B181" s="4" t="s">
        <v>94</v>
      </c>
      <c r="C181" s="5" t="s">
        <v>101</v>
      </c>
      <c r="D181" s="5" t="s">
        <v>15</v>
      </c>
      <c r="E181" s="5" t="s">
        <v>16</v>
      </c>
      <c r="F181" s="5" t="s">
        <v>24</v>
      </c>
      <c r="G181" s="5" t="s">
        <v>27</v>
      </c>
      <c r="H181" s="5">
        <v>15</v>
      </c>
      <c r="I181" s="5">
        <v>827</v>
      </c>
      <c r="J181" s="5">
        <v>931</v>
      </c>
      <c r="K181" s="6">
        <f t="shared" si="8"/>
        <v>12405</v>
      </c>
      <c r="L181" s="6">
        <f t="shared" si="9"/>
        <v>13965</v>
      </c>
      <c r="M181" s="6">
        <f t="shared" si="10"/>
        <v>1560</v>
      </c>
      <c r="N181" s="6" t="str">
        <f t="shared" si="11"/>
        <v>profit</v>
      </c>
    </row>
    <row r="182" spans="1:14" ht="15.6" thickTop="1" thickBot="1" x14ac:dyDescent="0.35">
      <c r="A182" s="4">
        <v>45563</v>
      </c>
      <c r="B182" s="4" t="s">
        <v>68</v>
      </c>
      <c r="C182" s="5" t="s">
        <v>127</v>
      </c>
      <c r="D182" s="5" t="s">
        <v>15</v>
      </c>
      <c r="E182" s="5" t="s">
        <v>16</v>
      </c>
      <c r="F182" s="5" t="s">
        <v>38</v>
      </c>
      <c r="G182" s="5" t="s">
        <v>18</v>
      </c>
      <c r="H182" s="5">
        <v>15</v>
      </c>
      <c r="I182" s="5">
        <v>650</v>
      </c>
      <c r="J182" s="5">
        <v>1347</v>
      </c>
      <c r="K182" s="6">
        <f t="shared" si="8"/>
        <v>9750</v>
      </c>
      <c r="L182" s="6">
        <f t="shared" si="9"/>
        <v>20205</v>
      </c>
      <c r="M182" s="6">
        <f t="shared" si="10"/>
        <v>10455</v>
      </c>
      <c r="N182" s="6" t="str">
        <f t="shared" si="11"/>
        <v>profit</v>
      </c>
    </row>
    <row r="183" spans="1:14" ht="15.6" thickTop="1" thickBot="1" x14ac:dyDescent="0.35">
      <c r="A183" s="4">
        <v>45678</v>
      </c>
      <c r="B183" s="4" t="s">
        <v>94</v>
      </c>
      <c r="C183" s="5" t="s">
        <v>102</v>
      </c>
      <c r="D183" s="5" t="s">
        <v>15</v>
      </c>
      <c r="E183" s="5" t="s">
        <v>36</v>
      </c>
      <c r="F183" s="5" t="s">
        <v>17</v>
      </c>
      <c r="G183" s="5" t="s">
        <v>18</v>
      </c>
      <c r="H183" s="5">
        <v>20</v>
      </c>
      <c r="I183" s="5">
        <v>900</v>
      </c>
      <c r="J183" s="5">
        <v>1431</v>
      </c>
      <c r="K183" s="6">
        <f t="shared" si="8"/>
        <v>18000</v>
      </c>
      <c r="L183" s="6">
        <f t="shared" si="9"/>
        <v>28620</v>
      </c>
      <c r="M183" s="6">
        <f t="shared" si="10"/>
        <v>10620</v>
      </c>
      <c r="N183" s="6" t="str">
        <f t="shared" si="11"/>
        <v>profit</v>
      </c>
    </row>
    <row r="184" spans="1:14" ht="15.6" thickTop="1" thickBot="1" x14ac:dyDescent="0.35">
      <c r="A184" s="4">
        <v>45565</v>
      </c>
      <c r="B184" s="4" t="s">
        <v>68</v>
      </c>
      <c r="C184" s="5" t="s">
        <v>128</v>
      </c>
      <c r="D184" s="5" t="s">
        <v>15</v>
      </c>
      <c r="E184" s="5" t="s">
        <v>16</v>
      </c>
      <c r="F184" s="5" t="s">
        <v>63</v>
      </c>
      <c r="G184" s="5" t="s">
        <v>18</v>
      </c>
      <c r="H184" s="5">
        <v>15</v>
      </c>
      <c r="I184" s="5">
        <v>825</v>
      </c>
      <c r="J184" s="5">
        <v>947</v>
      </c>
      <c r="K184" s="6">
        <f t="shared" si="8"/>
        <v>12375</v>
      </c>
      <c r="L184" s="6">
        <f t="shared" si="9"/>
        <v>14205</v>
      </c>
      <c r="M184" s="6">
        <f t="shared" si="10"/>
        <v>1830</v>
      </c>
      <c r="N184" s="6" t="str">
        <f t="shared" si="11"/>
        <v>profit</v>
      </c>
    </row>
    <row r="185" spans="1:14" ht="15.6" thickTop="1" thickBot="1" x14ac:dyDescent="0.35">
      <c r="A185" s="4">
        <v>45679</v>
      </c>
      <c r="B185" s="4" t="s">
        <v>94</v>
      </c>
      <c r="C185" s="5" t="s">
        <v>103</v>
      </c>
      <c r="D185" s="5" t="s">
        <v>15</v>
      </c>
      <c r="E185" s="5" t="s">
        <v>36</v>
      </c>
      <c r="F185" s="5" t="s">
        <v>20</v>
      </c>
      <c r="G185" s="5" t="s">
        <v>18</v>
      </c>
      <c r="H185" s="5">
        <v>19</v>
      </c>
      <c r="I185" s="5">
        <v>791</v>
      </c>
      <c r="J185" s="5">
        <v>965</v>
      </c>
      <c r="K185" s="6">
        <f t="shared" si="8"/>
        <v>15029</v>
      </c>
      <c r="L185" s="6">
        <f t="shared" si="9"/>
        <v>18335</v>
      </c>
      <c r="M185" s="6">
        <f t="shared" si="10"/>
        <v>3306</v>
      </c>
      <c r="N185" s="6" t="str">
        <f t="shared" si="11"/>
        <v>profit</v>
      </c>
    </row>
    <row r="186" spans="1:14" ht="15.6" thickTop="1" thickBot="1" x14ac:dyDescent="0.35">
      <c r="A186" s="4">
        <v>45680</v>
      </c>
      <c r="B186" s="4" t="s">
        <v>94</v>
      </c>
      <c r="C186" s="5" t="s">
        <v>104</v>
      </c>
      <c r="D186" s="5" t="s">
        <v>15</v>
      </c>
      <c r="E186" s="5" t="s">
        <v>36</v>
      </c>
      <c r="F186" s="5" t="s">
        <v>22</v>
      </c>
      <c r="G186" s="5" t="s">
        <v>18</v>
      </c>
      <c r="H186" s="5">
        <v>18</v>
      </c>
      <c r="I186" s="5">
        <v>963</v>
      </c>
      <c r="J186" s="5">
        <v>1178</v>
      </c>
      <c r="K186" s="6">
        <f t="shared" si="8"/>
        <v>17334</v>
      </c>
      <c r="L186" s="6">
        <f t="shared" si="9"/>
        <v>21204</v>
      </c>
      <c r="M186" s="6">
        <f t="shared" si="10"/>
        <v>3870</v>
      </c>
      <c r="N186" s="6" t="str">
        <f t="shared" si="11"/>
        <v>profit</v>
      </c>
    </row>
    <row r="187" spans="1:14" ht="15.6" thickTop="1" thickBot="1" x14ac:dyDescent="0.35">
      <c r="A187" s="4">
        <v>45681</v>
      </c>
      <c r="B187" s="4" t="s">
        <v>94</v>
      </c>
      <c r="C187" s="5" t="s">
        <v>105</v>
      </c>
      <c r="D187" s="5" t="s">
        <v>15</v>
      </c>
      <c r="E187" s="5" t="s">
        <v>36</v>
      </c>
      <c r="F187" s="5" t="s">
        <v>24</v>
      </c>
      <c r="G187" s="5" t="s">
        <v>18</v>
      </c>
      <c r="H187" s="5">
        <v>19</v>
      </c>
      <c r="I187" s="5">
        <v>763</v>
      </c>
      <c r="J187" s="5">
        <v>1036</v>
      </c>
      <c r="K187" s="6">
        <f t="shared" si="8"/>
        <v>14497</v>
      </c>
      <c r="L187" s="6">
        <f t="shared" si="9"/>
        <v>19684</v>
      </c>
      <c r="M187" s="6">
        <f t="shared" si="10"/>
        <v>5187</v>
      </c>
      <c r="N187" s="6" t="str">
        <f t="shared" si="11"/>
        <v>profit</v>
      </c>
    </row>
    <row r="188" spans="1:14" ht="15.6" thickTop="1" thickBot="1" x14ac:dyDescent="0.35">
      <c r="A188" s="4">
        <v>45682</v>
      </c>
      <c r="B188" s="4" t="s">
        <v>94</v>
      </c>
      <c r="C188" s="5" t="s">
        <v>106</v>
      </c>
      <c r="D188" s="5" t="s">
        <v>15</v>
      </c>
      <c r="E188" s="5" t="s">
        <v>36</v>
      </c>
      <c r="F188" s="5" t="s">
        <v>24</v>
      </c>
      <c r="G188" s="5" t="s">
        <v>18</v>
      </c>
      <c r="H188" s="5">
        <v>19</v>
      </c>
      <c r="I188" s="5">
        <v>795</v>
      </c>
      <c r="J188" s="5">
        <v>1471</v>
      </c>
      <c r="K188" s="6">
        <f t="shared" si="8"/>
        <v>15105</v>
      </c>
      <c r="L188" s="6">
        <f t="shared" si="9"/>
        <v>27949</v>
      </c>
      <c r="M188" s="6">
        <f t="shared" si="10"/>
        <v>12844</v>
      </c>
      <c r="N188" s="6" t="str">
        <f t="shared" si="11"/>
        <v>profit</v>
      </c>
    </row>
    <row r="189" spans="1:14" ht="15.6" thickTop="1" thickBot="1" x14ac:dyDescent="0.35">
      <c r="A189" s="4">
        <v>45684</v>
      </c>
      <c r="B189" s="4" t="s">
        <v>94</v>
      </c>
      <c r="C189" s="5" t="s">
        <v>108</v>
      </c>
      <c r="D189" s="5" t="s">
        <v>15</v>
      </c>
      <c r="E189" s="5" t="s">
        <v>36</v>
      </c>
      <c r="F189" s="5" t="s">
        <v>29</v>
      </c>
      <c r="G189" s="5" t="s">
        <v>27</v>
      </c>
      <c r="H189" s="5">
        <v>16</v>
      </c>
      <c r="I189" s="5">
        <v>731</v>
      </c>
      <c r="J189" s="5">
        <v>1296</v>
      </c>
      <c r="K189" s="6">
        <f t="shared" si="8"/>
        <v>11696</v>
      </c>
      <c r="L189" s="6">
        <f t="shared" si="9"/>
        <v>20736</v>
      </c>
      <c r="M189" s="6">
        <f t="shared" si="10"/>
        <v>9040</v>
      </c>
      <c r="N189" s="6" t="str">
        <f t="shared" si="11"/>
        <v>profit</v>
      </c>
    </row>
    <row r="190" spans="1:14" ht="15.6" thickTop="1" thickBot="1" x14ac:dyDescent="0.35">
      <c r="A190" s="4">
        <v>45571</v>
      </c>
      <c r="B190" s="4" t="s">
        <v>84</v>
      </c>
      <c r="C190" s="5" t="s">
        <v>129</v>
      </c>
      <c r="D190" s="5" t="s">
        <v>32</v>
      </c>
      <c r="E190" s="5" t="s">
        <v>98</v>
      </c>
      <c r="F190" s="5" t="s">
        <v>43</v>
      </c>
      <c r="G190" s="5" t="s">
        <v>18</v>
      </c>
      <c r="H190" s="5">
        <v>92</v>
      </c>
      <c r="I190" s="5">
        <v>923</v>
      </c>
      <c r="J190" s="5">
        <v>1151</v>
      </c>
      <c r="K190" s="6">
        <f t="shared" si="8"/>
        <v>84916</v>
      </c>
      <c r="L190" s="6">
        <f t="shared" si="9"/>
        <v>105892</v>
      </c>
      <c r="M190" s="6">
        <f t="shared" si="10"/>
        <v>20976</v>
      </c>
      <c r="N190" s="6" t="str">
        <f t="shared" si="11"/>
        <v>profit</v>
      </c>
    </row>
    <row r="191" spans="1:14" ht="15.6" thickTop="1" thickBot="1" x14ac:dyDescent="0.35">
      <c r="A191" s="4">
        <v>45685</v>
      </c>
      <c r="B191" s="4" t="s">
        <v>94</v>
      </c>
      <c r="C191" s="5" t="s">
        <v>109</v>
      </c>
      <c r="D191" s="5" t="s">
        <v>15</v>
      </c>
      <c r="E191" s="5" t="s">
        <v>36</v>
      </c>
      <c r="F191" s="5" t="s">
        <v>24</v>
      </c>
      <c r="G191" s="5" t="s">
        <v>27</v>
      </c>
      <c r="H191" s="5">
        <v>12</v>
      </c>
      <c r="I191" s="5">
        <v>927</v>
      </c>
      <c r="J191" s="5">
        <v>1162</v>
      </c>
      <c r="K191" s="6">
        <f t="shared" si="8"/>
        <v>11124</v>
      </c>
      <c r="L191" s="6">
        <f t="shared" si="9"/>
        <v>13944</v>
      </c>
      <c r="M191" s="6">
        <f t="shared" si="10"/>
        <v>2820</v>
      </c>
      <c r="N191" s="6" t="str">
        <f t="shared" si="11"/>
        <v>profit</v>
      </c>
    </row>
    <row r="192" spans="1:14" ht="15.6" thickTop="1" thickBot="1" x14ac:dyDescent="0.35">
      <c r="A192" s="4">
        <v>45686</v>
      </c>
      <c r="B192" s="4" t="s">
        <v>94</v>
      </c>
      <c r="C192" s="5" t="s">
        <v>110</v>
      </c>
      <c r="D192" s="5" t="s">
        <v>15</v>
      </c>
      <c r="E192" s="5" t="s">
        <v>36</v>
      </c>
      <c r="F192" s="5" t="s">
        <v>38</v>
      </c>
      <c r="G192" s="5" t="s">
        <v>27</v>
      </c>
      <c r="H192" s="5">
        <v>13</v>
      </c>
      <c r="I192" s="5">
        <v>528</v>
      </c>
      <c r="J192" s="5">
        <v>1175</v>
      </c>
      <c r="K192" s="6">
        <f t="shared" si="8"/>
        <v>6864</v>
      </c>
      <c r="L192" s="6">
        <f t="shared" si="9"/>
        <v>15275</v>
      </c>
      <c r="M192" s="6">
        <f t="shared" si="10"/>
        <v>8411</v>
      </c>
      <c r="N192" s="6" t="str">
        <f t="shared" si="11"/>
        <v>profit</v>
      </c>
    </row>
    <row r="193" spans="1:14" ht="15.6" thickTop="1" thickBot="1" x14ac:dyDescent="0.35">
      <c r="A193" s="4">
        <v>45688</v>
      </c>
      <c r="B193" s="4" t="s">
        <v>94</v>
      </c>
      <c r="C193" s="5" t="s">
        <v>111</v>
      </c>
      <c r="D193" s="5" t="s">
        <v>15</v>
      </c>
      <c r="E193" s="5" t="s">
        <v>36</v>
      </c>
      <c r="F193" s="5" t="s">
        <v>112</v>
      </c>
      <c r="G193" s="5" t="s">
        <v>27</v>
      </c>
      <c r="H193" s="5">
        <v>16</v>
      </c>
      <c r="I193" s="5">
        <v>998</v>
      </c>
      <c r="J193" s="5">
        <v>835</v>
      </c>
      <c r="K193" s="6">
        <f t="shared" si="8"/>
        <v>15968</v>
      </c>
      <c r="L193" s="6">
        <f t="shared" si="9"/>
        <v>13360</v>
      </c>
      <c r="M193" s="6">
        <f t="shared" si="10"/>
        <v>-2608</v>
      </c>
      <c r="N193" s="6" t="str">
        <f t="shared" si="11"/>
        <v>loss</v>
      </c>
    </row>
    <row r="194" spans="1:14" ht="15.6" thickTop="1" thickBot="1" x14ac:dyDescent="0.35">
      <c r="A194" s="4">
        <v>45383</v>
      </c>
      <c r="B194" s="4" t="s">
        <v>30</v>
      </c>
      <c r="C194" s="5" t="s">
        <v>130</v>
      </c>
      <c r="D194" s="5" t="s">
        <v>45</v>
      </c>
      <c r="E194" s="5" t="s">
        <v>46</v>
      </c>
      <c r="F194" s="5" t="s">
        <v>70</v>
      </c>
      <c r="G194" s="5" t="s">
        <v>27</v>
      </c>
      <c r="H194" s="5">
        <v>29</v>
      </c>
      <c r="I194" s="5">
        <v>924</v>
      </c>
      <c r="J194" s="5">
        <v>1101</v>
      </c>
      <c r="K194" s="6">
        <f t="shared" ref="K194:K257" si="12">H194*I194</f>
        <v>26796</v>
      </c>
      <c r="L194" s="6">
        <f t="shared" ref="L194:L257" si="13">H194*J194</f>
        <v>31929</v>
      </c>
      <c r="M194" s="6">
        <f t="shared" ref="M194:M257" si="14">L194-K194</f>
        <v>5133</v>
      </c>
      <c r="N194" s="6" t="str">
        <f t="shared" ref="N194:N257" si="15">IF(M194&gt;0,"profit","loss")</f>
        <v>profit</v>
      </c>
    </row>
    <row r="195" spans="1:14" ht="15.6" thickTop="1" thickBot="1" x14ac:dyDescent="0.35">
      <c r="A195" s="4">
        <v>45384</v>
      </c>
      <c r="B195" s="4" t="s">
        <v>30</v>
      </c>
      <c r="C195" s="5" t="s">
        <v>131</v>
      </c>
      <c r="D195" s="5" t="s">
        <v>45</v>
      </c>
      <c r="E195" s="5" t="s">
        <v>132</v>
      </c>
      <c r="F195" s="5" t="s">
        <v>43</v>
      </c>
      <c r="G195" s="5" t="s">
        <v>27</v>
      </c>
      <c r="H195" s="5">
        <v>30</v>
      </c>
      <c r="I195" s="5">
        <v>817</v>
      </c>
      <c r="J195" s="5">
        <v>1334</v>
      </c>
      <c r="K195" s="6">
        <f t="shared" si="12"/>
        <v>24510</v>
      </c>
      <c r="L195" s="6">
        <f t="shared" si="13"/>
        <v>40020</v>
      </c>
      <c r="M195" s="6">
        <f t="shared" si="14"/>
        <v>15510</v>
      </c>
      <c r="N195" s="6" t="str">
        <f t="shared" si="15"/>
        <v>profit</v>
      </c>
    </row>
    <row r="196" spans="1:14" ht="15.6" thickTop="1" thickBot="1" x14ac:dyDescent="0.35">
      <c r="A196" s="4">
        <v>45385</v>
      </c>
      <c r="B196" s="4" t="s">
        <v>30</v>
      </c>
      <c r="C196" s="5" t="s">
        <v>133</v>
      </c>
      <c r="D196" s="5" t="s">
        <v>45</v>
      </c>
      <c r="E196" s="5" t="s">
        <v>132</v>
      </c>
      <c r="F196" s="5" t="s">
        <v>24</v>
      </c>
      <c r="G196" s="5" t="s">
        <v>27</v>
      </c>
      <c r="H196" s="5">
        <v>23</v>
      </c>
      <c r="I196" s="5">
        <v>753</v>
      </c>
      <c r="J196" s="5">
        <v>987</v>
      </c>
      <c r="K196" s="6">
        <f t="shared" si="12"/>
        <v>17319</v>
      </c>
      <c r="L196" s="6">
        <f t="shared" si="13"/>
        <v>22701</v>
      </c>
      <c r="M196" s="6">
        <f t="shared" si="14"/>
        <v>5382</v>
      </c>
      <c r="N196" s="6" t="str">
        <f t="shared" si="15"/>
        <v>profit</v>
      </c>
    </row>
    <row r="197" spans="1:14" ht="15.6" thickTop="1" thickBot="1" x14ac:dyDescent="0.35">
      <c r="A197" s="4">
        <v>45578</v>
      </c>
      <c r="B197" s="4" t="s">
        <v>84</v>
      </c>
      <c r="C197" s="5" t="s">
        <v>134</v>
      </c>
      <c r="D197" s="5" t="s">
        <v>32</v>
      </c>
      <c r="E197" s="5" t="s">
        <v>119</v>
      </c>
      <c r="F197" s="5" t="s">
        <v>24</v>
      </c>
      <c r="G197" s="5" t="s">
        <v>27</v>
      </c>
      <c r="H197" s="5">
        <v>57</v>
      </c>
      <c r="I197" s="5">
        <v>927</v>
      </c>
      <c r="J197" s="5">
        <v>1477</v>
      </c>
      <c r="K197" s="6">
        <f t="shared" si="12"/>
        <v>52839</v>
      </c>
      <c r="L197" s="6">
        <f t="shared" si="13"/>
        <v>84189</v>
      </c>
      <c r="M197" s="6">
        <f t="shared" si="14"/>
        <v>31350</v>
      </c>
      <c r="N197" s="6" t="str">
        <f t="shared" si="15"/>
        <v>profit</v>
      </c>
    </row>
    <row r="198" spans="1:14" ht="15.6" thickTop="1" thickBot="1" x14ac:dyDescent="0.35">
      <c r="A198" s="4">
        <v>45386</v>
      </c>
      <c r="B198" s="4" t="s">
        <v>30</v>
      </c>
      <c r="C198" s="5" t="s">
        <v>135</v>
      </c>
      <c r="D198" s="5" t="s">
        <v>45</v>
      </c>
      <c r="E198" s="5" t="s">
        <v>132</v>
      </c>
      <c r="F198" s="5" t="s">
        <v>63</v>
      </c>
      <c r="G198" s="5" t="s">
        <v>27</v>
      </c>
      <c r="H198" s="5">
        <v>26</v>
      </c>
      <c r="I198" s="5">
        <v>809</v>
      </c>
      <c r="J198" s="5">
        <v>800</v>
      </c>
      <c r="K198" s="6">
        <f t="shared" si="12"/>
        <v>21034</v>
      </c>
      <c r="L198" s="6">
        <f t="shared" si="13"/>
        <v>20800</v>
      </c>
      <c r="M198" s="6">
        <f t="shared" si="14"/>
        <v>-234</v>
      </c>
      <c r="N198" s="6" t="str">
        <f t="shared" si="15"/>
        <v>loss</v>
      </c>
    </row>
    <row r="199" spans="1:14" ht="15.6" thickTop="1" thickBot="1" x14ac:dyDescent="0.35">
      <c r="A199" s="4">
        <v>45391</v>
      </c>
      <c r="B199" s="4" t="s">
        <v>30</v>
      </c>
      <c r="C199" s="5" t="s">
        <v>136</v>
      </c>
      <c r="D199" s="5" t="s">
        <v>45</v>
      </c>
      <c r="E199" s="5" t="s">
        <v>46</v>
      </c>
      <c r="F199" s="5" t="s">
        <v>59</v>
      </c>
      <c r="G199" s="5" t="s">
        <v>18</v>
      </c>
      <c r="H199" s="5">
        <v>23</v>
      </c>
      <c r="I199" s="5">
        <v>852</v>
      </c>
      <c r="J199" s="5">
        <v>1480</v>
      </c>
      <c r="K199" s="6">
        <f t="shared" si="12"/>
        <v>19596</v>
      </c>
      <c r="L199" s="6">
        <f t="shared" si="13"/>
        <v>34040</v>
      </c>
      <c r="M199" s="6">
        <f t="shared" si="14"/>
        <v>14444</v>
      </c>
      <c r="N199" s="6" t="str">
        <f t="shared" si="15"/>
        <v>profit</v>
      </c>
    </row>
    <row r="200" spans="1:14" ht="15.6" thickTop="1" thickBot="1" x14ac:dyDescent="0.35">
      <c r="A200" s="4">
        <v>45392</v>
      </c>
      <c r="B200" s="4" t="s">
        <v>30</v>
      </c>
      <c r="C200" s="5" t="s">
        <v>137</v>
      </c>
      <c r="D200" s="5" t="s">
        <v>45</v>
      </c>
      <c r="E200" s="5" t="s">
        <v>46</v>
      </c>
      <c r="F200" s="5" t="s">
        <v>34</v>
      </c>
      <c r="G200" s="5" t="s">
        <v>18</v>
      </c>
      <c r="H200" s="5">
        <v>24</v>
      </c>
      <c r="I200" s="5">
        <v>903</v>
      </c>
      <c r="J200" s="5">
        <v>1338</v>
      </c>
      <c r="K200" s="6">
        <f t="shared" si="12"/>
        <v>21672</v>
      </c>
      <c r="L200" s="6">
        <f t="shared" si="13"/>
        <v>32112</v>
      </c>
      <c r="M200" s="6">
        <f t="shared" si="14"/>
        <v>10440</v>
      </c>
      <c r="N200" s="6" t="str">
        <f t="shared" si="15"/>
        <v>profit</v>
      </c>
    </row>
    <row r="201" spans="1:14" ht="15.6" thickTop="1" thickBot="1" x14ac:dyDescent="0.35">
      <c r="A201" s="4">
        <v>45393</v>
      </c>
      <c r="B201" s="4" t="s">
        <v>30</v>
      </c>
      <c r="C201" s="5" t="s">
        <v>138</v>
      </c>
      <c r="D201" s="5" t="s">
        <v>45</v>
      </c>
      <c r="E201" s="5" t="s">
        <v>46</v>
      </c>
      <c r="F201" s="5" t="s">
        <v>38</v>
      </c>
      <c r="G201" s="5" t="s">
        <v>18</v>
      </c>
      <c r="H201" s="5">
        <v>21</v>
      </c>
      <c r="I201" s="5">
        <v>829</v>
      </c>
      <c r="J201" s="5">
        <v>950</v>
      </c>
      <c r="K201" s="6">
        <f t="shared" si="12"/>
        <v>17409</v>
      </c>
      <c r="L201" s="6">
        <f t="shared" si="13"/>
        <v>19950</v>
      </c>
      <c r="M201" s="6">
        <f t="shared" si="14"/>
        <v>2541</v>
      </c>
      <c r="N201" s="6" t="str">
        <f t="shared" si="15"/>
        <v>profit</v>
      </c>
    </row>
    <row r="202" spans="1:14" ht="15.6" thickTop="1" thickBot="1" x14ac:dyDescent="0.35">
      <c r="A202" s="4">
        <v>45583</v>
      </c>
      <c r="B202" s="4" t="s">
        <v>84</v>
      </c>
      <c r="C202" s="5" t="s">
        <v>139</v>
      </c>
      <c r="D202" s="5" t="s">
        <v>15</v>
      </c>
      <c r="E202" s="5" t="s">
        <v>36</v>
      </c>
      <c r="F202" s="5" t="s">
        <v>53</v>
      </c>
      <c r="G202" s="5" t="s">
        <v>18</v>
      </c>
      <c r="H202" s="5">
        <v>16</v>
      </c>
      <c r="I202" s="5">
        <v>584</v>
      </c>
      <c r="J202" s="5">
        <v>1278</v>
      </c>
      <c r="K202" s="6">
        <f t="shared" si="12"/>
        <v>9344</v>
      </c>
      <c r="L202" s="6">
        <f t="shared" si="13"/>
        <v>20448</v>
      </c>
      <c r="M202" s="6">
        <f t="shared" si="14"/>
        <v>11104</v>
      </c>
      <c r="N202" s="6" t="str">
        <f t="shared" si="15"/>
        <v>profit</v>
      </c>
    </row>
    <row r="203" spans="1:14" ht="15.6" thickTop="1" thickBot="1" x14ac:dyDescent="0.35">
      <c r="A203" s="4">
        <v>45394</v>
      </c>
      <c r="B203" s="4" t="s">
        <v>30</v>
      </c>
      <c r="C203" s="5" t="s">
        <v>140</v>
      </c>
      <c r="D203" s="5" t="s">
        <v>45</v>
      </c>
      <c r="E203" s="5" t="s">
        <v>46</v>
      </c>
      <c r="F203" s="5" t="s">
        <v>38</v>
      </c>
      <c r="G203" s="5" t="s">
        <v>18</v>
      </c>
      <c r="H203" s="5">
        <v>20</v>
      </c>
      <c r="I203" s="5">
        <v>557</v>
      </c>
      <c r="J203" s="5">
        <v>1002</v>
      </c>
      <c r="K203" s="6">
        <f t="shared" si="12"/>
        <v>11140</v>
      </c>
      <c r="L203" s="6">
        <f t="shared" si="13"/>
        <v>20040</v>
      </c>
      <c r="M203" s="6">
        <f t="shared" si="14"/>
        <v>8900</v>
      </c>
      <c r="N203" s="6" t="str">
        <f t="shared" si="15"/>
        <v>profit</v>
      </c>
    </row>
    <row r="204" spans="1:14" ht="15.6" thickTop="1" thickBot="1" x14ac:dyDescent="0.35">
      <c r="A204" s="4">
        <v>45396</v>
      </c>
      <c r="B204" s="4" t="s">
        <v>30</v>
      </c>
      <c r="C204" s="5" t="s">
        <v>141</v>
      </c>
      <c r="D204" s="5" t="s">
        <v>45</v>
      </c>
      <c r="E204" s="5" t="s">
        <v>46</v>
      </c>
      <c r="F204" s="5" t="s">
        <v>26</v>
      </c>
      <c r="G204" s="5" t="s">
        <v>18</v>
      </c>
      <c r="H204" s="5">
        <v>20</v>
      </c>
      <c r="I204" s="5">
        <v>648</v>
      </c>
      <c r="J204" s="5">
        <v>1106</v>
      </c>
      <c r="K204" s="6">
        <f t="shared" si="12"/>
        <v>12960</v>
      </c>
      <c r="L204" s="6">
        <f t="shared" si="13"/>
        <v>22120</v>
      </c>
      <c r="M204" s="6">
        <f t="shared" si="14"/>
        <v>9160</v>
      </c>
      <c r="N204" s="6" t="str">
        <f t="shared" si="15"/>
        <v>profit</v>
      </c>
    </row>
    <row r="205" spans="1:14" ht="15.6" thickTop="1" thickBot="1" x14ac:dyDescent="0.35">
      <c r="A205" s="4">
        <v>45586</v>
      </c>
      <c r="B205" s="4" t="s">
        <v>84</v>
      </c>
      <c r="C205" s="5" t="s">
        <v>142</v>
      </c>
      <c r="D205" s="5" t="s">
        <v>15</v>
      </c>
      <c r="E205" s="5" t="s">
        <v>36</v>
      </c>
      <c r="F205" s="5" t="s">
        <v>38</v>
      </c>
      <c r="G205" s="5" t="s">
        <v>18</v>
      </c>
      <c r="H205" s="5">
        <v>19</v>
      </c>
      <c r="I205" s="5">
        <v>589</v>
      </c>
      <c r="J205" s="5">
        <v>1100</v>
      </c>
      <c r="K205" s="6">
        <f t="shared" si="12"/>
        <v>11191</v>
      </c>
      <c r="L205" s="6">
        <f t="shared" si="13"/>
        <v>20900</v>
      </c>
      <c r="M205" s="6">
        <f t="shared" si="14"/>
        <v>9709</v>
      </c>
      <c r="N205" s="6" t="str">
        <f t="shared" si="15"/>
        <v>profit</v>
      </c>
    </row>
    <row r="206" spans="1:14" ht="15.6" thickTop="1" thickBot="1" x14ac:dyDescent="0.35">
      <c r="A206" s="4">
        <v>45404</v>
      </c>
      <c r="B206" s="4" t="s">
        <v>30</v>
      </c>
      <c r="C206" s="5" t="s">
        <v>143</v>
      </c>
      <c r="D206" s="5" t="s">
        <v>45</v>
      </c>
      <c r="E206" s="5" t="s">
        <v>62</v>
      </c>
      <c r="F206" s="5" t="s">
        <v>38</v>
      </c>
      <c r="G206" s="5" t="s">
        <v>27</v>
      </c>
      <c r="H206" s="5">
        <v>26</v>
      </c>
      <c r="I206" s="5">
        <v>942</v>
      </c>
      <c r="J206" s="5">
        <v>1143</v>
      </c>
      <c r="K206" s="6">
        <f t="shared" si="12"/>
        <v>24492</v>
      </c>
      <c r="L206" s="6">
        <f t="shared" si="13"/>
        <v>29718</v>
      </c>
      <c r="M206" s="6">
        <f t="shared" si="14"/>
        <v>5226</v>
      </c>
      <c r="N206" s="6" t="str">
        <f t="shared" si="15"/>
        <v>profit</v>
      </c>
    </row>
    <row r="207" spans="1:14" ht="15.6" thickTop="1" thickBot="1" x14ac:dyDescent="0.35">
      <c r="A207" s="4">
        <v>45588</v>
      </c>
      <c r="B207" s="4" t="s">
        <v>84</v>
      </c>
      <c r="C207" s="5" t="s">
        <v>144</v>
      </c>
      <c r="D207" s="5" t="s">
        <v>45</v>
      </c>
      <c r="E207" s="5" t="s">
        <v>46</v>
      </c>
      <c r="F207" s="5" t="s">
        <v>63</v>
      </c>
      <c r="G207" s="5" t="s">
        <v>18</v>
      </c>
      <c r="H207" s="5">
        <v>30</v>
      </c>
      <c r="I207" s="5">
        <v>869</v>
      </c>
      <c r="J207" s="5">
        <v>1033</v>
      </c>
      <c r="K207" s="6">
        <f t="shared" si="12"/>
        <v>26070</v>
      </c>
      <c r="L207" s="6">
        <f t="shared" si="13"/>
        <v>30990</v>
      </c>
      <c r="M207" s="6">
        <f t="shared" si="14"/>
        <v>4920</v>
      </c>
      <c r="N207" s="6" t="str">
        <f t="shared" si="15"/>
        <v>profit</v>
      </c>
    </row>
    <row r="208" spans="1:14" ht="15.6" thickTop="1" thickBot="1" x14ac:dyDescent="0.35">
      <c r="A208" s="4">
        <v>45406</v>
      </c>
      <c r="B208" s="4" t="s">
        <v>30</v>
      </c>
      <c r="C208" s="5" t="s">
        <v>145</v>
      </c>
      <c r="D208" s="5" t="s">
        <v>45</v>
      </c>
      <c r="E208" s="5" t="s">
        <v>62</v>
      </c>
      <c r="F208" s="5" t="s">
        <v>63</v>
      </c>
      <c r="G208" s="5" t="s">
        <v>27</v>
      </c>
      <c r="H208" s="5">
        <v>20</v>
      </c>
      <c r="I208" s="5">
        <v>606</v>
      </c>
      <c r="J208" s="5">
        <v>806</v>
      </c>
      <c r="K208" s="6">
        <f t="shared" si="12"/>
        <v>12120</v>
      </c>
      <c r="L208" s="6">
        <f t="shared" si="13"/>
        <v>16120</v>
      </c>
      <c r="M208" s="6">
        <f t="shared" si="14"/>
        <v>4000</v>
      </c>
      <c r="N208" s="6" t="str">
        <f t="shared" si="15"/>
        <v>profit</v>
      </c>
    </row>
    <row r="209" spans="1:14" ht="15.6" thickTop="1" thickBot="1" x14ac:dyDescent="0.35">
      <c r="A209" s="4">
        <v>45590</v>
      </c>
      <c r="B209" s="4" t="s">
        <v>84</v>
      </c>
      <c r="C209" s="5" t="s">
        <v>146</v>
      </c>
      <c r="D209" s="5" t="s">
        <v>45</v>
      </c>
      <c r="E209" s="5" t="s">
        <v>132</v>
      </c>
      <c r="F209" s="5" t="s">
        <v>38</v>
      </c>
      <c r="G209" s="5" t="s">
        <v>27</v>
      </c>
      <c r="H209" s="5">
        <v>20</v>
      </c>
      <c r="I209" s="5">
        <v>979</v>
      </c>
      <c r="J209" s="5">
        <v>1471</v>
      </c>
      <c r="K209" s="6">
        <f t="shared" si="12"/>
        <v>19580</v>
      </c>
      <c r="L209" s="6">
        <f t="shared" si="13"/>
        <v>29420</v>
      </c>
      <c r="M209" s="6">
        <f t="shared" si="14"/>
        <v>9840</v>
      </c>
      <c r="N209" s="6" t="str">
        <f t="shared" si="15"/>
        <v>profit</v>
      </c>
    </row>
    <row r="210" spans="1:14" ht="15.6" thickTop="1" thickBot="1" x14ac:dyDescent="0.35">
      <c r="A210" s="4">
        <v>45408</v>
      </c>
      <c r="B210" s="4" t="s">
        <v>30</v>
      </c>
      <c r="C210" s="5" t="s">
        <v>147</v>
      </c>
      <c r="D210" s="5" t="s">
        <v>45</v>
      </c>
      <c r="E210" s="5" t="s">
        <v>62</v>
      </c>
      <c r="F210" s="5" t="s">
        <v>38</v>
      </c>
      <c r="G210" s="5" t="s">
        <v>18</v>
      </c>
      <c r="H210" s="5">
        <v>22</v>
      </c>
      <c r="I210" s="5">
        <v>822</v>
      </c>
      <c r="J210" s="5">
        <v>1153</v>
      </c>
      <c r="K210" s="6">
        <f t="shared" si="12"/>
        <v>18084</v>
      </c>
      <c r="L210" s="6">
        <f t="shared" si="13"/>
        <v>25366</v>
      </c>
      <c r="M210" s="6">
        <f t="shared" si="14"/>
        <v>7282</v>
      </c>
      <c r="N210" s="6" t="str">
        <f t="shared" si="15"/>
        <v>profit</v>
      </c>
    </row>
    <row r="211" spans="1:14" ht="15.6" thickTop="1" thickBot="1" x14ac:dyDescent="0.35">
      <c r="A211" s="4">
        <v>45409</v>
      </c>
      <c r="B211" s="4" t="s">
        <v>30</v>
      </c>
      <c r="C211" s="5" t="s">
        <v>148</v>
      </c>
      <c r="D211" s="5" t="s">
        <v>45</v>
      </c>
      <c r="E211" s="5" t="s">
        <v>62</v>
      </c>
      <c r="F211" s="5" t="s">
        <v>29</v>
      </c>
      <c r="G211" s="5" t="s">
        <v>18</v>
      </c>
      <c r="H211" s="5">
        <v>26</v>
      </c>
      <c r="I211" s="5">
        <v>505</v>
      </c>
      <c r="J211" s="5">
        <v>1337</v>
      </c>
      <c r="K211" s="6">
        <f t="shared" si="12"/>
        <v>13130</v>
      </c>
      <c r="L211" s="6">
        <f t="shared" si="13"/>
        <v>34762</v>
      </c>
      <c r="M211" s="6">
        <f t="shared" si="14"/>
        <v>21632</v>
      </c>
      <c r="N211" s="6" t="str">
        <f t="shared" si="15"/>
        <v>profit</v>
      </c>
    </row>
    <row r="212" spans="1:14" ht="15.6" thickTop="1" thickBot="1" x14ac:dyDescent="0.35">
      <c r="A212" s="4">
        <v>45410</v>
      </c>
      <c r="B212" s="4" t="s">
        <v>30</v>
      </c>
      <c r="C212" s="5" t="s">
        <v>149</v>
      </c>
      <c r="D212" s="5" t="s">
        <v>45</v>
      </c>
      <c r="E212" s="5" t="s">
        <v>62</v>
      </c>
      <c r="F212" s="5" t="s">
        <v>112</v>
      </c>
      <c r="G212" s="5" t="s">
        <v>18</v>
      </c>
      <c r="H212" s="5">
        <v>23</v>
      </c>
      <c r="I212" s="5">
        <v>649</v>
      </c>
      <c r="J212" s="5">
        <v>1210</v>
      </c>
      <c r="K212" s="6">
        <f t="shared" si="12"/>
        <v>14927</v>
      </c>
      <c r="L212" s="6">
        <f t="shared" si="13"/>
        <v>27830</v>
      </c>
      <c r="M212" s="6">
        <f t="shared" si="14"/>
        <v>12903</v>
      </c>
      <c r="N212" s="6" t="str">
        <f t="shared" si="15"/>
        <v>profit</v>
      </c>
    </row>
    <row r="213" spans="1:14" ht="15.6" thickTop="1" thickBot="1" x14ac:dyDescent="0.35">
      <c r="A213" s="4">
        <v>45411</v>
      </c>
      <c r="B213" s="4" t="s">
        <v>30</v>
      </c>
      <c r="C213" s="5" t="s">
        <v>150</v>
      </c>
      <c r="D213" s="5" t="s">
        <v>45</v>
      </c>
      <c r="E213" s="5" t="s">
        <v>62</v>
      </c>
      <c r="F213" s="5" t="s">
        <v>43</v>
      </c>
      <c r="G213" s="5" t="s">
        <v>18</v>
      </c>
      <c r="H213" s="5">
        <v>26</v>
      </c>
      <c r="I213" s="5">
        <v>647</v>
      </c>
      <c r="J213" s="5">
        <v>1025</v>
      </c>
      <c r="K213" s="6">
        <f t="shared" si="12"/>
        <v>16822</v>
      </c>
      <c r="L213" s="6">
        <f t="shared" si="13"/>
        <v>26650</v>
      </c>
      <c r="M213" s="6">
        <f t="shared" si="14"/>
        <v>9828</v>
      </c>
      <c r="N213" s="6" t="str">
        <f t="shared" si="15"/>
        <v>profit</v>
      </c>
    </row>
    <row r="214" spans="1:14" ht="15.6" thickTop="1" thickBot="1" x14ac:dyDescent="0.35">
      <c r="A214" s="4">
        <v>45412</v>
      </c>
      <c r="B214" s="4" t="s">
        <v>30</v>
      </c>
      <c r="C214" s="5" t="s">
        <v>151</v>
      </c>
      <c r="D214" s="5" t="s">
        <v>45</v>
      </c>
      <c r="E214" s="5" t="s">
        <v>62</v>
      </c>
      <c r="F214" s="5" t="s">
        <v>152</v>
      </c>
      <c r="G214" s="5" t="s">
        <v>18</v>
      </c>
      <c r="H214" s="5">
        <v>30</v>
      </c>
      <c r="I214" s="5">
        <v>843</v>
      </c>
      <c r="J214" s="5">
        <v>953</v>
      </c>
      <c r="K214" s="6">
        <f t="shared" si="12"/>
        <v>25290</v>
      </c>
      <c r="L214" s="6">
        <f t="shared" si="13"/>
        <v>28590</v>
      </c>
      <c r="M214" s="6">
        <f t="shared" si="14"/>
        <v>3300</v>
      </c>
      <c r="N214" s="6" t="str">
        <f t="shared" si="15"/>
        <v>profit</v>
      </c>
    </row>
    <row r="215" spans="1:14" ht="15.6" thickTop="1" thickBot="1" x14ac:dyDescent="0.35">
      <c r="A215" s="4">
        <v>45413</v>
      </c>
      <c r="B215" s="4" t="s">
        <v>96</v>
      </c>
      <c r="C215" s="5" t="s">
        <v>153</v>
      </c>
      <c r="D215" s="5" t="s">
        <v>45</v>
      </c>
      <c r="E215" s="5" t="s">
        <v>62</v>
      </c>
      <c r="F215" s="5" t="s">
        <v>154</v>
      </c>
      <c r="G215" s="5" t="s">
        <v>18</v>
      </c>
      <c r="H215" s="5">
        <v>21</v>
      </c>
      <c r="I215" s="5">
        <v>571</v>
      </c>
      <c r="J215" s="5">
        <v>900</v>
      </c>
      <c r="K215" s="6">
        <f t="shared" si="12"/>
        <v>11991</v>
      </c>
      <c r="L215" s="6">
        <f t="shared" si="13"/>
        <v>18900</v>
      </c>
      <c r="M215" s="6">
        <f t="shared" si="14"/>
        <v>6909</v>
      </c>
      <c r="N215" s="6" t="str">
        <f t="shared" si="15"/>
        <v>profit</v>
      </c>
    </row>
    <row r="216" spans="1:14" ht="15.6" thickTop="1" thickBot="1" x14ac:dyDescent="0.35">
      <c r="A216" s="4">
        <v>45414</v>
      </c>
      <c r="B216" s="4" t="s">
        <v>96</v>
      </c>
      <c r="C216" s="5" t="s">
        <v>155</v>
      </c>
      <c r="D216" s="5" t="s">
        <v>45</v>
      </c>
      <c r="E216" s="5" t="s">
        <v>62</v>
      </c>
      <c r="F216" s="5" t="s">
        <v>17</v>
      </c>
      <c r="G216" s="5" t="s">
        <v>27</v>
      </c>
      <c r="H216" s="5">
        <v>25</v>
      </c>
      <c r="I216" s="5">
        <v>909</v>
      </c>
      <c r="J216" s="5">
        <v>970</v>
      </c>
      <c r="K216" s="6">
        <f t="shared" si="12"/>
        <v>22725</v>
      </c>
      <c r="L216" s="6">
        <f t="shared" si="13"/>
        <v>24250</v>
      </c>
      <c r="M216" s="6">
        <f t="shared" si="14"/>
        <v>1525</v>
      </c>
      <c r="N216" s="6" t="str">
        <f t="shared" si="15"/>
        <v>profit</v>
      </c>
    </row>
    <row r="217" spans="1:14" ht="15.6" thickTop="1" thickBot="1" x14ac:dyDescent="0.35">
      <c r="A217" s="4">
        <v>45415</v>
      </c>
      <c r="B217" s="4" t="s">
        <v>96</v>
      </c>
      <c r="C217" s="5" t="s">
        <v>156</v>
      </c>
      <c r="D217" s="5" t="s">
        <v>45</v>
      </c>
      <c r="E217" s="5" t="s">
        <v>62</v>
      </c>
      <c r="F217" s="5" t="s">
        <v>20</v>
      </c>
      <c r="G217" s="5" t="s">
        <v>27</v>
      </c>
      <c r="H217" s="5">
        <v>24</v>
      </c>
      <c r="I217" s="5">
        <v>584</v>
      </c>
      <c r="J217" s="5">
        <v>1158</v>
      </c>
      <c r="K217" s="6">
        <f t="shared" si="12"/>
        <v>14016</v>
      </c>
      <c r="L217" s="6">
        <f t="shared" si="13"/>
        <v>27792</v>
      </c>
      <c r="M217" s="6">
        <f t="shared" si="14"/>
        <v>13776</v>
      </c>
      <c r="N217" s="6" t="str">
        <f t="shared" si="15"/>
        <v>profit</v>
      </c>
    </row>
    <row r="218" spans="1:14" ht="15.6" thickTop="1" thickBot="1" x14ac:dyDescent="0.35">
      <c r="A218" s="4">
        <v>45416</v>
      </c>
      <c r="B218" s="4" t="s">
        <v>96</v>
      </c>
      <c r="C218" s="5" t="s">
        <v>157</v>
      </c>
      <c r="D218" s="5" t="s">
        <v>45</v>
      </c>
      <c r="E218" s="5" t="s">
        <v>62</v>
      </c>
      <c r="F218" s="5" t="s">
        <v>22</v>
      </c>
      <c r="G218" s="5" t="s">
        <v>27</v>
      </c>
      <c r="H218" s="5">
        <v>28</v>
      </c>
      <c r="I218" s="5">
        <v>787</v>
      </c>
      <c r="J218" s="5">
        <v>1452</v>
      </c>
      <c r="K218" s="6">
        <f t="shared" si="12"/>
        <v>22036</v>
      </c>
      <c r="L218" s="6">
        <f t="shared" si="13"/>
        <v>40656</v>
      </c>
      <c r="M218" s="6">
        <f t="shared" si="14"/>
        <v>18620</v>
      </c>
      <c r="N218" s="6" t="str">
        <f t="shared" si="15"/>
        <v>profit</v>
      </c>
    </row>
    <row r="219" spans="1:14" ht="15.6" thickTop="1" thickBot="1" x14ac:dyDescent="0.35">
      <c r="A219" s="4">
        <v>45417</v>
      </c>
      <c r="B219" s="4" t="s">
        <v>96</v>
      </c>
      <c r="C219" s="5" t="s">
        <v>158</v>
      </c>
      <c r="D219" s="5" t="s">
        <v>45</v>
      </c>
      <c r="E219" s="5" t="s">
        <v>62</v>
      </c>
      <c r="F219" s="5" t="s">
        <v>24</v>
      </c>
      <c r="G219" s="5" t="s">
        <v>27</v>
      </c>
      <c r="H219" s="5">
        <v>23</v>
      </c>
      <c r="I219" s="5">
        <v>768</v>
      </c>
      <c r="J219" s="5">
        <v>1102</v>
      </c>
      <c r="K219" s="6">
        <f t="shared" si="12"/>
        <v>17664</v>
      </c>
      <c r="L219" s="6">
        <f t="shared" si="13"/>
        <v>25346</v>
      </c>
      <c r="M219" s="6">
        <f t="shared" si="14"/>
        <v>7682</v>
      </c>
      <c r="N219" s="6" t="str">
        <f t="shared" si="15"/>
        <v>profit</v>
      </c>
    </row>
    <row r="220" spans="1:14" ht="15.6" thickTop="1" thickBot="1" x14ac:dyDescent="0.35">
      <c r="A220" s="4">
        <v>45418</v>
      </c>
      <c r="B220" s="4" t="s">
        <v>96</v>
      </c>
      <c r="C220" s="5" t="s">
        <v>159</v>
      </c>
      <c r="D220" s="5" t="s">
        <v>45</v>
      </c>
      <c r="E220" s="5" t="s">
        <v>62</v>
      </c>
      <c r="F220" s="5" t="s">
        <v>24</v>
      </c>
      <c r="G220" s="5" t="s">
        <v>18</v>
      </c>
      <c r="H220" s="5">
        <v>23</v>
      </c>
      <c r="I220" s="5">
        <v>584</v>
      </c>
      <c r="J220" s="5">
        <v>1168</v>
      </c>
      <c r="K220" s="6">
        <f t="shared" si="12"/>
        <v>13432</v>
      </c>
      <c r="L220" s="6">
        <f t="shared" si="13"/>
        <v>26864</v>
      </c>
      <c r="M220" s="6">
        <f t="shared" si="14"/>
        <v>13432</v>
      </c>
      <c r="N220" s="6" t="str">
        <f t="shared" si="15"/>
        <v>profit</v>
      </c>
    </row>
    <row r="221" spans="1:14" ht="15.6" thickTop="1" thickBot="1" x14ac:dyDescent="0.35">
      <c r="A221" s="4">
        <v>45602</v>
      </c>
      <c r="B221" s="4" t="s">
        <v>160</v>
      </c>
      <c r="C221" s="5" t="s">
        <v>161</v>
      </c>
      <c r="D221" s="5" t="s">
        <v>32</v>
      </c>
      <c r="E221" s="5" t="s">
        <v>162</v>
      </c>
      <c r="F221" s="5" t="s">
        <v>29</v>
      </c>
      <c r="G221" s="5" t="s">
        <v>18</v>
      </c>
      <c r="H221" s="5">
        <v>57</v>
      </c>
      <c r="I221" s="5">
        <v>541</v>
      </c>
      <c r="J221" s="5">
        <v>819</v>
      </c>
      <c r="K221" s="6">
        <f t="shared" si="12"/>
        <v>30837</v>
      </c>
      <c r="L221" s="6">
        <f t="shared" si="13"/>
        <v>46683</v>
      </c>
      <c r="M221" s="6">
        <f t="shared" si="14"/>
        <v>15846</v>
      </c>
      <c r="N221" s="6" t="str">
        <f t="shared" si="15"/>
        <v>profit</v>
      </c>
    </row>
    <row r="222" spans="1:14" ht="15.6" thickTop="1" thickBot="1" x14ac:dyDescent="0.35">
      <c r="A222" s="4">
        <v>45419</v>
      </c>
      <c r="B222" s="4" t="s">
        <v>96</v>
      </c>
      <c r="C222" s="5" t="s">
        <v>163</v>
      </c>
      <c r="D222" s="5" t="s">
        <v>45</v>
      </c>
      <c r="E222" s="5" t="s">
        <v>117</v>
      </c>
      <c r="F222" s="5" t="s">
        <v>26</v>
      </c>
      <c r="G222" s="5" t="s">
        <v>18</v>
      </c>
      <c r="H222" s="5">
        <v>20</v>
      </c>
      <c r="I222" s="5">
        <v>778</v>
      </c>
      <c r="J222" s="5">
        <v>1096</v>
      </c>
      <c r="K222" s="6">
        <f t="shared" si="12"/>
        <v>15560</v>
      </c>
      <c r="L222" s="6">
        <f t="shared" si="13"/>
        <v>21920</v>
      </c>
      <c r="M222" s="6">
        <f t="shared" si="14"/>
        <v>6360</v>
      </c>
      <c r="N222" s="6" t="str">
        <f t="shared" si="15"/>
        <v>profit</v>
      </c>
    </row>
    <row r="223" spans="1:14" ht="15.6" thickTop="1" thickBot="1" x14ac:dyDescent="0.35">
      <c r="A223" s="4">
        <v>45420</v>
      </c>
      <c r="B223" s="4" t="s">
        <v>96</v>
      </c>
      <c r="C223" s="5" t="s">
        <v>164</v>
      </c>
      <c r="D223" s="5" t="s">
        <v>45</v>
      </c>
      <c r="E223" s="5" t="s">
        <v>117</v>
      </c>
      <c r="F223" s="5" t="s">
        <v>29</v>
      </c>
      <c r="G223" s="5" t="s">
        <v>18</v>
      </c>
      <c r="H223" s="5">
        <v>26</v>
      </c>
      <c r="I223" s="5">
        <v>595</v>
      </c>
      <c r="J223" s="5">
        <v>914</v>
      </c>
      <c r="K223" s="6">
        <f t="shared" si="12"/>
        <v>15470</v>
      </c>
      <c r="L223" s="6">
        <f t="shared" si="13"/>
        <v>23764</v>
      </c>
      <c r="M223" s="6">
        <f t="shared" si="14"/>
        <v>8294</v>
      </c>
      <c r="N223" s="6" t="str">
        <f t="shared" si="15"/>
        <v>profit</v>
      </c>
    </row>
    <row r="224" spans="1:14" ht="15.6" thickTop="1" thickBot="1" x14ac:dyDescent="0.35">
      <c r="A224" s="4">
        <v>45605</v>
      </c>
      <c r="B224" s="4" t="s">
        <v>160</v>
      </c>
      <c r="C224" s="5" t="s">
        <v>165</v>
      </c>
      <c r="D224" s="5" t="s">
        <v>32</v>
      </c>
      <c r="E224" s="5" t="s">
        <v>162</v>
      </c>
      <c r="F224" s="5" t="s">
        <v>70</v>
      </c>
      <c r="G224" s="5" t="s">
        <v>18</v>
      </c>
      <c r="H224" s="5">
        <v>70</v>
      </c>
      <c r="I224" s="5">
        <v>871</v>
      </c>
      <c r="J224" s="5">
        <v>862</v>
      </c>
      <c r="K224" s="6">
        <f t="shared" si="12"/>
        <v>60970</v>
      </c>
      <c r="L224" s="6">
        <f t="shared" si="13"/>
        <v>60340</v>
      </c>
      <c r="M224" s="6">
        <f t="shared" si="14"/>
        <v>-630</v>
      </c>
      <c r="N224" s="6" t="str">
        <f t="shared" si="15"/>
        <v>loss</v>
      </c>
    </row>
    <row r="225" spans="1:14" ht="15.6" thickTop="1" thickBot="1" x14ac:dyDescent="0.35">
      <c r="A225" s="4">
        <v>45421</v>
      </c>
      <c r="B225" s="4" t="s">
        <v>96</v>
      </c>
      <c r="C225" s="5" t="s">
        <v>166</v>
      </c>
      <c r="D225" s="5" t="s">
        <v>45</v>
      </c>
      <c r="E225" s="5" t="s">
        <v>117</v>
      </c>
      <c r="F225" s="5" t="s">
        <v>24</v>
      </c>
      <c r="G225" s="5" t="s">
        <v>18</v>
      </c>
      <c r="H225" s="5">
        <v>27</v>
      </c>
      <c r="I225" s="5">
        <v>722</v>
      </c>
      <c r="J225" s="5">
        <v>1497</v>
      </c>
      <c r="K225" s="6">
        <f t="shared" si="12"/>
        <v>19494</v>
      </c>
      <c r="L225" s="6">
        <f t="shared" si="13"/>
        <v>40419</v>
      </c>
      <c r="M225" s="6">
        <f t="shared" si="14"/>
        <v>20925</v>
      </c>
      <c r="N225" s="6" t="str">
        <f t="shared" si="15"/>
        <v>profit</v>
      </c>
    </row>
    <row r="226" spans="1:14" ht="15.6" thickTop="1" thickBot="1" x14ac:dyDescent="0.35">
      <c r="A226" s="4">
        <v>45422</v>
      </c>
      <c r="B226" s="4" t="s">
        <v>96</v>
      </c>
      <c r="C226" s="5" t="s">
        <v>167</v>
      </c>
      <c r="D226" s="5" t="s">
        <v>45</v>
      </c>
      <c r="E226" s="5" t="s">
        <v>117</v>
      </c>
      <c r="F226" s="5" t="s">
        <v>75</v>
      </c>
      <c r="G226" s="5" t="s">
        <v>18</v>
      </c>
      <c r="H226" s="5">
        <v>25</v>
      </c>
      <c r="I226" s="5">
        <v>982</v>
      </c>
      <c r="J226" s="5">
        <v>1395</v>
      </c>
      <c r="K226" s="6">
        <f t="shared" si="12"/>
        <v>24550</v>
      </c>
      <c r="L226" s="6">
        <f t="shared" si="13"/>
        <v>34875</v>
      </c>
      <c r="M226" s="6">
        <f t="shared" si="14"/>
        <v>10325</v>
      </c>
      <c r="N226" s="6" t="str">
        <f t="shared" si="15"/>
        <v>profit</v>
      </c>
    </row>
    <row r="227" spans="1:14" ht="15.6" thickTop="1" thickBot="1" x14ac:dyDescent="0.35">
      <c r="A227" s="4">
        <v>45423</v>
      </c>
      <c r="B227" s="4" t="s">
        <v>96</v>
      </c>
      <c r="C227" s="5" t="s">
        <v>168</v>
      </c>
      <c r="D227" s="5" t="s">
        <v>45</v>
      </c>
      <c r="E227" s="5" t="s">
        <v>117</v>
      </c>
      <c r="F227" s="5" t="s">
        <v>70</v>
      </c>
      <c r="G227" s="5" t="s">
        <v>18</v>
      </c>
      <c r="H227" s="5">
        <v>25</v>
      </c>
      <c r="I227" s="5">
        <v>982</v>
      </c>
      <c r="J227" s="5">
        <v>1389</v>
      </c>
      <c r="K227" s="6">
        <f t="shared" si="12"/>
        <v>24550</v>
      </c>
      <c r="L227" s="6">
        <f t="shared" si="13"/>
        <v>34725</v>
      </c>
      <c r="M227" s="6">
        <f t="shared" si="14"/>
        <v>10175</v>
      </c>
      <c r="N227" s="6" t="str">
        <f t="shared" si="15"/>
        <v>profit</v>
      </c>
    </row>
    <row r="228" spans="1:14" ht="15.6" thickTop="1" thickBot="1" x14ac:dyDescent="0.35">
      <c r="A228" s="4">
        <v>45424</v>
      </c>
      <c r="B228" s="4" t="s">
        <v>96</v>
      </c>
      <c r="C228" s="5" t="s">
        <v>169</v>
      </c>
      <c r="D228" s="5" t="s">
        <v>45</v>
      </c>
      <c r="E228" s="5" t="s">
        <v>117</v>
      </c>
      <c r="F228" s="5" t="s">
        <v>43</v>
      </c>
      <c r="G228" s="5" t="s">
        <v>18</v>
      </c>
      <c r="H228" s="5">
        <v>25</v>
      </c>
      <c r="I228" s="5">
        <v>810</v>
      </c>
      <c r="J228" s="5">
        <v>1086</v>
      </c>
      <c r="K228" s="6">
        <f t="shared" si="12"/>
        <v>20250</v>
      </c>
      <c r="L228" s="6">
        <f t="shared" si="13"/>
        <v>27150</v>
      </c>
      <c r="M228" s="6">
        <f t="shared" si="14"/>
        <v>6900</v>
      </c>
      <c r="N228" s="6" t="str">
        <f t="shared" si="15"/>
        <v>profit</v>
      </c>
    </row>
    <row r="229" spans="1:14" ht="15.6" thickTop="1" thickBot="1" x14ac:dyDescent="0.35">
      <c r="A229" s="4">
        <v>45610</v>
      </c>
      <c r="B229" s="4" t="s">
        <v>160</v>
      </c>
      <c r="C229" s="5" t="s">
        <v>170</v>
      </c>
      <c r="D229" s="5" t="s">
        <v>45</v>
      </c>
      <c r="E229" s="5" t="s">
        <v>62</v>
      </c>
      <c r="F229" s="5" t="s">
        <v>77</v>
      </c>
      <c r="G229" s="5" t="s">
        <v>27</v>
      </c>
      <c r="H229" s="5">
        <v>20</v>
      </c>
      <c r="I229" s="5">
        <v>773</v>
      </c>
      <c r="J229" s="5">
        <v>823</v>
      </c>
      <c r="K229" s="6">
        <f t="shared" si="12"/>
        <v>15460</v>
      </c>
      <c r="L229" s="6">
        <f t="shared" si="13"/>
        <v>16460</v>
      </c>
      <c r="M229" s="6">
        <f t="shared" si="14"/>
        <v>1000</v>
      </c>
      <c r="N229" s="6" t="str">
        <f t="shared" si="15"/>
        <v>profit</v>
      </c>
    </row>
    <row r="230" spans="1:14" ht="15.6" thickTop="1" thickBot="1" x14ac:dyDescent="0.35">
      <c r="A230" s="4">
        <v>45425</v>
      </c>
      <c r="B230" s="4" t="s">
        <v>96</v>
      </c>
      <c r="C230" s="5" t="s">
        <v>171</v>
      </c>
      <c r="D230" s="5" t="s">
        <v>45</v>
      </c>
      <c r="E230" s="5" t="s">
        <v>117</v>
      </c>
      <c r="F230" s="5" t="s">
        <v>24</v>
      </c>
      <c r="G230" s="5" t="s">
        <v>18</v>
      </c>
      <c r="H230" s="5">
        <v>26</v>
      </c>
      <c r="I230" s="5">
        <v>781</v>
      </c>
      <c r="J230" s="5">
        <v>1019</v>
      </c>
      <c r="K230" s="6">
        <f t="shared" si="12"/>
        <v>20306</v>
      </c>
      <c r="L230" s="6">
        <f t="shared" si="13"/>
        <v>26494</v>
      </c>
      <c r="M230" s="6">
        <f t="shared" si="14"/>
        <v>6188</v>
      </c>
      <c r="N230" s="6" t="str">
        <f t="shared" si="15"/>
        <v>profit</v>
      </c>
    </row>
    <row r="231" spans="1:14" ht="15.6" thickTop="1" thickBot="1" x14ac:dyDescent="0.35">
      <c r="A231" s="4">
        <v>45426</v>
      </c>
      <c r="B231" s="4" t="s">
        <v>96</v>
      </c>
      <c r="C231" s="5" t="s">
        <v>172</v>
      </c>
      <c r="D231" s="5" t="s">
        <v>45</v>
      </c>
      <c r="E231" s="5" t="s">
        <v>117</v>
      </c>
      <c r="F231" s="5" t="s">
        <v>63</v>
      </c>
      <c r="G231" s="5" t="s">
        <v>18</v>
      </c>
      <c r="H231" s="5">
        <v>26</v>
      </c>
      <c r="I231" s="5">
        <v>630</v>
      </c>
      <c r="J231" s="5">
        <v>767</v>
      </c>
      <c r="K231" s="6">
        <f t="shared" si="12"/>
        <v>16380</v>
      </c>
      <c r="L231" s="6">
        <f t="shared" si="13"/>
        <v>19942</v>
      </c>
      <c r="M231" s="6">
        <f t="shared" si="14"/>
        <v>3562</v>
      </c>
      <c r="N231" s="6" t="str">
        <f t="shared" si="15"/>
        <v>profit</v>
      </c>
    </row>
    <row r="232" spans="1:14" ht="15.6" thickTop="1" thickBot="1" x14ac:dyDescent="0.35">
      <c r="A232" s="4">
        <v>45427</v>
      </c>
      <c r="B232" s="4" t="s">
        <v>96</v>
      </c>
      <c r="C232" s="5" t="s">
        <v>173</v>
      </c>
      <c r="D232" s="5" t="s">
        <v>45</v>
      </c>
      <c r="E232" s="5" t="s">
        <v>117</v>
      </c>
      <c r="F232" s="5" t="s">
        <v>75</v>
      </c>
      <c r="G232" s="5" t="s">
        <v>18</v>
      </c>
      <c r="H232" s="5">
        <v>23</v>
      </c>
      <c r="I232" s="5">
        <v>972</v>
      </c>
      <c r="J232" s="5">
        <v>782</v>
      </c>
      <c r="K232" s="6">
        <f t="shared" si="12"/>
        <v>22356</v>
      </c>
      <c r="L232" s="6">
        <f t="shared" si="13"/>
        <v>17986</v>
      </c>
      <c r="M232" s="6">
        <f t="shared" si="14"/>
        <v>-4370</v>
      </c>
      <c r="N232" s="6" t="str">
        <f t="shared" si="15"/>
        <v>loss</v>
      </c>
    </row>
    <row r="233" spans="1:14" ht="15.6" thickTop="1" thickBot="1" x14ac:dyDescent="0.35">
      <c r="A233" s="4">
        <v>45614</v>
      </c>
      <c r="B233" s="4" t="s">
        <v>160</v>
      </c>
      <c r="C233" s="5" t="s">
        <v>174</v>
      </c>
      <c r="D233" s="5" t="s">
        <v>45</v>
      </c>
      <c r="E233" s="5" t="s">
        <v>62</v>
      </c>
      <c r="F233" s="5" t="s">
        <v>34</v>
      </c>
      <c r="G233" s="5" t="s">
        <v>18</v>
      </c>
      <c r="H233" s="5">
        <v>23</v>
      </c>
      <c r="I233" s="5">
        <v>906</v>
      </c>
      <c r="J233" s="5">
        <v>1275</v>
      </c>
      <c r="K233" s="6">
        <f t="shared" si="12"/>
        <v>20838</v>
      </c>
      <c r="L233" s="6">
        <f t="shared" si="13"/>
        <v>29325</v>
      </c>
      <c r="M233" s="6">
        <f t="shared" si="14"/>
        <v>8487</v>
      </c>
      <c r="N233" s="6" t="str">
        <f t="shared" si="15"/>
        <v>profit</v>
      </c>
    </row>
    <row r="234" spans="1:14" ht="15.6" thickTop="1" thickBot="1" x14ac:dyDescent="0.35">
      <c r="A234" s="4">
        <v>45428</v>
      </c>
      <c r="B234" s="4" t="s">
        <v>96</v>
      </c>
      <c r="C234" s="5" t="s">
        <v>175</v>
      </c>
      <c r="D234" s="5" t="s">
        <v>45</v>
      </c>
      <c r="E234" s="5" t="s">
        <v>117</v>
      </c>
      <c r="F234" s="5" t="s">
        <v>77</v>
      </c>
      <c r="G234" s="5" t="s">
        <v>27</v>
      </c>
      <c r="H234" s="5">
        <v>30</v>
      </c>
      <c r="I234" s="5">
        <v>987</v>
      </c>
      <c r="J234" s="5">
        <v>1366</v>
      </c>
      <c r="K234" s="6">
        <f t="shared" si="12"/>
        <v>29610</v>
      </c>
      <c r="L234" s="6">
        <f t="shared" si="13"/>
        <v>40980</v>
      </c>
      <c r="M234" s="6">
        <f t="shared" si="14"/>
        <v>11370</v>
      </c>
      <c r="N234" s="6" t="str">
        <f t="shared" si="15"/>
        <v>profit</v>
      </c>
    </row>
    <row r="235" spans="1:14" ht="15.6" thickTop="1" thickBot="1" x14ac:dyDescent="0.35">
      <c r="A235" s="4">
        <v>45616</v>
      </c>
      <c r="B235" s="4" t="s">
        <v>160</v>
      </c>
      <c r="C235" s="5" t="s">
        <v>176</v>
      </c>
      <c r="D235" s="5" t="s">
        <v>45</v>
      </c>
      <c r="E235" s="5" t="s">
        <v>62</v>
      </c>
      <c r="F235" s="5" t="s">
        <v>38</v>
      </c>
      <c r="G235" s="5" t="s">
        <v>18</v>
      </c>
      <c r="H235" s="5">
        <v>24</v>
      </c>
      <c r="I235" s="5">
        <v>927</v>
      </c>
      <c r="J235" s="5">
        <v>1379</v>
      </c>
      <c r="K235" s="6">
        <f t="shared" si="12"/>
        <v>22248</v>
      </c>
      <c r="L235" s="6">
        <f t="shared" si="13"/>
        <v>33096</v>
      </c>
      <c r="M235" s="6">
        <f t="shared" si="14"/>
        <v>10848</v>
      </c>
      <c r="N235" s="6" t="str">
        <f t="shared" si="15"/>
        <v>profit</v>
      </c>
    </row>
    <row r="236" spans="1:14" ht="15.6" thickTop="1" thickBot="1" x14ac:dyDescent="0.35">
      <c r="A236" s="4">
        <v>45429</v>
      </c>
      <c r="B236" s="4" t="s">
        <v>96</v>
      </c>
      <c r="C236" s="5" t="s">
        <v>177</v>
      </c>
      <c r="D236" s="5" t="s">
        <v>45</v>
      </c>
      <c r="E236" s="5" t="s">
        <v>117</v>
      </c>
      <c r="F236" s="5" t="s">
        <v>34</v>
      </c>
      <c r="G236" s="5" t="s">
        <v>27</v>
      </c>
      <c r="H236" s="5">
        <v>25</v>
      </c>
      <c r="I236" s="5">
        <v>877</v>
      </c>
      <c r="J236" s="5">
        <v>797</v>
      </c>
      <c r="K236" s="6">
        <f t="shared" si="12"/>
        <v>21925</v>
      </c>
      <c r="L236" s="6">
        <f t="shared" si="13"/>
        <v>19925</v>
      </c>
      <c r="M236" s="6">
        <f t="shared" si="14"/>
        <v>-2000</v>
      </c>
      <c r="N236" s="6" t="str">
        <f t="shared" si="15"/>
        <v>loss</v>
      </c>
    </row>
    <row r="237" spans="1:14" ht="15.6" thickTop="1" thickBot="1" x14ac:dyDescent="0.35">
      <c r="A237" s="4">
        <v>45430</v>
      </c>
      <c r="B237" s="4" t="s">
        <v>96</v>
      </c>
      <c r="C237" s="5" t="s">
        <v>178</v>
      </c>
      <c r="D237" s="5" t="s">
        <v>45</v>
      </c>
      <c r="E237" s="5" t="s">
        <v>117</v>
      </c>
      <c r="F237" s="5" t="s">
        <v>43</v>
      </c>
      <c r="G237" s="5" t="s">
        <v>27</v>
      </c>
      <c r="H237" s="5">
        <v>26</v>
      </c>
      <c r="I237" s="5">
        <v>596</v>
      </c>
      <c r="J237" s="5">
        <v>1136</v>
      </c>
      <c r="K237" s="6">
        <f t="shared" si="12"/>
        <v>15496</v>
      </c>
      <c r="L237" s="6">
        <f t="shared" si="13"/>
        <v>29536</v>
      </c>
      <c r="M237" s="6">
        <f t="shared" si="14"/>
        <v>14040</v>
      </c>
      <c r="N237" s="6" t="str">
        <f t="shared" si="15"/>
        <v>profit</v>
      </c>
    </row>
    <row r="238" spans="1:14" ht="15.6" thickTop="1" thickBot="1" x14ac:dyDescent="0.35">
      <c r="A238" s="4">
        <v>45484</v>
      </c>
      <c r="B238" s="4" t="s">
        <v>39</v>
      </c>
      <c r="C238" s="5" t="s">
        <v>179</v>
      </c>
      <c r="D238" s="5" t="s">
        <v>45</v>
      </c>
      <c r="E238" s="5" t="s">
        <v>117</v>
      </c>
      <c r="F238" s="5" t="s">
        <v>38</v>
      </c>
      <c r="G238" s="5" t="s">
        <v>27</v>
      </c>
      <c r="H238" s="5">
        <v>26</v>
      </c>
      <c r="I238" s="5">
        <v>771</v>
      </c>
      <c r="J238" s="5">
        <v>1172</v>
      </c>
      <c r="K238" s="6">
        <f t="shared" si="12"/>
        <v>20046</v>
      </c>
      <c r="L238" s="6">
        <f t="shared" si="13"/>
        <v>30472</v>
      </c>
      <c r="M238" s="6">
        <f t="shared" si="14"/>
        <v>10426</v>
      </c>
      <c r="N238" s="6" t="str">
        <f t="shared" si="15"/>
        <v>profit</v>
      </c>
    </row>
    <row r="239" spans="1:14" ht="15.6" thickTop="1" thickBot="1" x14ac:dyDescent="0.35">
      <c r="A239" s="4">
        <v>45485</v>
      </c>
      <c r="B239" s="4" t="s">
        <v>39</v>
      </c>
      <c r="C239" s="5" t="s">
        <v>180</v>
      </c>
      <c r="D239" s="5" t="s">
        <v>45</v>
      </c>
      <c r="E239" s="5" t="s">
        <v>117</v>
      </c>
      <c r="F239" s="5" t="s">
        <v>63</v>
      </c>
      <c r="G239" s="5" t="s">
        <v>27</v>
      </c>
      <c r="H239" s="5">
        <v>30</v>
      </c>
      <c r="I239" s="5">
        <v>859</v>
      </c>
      <c r="J239" s="5">
        <v>1123</v>
      </c>
      <c r="K239" s="6">
        <f t="shared" si="12"/>
        <v>25770</v>
      </c>
      <c r="L239" s="6">
        <f t="shared" si="13"/>
        <v>33690</v>
      </c>
      <c r="M239" s="6">
        <f t="shared" si="14"/>
        <v>7920</v>
      </c>
      <c r="N239" s="6" t="str">
        <f t="shared" si="15"/>
        <v>profit</v>
      </c>
    </row>
    <row r="240" spans="1:14" ht="15.6" thickTop="1" thickBot="1" x14ac:dyDescent="0.35">
      <c r="A240" s="4">
        <v>45486</v>
      </c>
      <c r="B240" s="4" t="s">
        <v>39</v>
      </c>
      <c r="C240" s="5" t="s">
        <v>181</v>
      </c>
      <c r="D240" s="5" t="s">
        <v>45</v>
      </c>
      <c r="E240" s="5" t="s">
        <v>117</v>
      </c>
      <c r="F240" s="5" t="s">
        <v>63</v>
      </c>
      <c r="G240" s="5" t="s">
        <v>27</v>
      </c>
      <c r="H240" s="5">
        <v>30</v>
      </c>
      <c r="I240" s="5">
        <v>726</v>
      </c>
      <c r="J240" s="5">
        <v>964</v>
      </c>
      <c r="K240" s="6">
        <f t="shared" si="12"/>
        <v>21780</v>
      </c>
      <c r="L240" s="6">
        <f t="shared" si="13"/>
        <v>28920</v>
      </c>
      <c r="M240" s="6">
        <f t="shared" si="14"/>
        <v>7140</v>
      </c>
      <c r="N240" s="6" t="str">
        <f t="shared" si="15"/>
        <v>profit</v>
      </c>
    </row>
    <row r="241" spans="1:14" ht="15.6" thickTop="1" thickBot="1" x14ac:dyDescent="0.35">
      <c r="A241" s="4">
        <v>45487</v>
      </c>
      <c r="B241" s="4" t="s">
        <v>39</v>
      </c>
      <c r="C241" s="5" t="s">
        <v>182</v>
      </c>
      <c r="D241" s="5" t="s">
        <v>45</v>
      </c>
      <c r="E241" s="5" t="s">
        <v>117</v>
      </c>
      <c r="F241" s="5" t="s">
        <v>59</v>
      </c>
      <c r="G241" s="5" t="s">
        <v>27</v>
      </c>
      <c r="H241" s="5">
        <v>29</v>
      </c>
      <c r="I241" s="5">
        <v>861</v>
      </c>
      <c r="J241" s="5">
        <v>820</v>
      </c>
      <c r="K241" s="6">
        <f t="shared" si="12"/>
        <v>24969</v>
      </c>
      <c r="L241" s="6">
        <f t="shared" si="13"/>
        <v>23780</v>
      </c>
      <c r="M241" s="6">
        <f t="shared" si="14"/>
        <v>-1189</v>
      </c>
      <c r="N241" s="6" t="str">
        <f t="shared" si="15"/>
        <v>loss</v>
      </c>
    </row>
    <row r="242" spans="1:14" ht="15.6" thickTop="1" thickBot="1" x14ac:dyDescent="0.35">
      <c r="A242" s="4">
        <v>45489</v>
      </c>
      <c r="B242" s="4" t="s">
        <v>39</v>
      </c>
      <c r="C242" s="5" t="s">
        <v>183</v>
      </c>
      <c r="D242" s="5" t="s">
        <v>45</v>
      </c>
      <c r="E242" s="5" t="s">
        <v>117</v>
      </c>
      <c r="F242" s="5" t="s">
        <v>29</v>
      </c>
      <c r="G242" s="5" t="s">
        <v>18</v>
      </c>
      <c r="H242" s="5">
        <v>24</v>
      </c>
      <c r="I242" s="5">
        <v>978</v>
      </c>
      <c r="J242" s="5">
        <v>773</v>
      </c>
      <c r="K242" s="6">
        <f t="shared" si="12"/>
        <v>23472</v>
      </c>
      <c r="L242" s="6">
        <f t="shared" si="13"/>
        <v>18552</v>
      </c>
      <c r="M242" s="6">
        <f t="shared" si="14"/>
        <v>-4920</v>
      </c>
      <c r="N242" s="6" t="str">
        <f t="shared" si="15"/>
        <v>loss</v>
      </c>
    </row>
    <row r="243" spans="1:14" ht="15.6" thickTop="1" thickBot="1" x14ac:dyDescent="0.35">
      <c r="A243" s="4">
        <v>45490</v>
      </c>
      <c r="B243" s="4" t="s">
        <v>39</v>
      </c>
      <c r="C243" s="5" t="s">
        <v>184</v>
      </c>
      <c r="D243" s="5" t="s">
        <v>45</v>
      </c>
      <c r="E243" s="5" t="s">
        <v>117</v>
      </c>
      <c r="F243" s="5" t="s">
        <v>112</v>
      </c>
      <c r="G243" s="5" t="s">
        <v>18</v>
      </c>
      <c r="H243" s="5">
        <v>30</v>
      </c>
      <c r="I243" s="5">
        <v>514</v>
      </c>
      <c r="J243" s="5">
        <v>1333</v>
      </c>
      <c r="K243" s="6">
        <f t="shared" si="12"/>
        <v>15420</v>
      </c>
      <c r="L243" s="6">
        <f t="shared" si="13"/>
        <v>39990</v>
      </c>
      <c r="M243" s="6">
        <f t="shared" si="14"/>
        <v>24570</v>
      </c>
      <c r="N243" s="6" t="str">
        <f t="shared" si="15"/>
        <v>profit</v>
      </c>
    </row>
    <row r="244" spans="1:14" ht="15.6" thickTop="1" thickBot="1" x14ac:dyDescent="0.35">
      <c r="A244" s="4">
        <v>45491</v>
      </c>
      <c r="B244" s="4" t="s">
        <v>39</v>
      </c>
      <c r="C244" s="5" t="s">
        <v>185</v>
      </c>
      <c r="D244" s="5" t="s">
        <v>45</v>
      </c>
      <c r="E244" s="5" t="s">
        <v>117</v>
      </c>
      <c r="F244" s="5" t="s">
        <v>43</v>
      </c>
      <c r="G244" s="5" t="s">
        <v>18</v>
      </c>
      <c r="H244" s="5">
        <v>26</v>
      </c>
      <c r="I244" s="5">
        <v>656</v>
      </c>
      <c r="J244" s="5">
        <v>908</v>
      </c>
      <c r="K244" s="6">
        <f t="shared" si="12"/>
        <v>17056</v>
      </c>
      <c r="L244" s="6">
        <f t="shared" si="13"/>
        <v>23608</v>
      </c>
      <c r="M244" s="6">
        <f t="shared" si="14"/>
        <v>6552</v>
      </c>
      <c r="N244" s="6" t="str">
        <f t="shared" si="15"/>
        <v>profit</v>
      </c>
    </row>
    <row r="245" spans="1:14" ht="15.6" thickTop="1" thickBot="1" x14ac:dyDescent="0.35">
      <c r="A245" s="4">
        <v>45626</v>
      </c>
      <c r="B245" s="4" t="s">
        <v>160</v>
      </c>
      <c r="C245" s="5" t="s">
        <v>186</v>
      </c>
      <c r="D245" s="5" t="s">
        <v>45</v>
      </c>
      <c r="E245" s="5" t="s">
        <v>117</v>
      </c>
      <c r="F245" s="5" t="s">
        <v>38</v>
      </c>
      <c r="G245" s="5" t="s">
        <v>18</v>
      </c>
      <c r="H245" s="5">
        <v>28</v>
      </c>
      <c r="I245" s="5">
        <v>866</v>
      </c>
      <c r="J245" s="5">
        <v>1102</v>
      </c>
      <c r="K245" s="6">
        <f t="shared" si="12"/>
        <v>24248</v>
      </c>
      <c r="L245" s="6">
        <f t="shared" si="13"/>
        <v>30856</v>
      </c>
      <c r="M245" s="6">
        <f t="shared" si="14"/>
        <v>6608</v>
      </c>
      <c r="N245" s="6" t="str">
        <f t="shared" si="15"/>
        <v>profit</v>
      </c>
    </row>
    <row r="246" spans="1:14" ht="15.6" thickTop="1" thickBot="1" x14ac:dyDescent="0.35">
      <c r="A246" s="4">
        <v>45492</v>
      </c>
      <c r="B246" s="4" t="s">
        <v>39</v>
      </c>
      <c r="C246" s="5" t="s">
        <v>187</v>
      </c>
      <c r="D246" s="5" t="s">
        <v>45</v>
      </c>
      <c r="E246" s="5" t="s">
        <v>117</v>
      </c>
      <c r="F246" s="5" t="s">
        <v>152</v>
      </c>
      <c r="G246" s="5" t="s">
        <v>18</v>
      </c>
      <c r="H246" s="5">
        <v>28</v>
      </c>
      <c r="I246" s="5">
        <v>866</v>
      </c>
      <c r="J246" s="5">
        <v>1080</v>
      </c>
      <c r="K246" s="6">
        <f t="shared" si="12"/>
        <v>24248</v>
      </c>
      <c r="L246" s="6">
        <f t="shared" si="13"/>
        <v>30240</v>
      </c>
      <c r="M246" s="6">
        <f t="shared" si="14"/>
        <v>5992</v>
      </c>
      <c r="N246" s="6" t="str">
        <f t="shared" si="15"/>
        <v>profit</v>
      </c>
    </row>
    <row r="247" spans="1:14" ht="15.6" thickTop="1" thickBot="1" x14ac:dyDescent="0.35">
      <c r="A247" s="4">
        <v>45493</v>
      </c>
      <c r="B247" s="4" t="s">
        <v>39</v>
      </c>
      <c r="C247" s="5" t="s">
        <v>188</v>
      </c>
      <c r="D247" s="5" t="s">
        <v>45</v>
      </c>
      <c r="E247" s="5" t="s">
        <v>117</v>
      </c>
      <c r="F247" s="5" t="s">
        <v>154</v>
      </c>
      <c r="G247" s="5" t="s">
        <v>18</v>
      </c>
      <c r="H247" s="5">
        <v>23</v>
      </c>
      <c r="I247" s="5">
        <v>969</v>
      </c>
      <c r="J247" s="5">
        <v>1075</v>
      </c>
      <c r="K247" s="6">
        <f t="shared" si="12"/>
        <v>22287</v>
      </c>
      <c r="L247" s="6">
        <f t="shared" si="13"/>
        <v>24725</v>
      </c>
      <c r="M247" s="6">
        <f t="shared" si="14"/>
        <v>2438</v>
      </c>
      <c r="N247" s="6" t="str">
        <f t="shared" si="15"/>
        <v>profit</v>
      </c>
    </row>
    <row r="248" spans="1:14" ht="15.6" thickTop="1" thickBot="1" x14ac:dyDescent="0.35">
      <c r="A248" s="4">
        <v>45629</v>
      </c>
      <c r="B248" s="4" t="s">
        <v>189</v>
      </c>
      <c r="C248" s="5" t="s">
        <v>190</v>
      </c>
      <c r="D248" s="5" t="s">
        <v>45</v>
      </c>
      <c r="E248" s="5" t="s">
        <v>117</v>
      </c>
      <c r="F248" s="5" t="s">
        <v>59</v>
      </c>
      <c r="G248" s="5" t="s">
        <v>27</v>
      </c>
      <c r="H248" s="5">
        <v>29</v>
      </c>
      <c r="I248" s="5">
        <v>639</v>
      </c>
      <c r="J248" s="5">
        <v>1257</v>
      </c>
      <c r="K248" s="6">
        <f t="shared" si="12"/>
        <v>18531</v>
      </c>
      <c r="L248" s="6">
        <f t="shared" si="13"/>
        <v>36453</v>
      </c>
      <c r="M248" s="6">
        <f t="shared" si="14"/>
        <v>17922</v>
      </c>
      <c r="N248" s="6" t="str">
        <f t="shared" si="15"/>
        <v>profit</v>
      </c>
    </row>
    <row r="249" spans="1:14" ht="15.6" thickTop="1" thickBot="1" x14ac:dyDescent="0.35">
      <c r="A249" s="4">
        <v>45494</v>
      </c>
      <c r="B249" s="4" t="s">
        <v>39</v>
      </c>
      <c r="C249" s="5" t="s">
        <v>191</v>
      </c>
      <c r="D249" s="5" t="s">
        <v>45</v>
      </c>
      <c r="E249" s="5" t="s">
        <v>117</v>
      </c>
      <c r="F249" s="5" t="s">
        <v>17</v>
      </c>
      <c r="G249" s="5" t="s">
        <v>18</v>
      </c>
      <c r="H249" s="5">
        <v>21</v>
      </c>
      <c r="I249" s="5">
        <v>626</v>
      </c>
      <c r="J249" s="5">
        <v>772</v>
      </c>
      <c r="K249" s="6">
        <f t="shared" si="12"/>
        <v>13146</v>
      </c>
      <c r="L249" s="6">
        <f t="shared" si="13"/>
        <v>16212</v>
      </c>
      <c r="M249" s="6">
        <f t="shared" si="14"/>
        <v>3066</v>
      </c>
      <c r="N249" s="6" t="str">
        <f t="shared" si="15"/>
        <v>profit</v>
      </c>
    </row>
    <row r="250" spans="1:14" ht="15.6" thickTop="1" thickBot="1" x14ac:dyDescent="0.35">
      <c r="A250" s="4">
        <v>45517</v>
      </c>
      <c r="B250" s="4" t="s">
        <v>56</v>
      </c>
      <c r="C250" s="5" t="s">
        <v>192</v>
      </c>
      <c r="D250" s="5" t="s">
        <v>45</v>
      </c>
      <c r="E250" s="5" t="s">
        <v>117</v>
      </c>
      <c r="F250" s="5" t="s">
        <v>43</v>
      </c>
      <c r="G250" s="5" t="s">
        <v>27</v>
      </c>
      <c r="H250" s="5">
        <v>26</v>
      </c>
      <c r="I250" s="5">
        <v>715</v>
      </c>
      <c r="J250" s="5">
        <v>1113</v>
      </c>
      <c r="K250" s="6">
        <f t="shared" si="12"/>
        <v>18590</v>
      </c>
      <c r="L250" s="6">
        <f t="shared" si="13"/>
        <v>28938</v>
      </c>
      <c r="M250" s="6">
        <f t="shared" si="14"/>
        <v>10348</v>
      </c>
      <c r="N250" s="6" t="str">
        <f t="shared" si="15"/>
        <v>profit</v>
      </c>
    </row>
    <row r="251" spans="1:14" ht="15.6" thickTop="1" thickBot="1" x14ac:dyDescent="0.35">
      <c r="A251" s="4">
        <v>45518</v>
      </c>
      <c r="B251" s="4" t="s">
        <v>56</v>
      </c>
      <c r="C251" s="5" t="s">
        <v>193</v>
      </c>
      <c r="D251" s="5" t="s">
        <v>45</v>
      </c>
      <c r="E251" s="5" t="s">
        <v>117</v>
      </c>
      <c r="F251" s="5" t="s">
        <v>48</v>
      </c>
      <c r="G251" s="5" t="s">
        <v>27</v>
      </c>
      <c r="H251" s="5">
        <v>27</v>
      </c>
      <c r="I251" s="5">
        <v>611</v>
      </c>
      <c r="J251" s="5">
        <v>1309</v>
      </c>
      <c r="K251" s="6">
        <f t="shared" si="12"/>
        <v>16497</v>
      </c>
      <c r="L251" s="6">
        <f t="shared" si="13"/>
        <v>35343</v>
      </c>
      <c r="M251" s="6">
        <f t="shared" si="14"/>
        <v>18846</v>
      </c>
      <c r="N251" s="6" t="str">
        <f t="shared" si="15"/>
        <v>profit</v>
      </c>
    </row>
    <row r="252" spans="1:14" ht="15.6" thickTop="1" thickBot="1" x14ac:dyDescent="0.35">
      <c r="A252" s="4">
        <v>45519</v>
      </c>
      <c r="B252" s="4" t="s">
        <v>56</v>
      </c>
      <c r="C252" s="5" t="s">
        <v>194</v>
      </c>
      <c r="D252" s="5" t="s">
        <v>45</v>
      </c>
      <c r="E252" s="5" t="s">
        <v>117</v>
      </c>
      <c r="F252" s="5" t="s">
        <v>26</v>
      </c>
      <c r="G252" s="5" t="s">
        <v>18</v>
      </c>
      <c r="H252" s="5">
        <v>29</v>
      </c>
      <c r="I252" s="5">
        <v>544</v>
      </c>
      <c r="J252" s="5">
        <v>1436</v>
      </c>
      <c r="K252" s="6">
        <f t="shared" si="12"/>
        <v>15776</v>
      </c>
      <c r="L252" s="6">
        <f t="shared" si="13"/>
        <v>41644</v>
      </c>
      <c r="M252" s="6">
        <f t="shared" si="14"/>
        <v>25868</v>
      </c>
      <c r="N252" s="6" t="str">
        <f t="shared" si="15"/>
        <v>profit</v>
      </c>
    </row>
    <row r="253" spans="1:14" ht="15.6" thickTop="1" thickBot="1" x14ac:dyDescent="0.35">
      <c r="A253" s="4">
        <v>45634</v>
      </c>
      <c r="B253" s="4" t="s">
        <v>189</v>
      </c>
      <c r="C253" s="5" t="s">
        <v>195</v>
      </c>
      <c r="D253" s="5" t="s">
        <v>45</v>
      </c>
      <c r="E253" s="5" t="s">
        <v>117</v>
      </c>
      <c r="F253" s="5" t="s">
        <v>152</v>
      </c>
      <c r="G253" s="5" t="s">
        <v>27</v>
      </c>
      <c r="H253" s="5">
        <v>23</v>
      </c>
      <c r="I253" s="5">
        <v>771</v>
      </c>
      <c r="J253" s="5">
        <v>1430</v>
      </c>
      <c r="K253" s="6">
        <f t="shared" si="12"/>
        <v>17733</v>
      </c>
      <c r="L253" s="6">
        <f t="shared" si="13"/>
        <v>32890</v>
      </c>
      <c r="M253" s="6">
        <f t="shared" si="14"/>
        <v>15157</v>
      </c>
      <c r="N253" s="6" t="str">
        <f t="shared" si="15"/>
        <v>profit</v>
      </c>
    </row>
    <row r="254" spans="1:14" ht="15.6" thickTop="1" thickBot="1" x14ac:dyDescent="0.35">
      <c r="A254" s="4">
        <v>45521</v>
      </c>
      <c r="B254" s="4" t="s">
        <v>56</v>
      </c>
      <c r="C254" s="5" t="s">
        <v>196</v>
      </c>
      <c r="D254" s="5" t="s">
        <v>45</v>
      </c>
      <c r="E254" s="5" t="s">
        <v>117</v>
      </c>
      <c r="F254" s="5" t="s">
        <v>53</v>
      </c>
      <c r="G254" s="5" t="s">
        <v>27</v>
      </c>
      <c r="H254" s="5">
        <v>30</v>
      </c>
      <c r="I254" s="5">
        <v>652</v>
      </c>
      <c r="J254" s="5">
        <v>1151</v>
      </c>
      <c r="K254" s="6">
        <f t="shared" si="12"/>
        <v>19560</v>
      </c>
      <c r="L254" s="6">
        <f t="shared" si="13"/>
        <v>34530</v>
      </c>
      <c r="M254" s="6">
        <f t="shared" si="14"/>
        <v>14970</v>
      </c>
      <c r="N254" s="6" t="str">
        <f t="shared" si="15"/>
        <v>profit</v>
      </c>
    </row>
    <row r="255" spans="1:14" ht="15.6" thickTop="1" thickBot="1" x14ac:dyDescent="0.35">
      <c r="A255" s="4">
        <v>45522</v>
      </c>
      <c r="B255" s="4" t="s">
        <v>56</v>
      </c>
      <c r="C255" s="5" t="s">
        <v>106</v>
      </c>
      <c r="D255" s="5" t="s">
        <v>45</v>
      </c>
      <c r="E255" s="5" t="s">
        <v>117</v>
      </c>
      <c r="F255" s="5" t="s">
        <v>34</v>
      </c>
      <c r="G255" s="5" t="s">
        <v>27</v>
      </c>
      <c r="H255" s="5">
        <v>22</v>
      </c>
      <c r="I255" s="5">
        <v>681</v>
      </c>
      <c r="J255" s="5">
        <v>1087</v>
      </c>
      <c r="K255" s="6">
        <f t="shared" si="12"/>
        <v>14982</v>
      </c>
      <c r="L255" s="6">
        <f t="shared" si="13"/>
        <v>23914</v>
      </c>
      <c r="M255" s="6">
        <f t="shared" si="14"/>
        <v>8932</v>
      </c>
      <c r="N255" s="6" t="str">
        <f t="shared" si="15"/>
        <v>profit</v>
      </c>
    </row>
    <row r="256" spans="1:14" ht="15.6" thickTop="1" thickBot="1" x14ac:dyDescent="0.35">
      <c r="A256" s="4">
        <v>45637</v>
      </c>
      <c r="B256" s="4" t="s">
        <v>189</v>
      </c>
      <c r="C256" s="5" t="s">
        <v>197</v>
      </c>
      <c r="D256" s="5" t="s">
        <v>32</v>
      </c>
      <c r="E256" s="5" t="s">
        <v>98</v>
      </c>
      <c r="F256" s="5" t="s">
        <v>20</v>
      </c>
      <c r="G256" s="5" t="s">
        <v>27</v>
      </c>
      <c r="H256" s="5">
        <v>66</v>
      </c>
      <c r="I256" s="5">
        <v>888</v>
      </c>
      <c r="J256" s="5">
        <v>809</v>
      </c>
      <c r="K256" s="6">
        <f t="shared" si="12"/>
        <v>58608</v>
      </c>
      <c r="L256" s="6">
        <f t="shared" si="13"/>
        <v>53394</v>
      </c>
      <c r="M256" s="6">
        <f t="shared" si="14"/>
        <v>-5214</v>
      </c>
      <c r="N256" s="6" t="str">
        <f t="shared" si="15"/>
        <v>loss</v>
      </c>
    </row>
    <row r="257" spans="1:14" ht="15.6" thickTop="1" thickBot="1" x14ac:dyDescent="0.35">
      <c r="A257" s="4">
        <v>45523</v>
      </c>
      <c r="B257" s="4" t="s">
        <v>56</v>
      </c>
      <c r="C257" s="5" t="s">
        <v>198</v>
      </c>
      <c r="D257" s="5" t="s">
        <v>45</v>
      </c>
      <c r="E257" s="5" t="s">
        <v>117</v>
      </c>
      <c r="F257" s="5" t="s">
        <v>38</v>
      </c>
      <c r="G257" s="5" t="s">
        <v>27</v>
      </c>
      <c r="H257" s="5">
        <v>28</v>
      </c>
      <c r="I257" s="5">
        <v>923</v>
      </c>
      <c r="J257" s="5">
        <v>1395</v>
      </c>
      <c r="K257" s="6">
        <f t="shared" si="12"/>
        <v>25844</v>
      </c>
      <c r="L257" s="6">
        <f t="shared" si="13"/>
        <v>39060</v>
      </c>
      <c r="M257" s="6">
        <f t="shared" si="14"/>
        <v>13216</v>
      </c>
      <c r="N257" s="6" t="str">
        <f t="shared" si="15"/>
        <v>profit</v>
      </c>
    </row>
    <row r="258" spans="1:14" ht="15.6" thickTop="1" thickBot="1" x14ac:dyDescent="0.35">
      <c r="A258" s="4">
        <v>45524</v>
      </c>
      <c r="B258" s="4" t="s">
        <v>56</v>
      </c>
      <c r="C258" s="5" t="s">
        <v>104</v>
      </c>
      <c r="D258" s="5" t="s">
        <v>45</v>
      </c>
      <c r="E258" s="5" t="s">
        <v>117</v>
      </c>
      <c r="F258" s="5" t="s">
        <v>38</v>
      </c>
      <c r="G258" s="5" t="s">
        <v>18</v>
      </c>
      <c r="H258" s="5">
        <v>26</v>
      </c>
      <c r="I258" s="5">
        <v>999</v>
      </c>
      <c r="J258" s="5">
        <v>1112</v>
      </c>
      <c r="K258" s="6">
        <f t="shared" ref="K258:K321" si="16">H258*I258</f>
        <v>25974</v>
      </c>
      <c r="L258" s="6">
        <f t="shared" ref="L258:L321" si="17">H258*J258</f>
        <v>28912</v>
      </c>
      <c r="M258" s="6">
        <f t="shared" ref="M258:M321" si="18">L258-K258</f>
        <v>2938</v>
      </c>
      <c r="N258" s="6" t="str">
        <f t="shared" ref="N258:N321" si="19">IF(M258&gt;0,"profit","loss")</f>
        <v>profit</v>
      </c>
    </row>
    <row r="259" spans="1:14" ht="15.6" thickTop="1" thickBot="1" x14ac:dyDescent="0.35">
      <c r="A259" s="4">
        <v>45525</v>
      </c>
      <c r="B259" s="4" t="s">
        <v>56</v>
      </c>
      <c r="C259" s="5" t="s">
        <v>199</v>
      </c>
      <c r="D259" s="5" t="s">
        <v>45</v>
      </c>
      <c r="E259" s="5" t="s">
        <v>117</v>
      </c>
      <c r="F259" s="5" t="s">
        <v>63</v>
      </c>
      <c r="G259" s="5" t="s">
        <v>18</v>
      </c>
      <c r="H259" s="5">
        <v>30</v>
      </c>
      <c r="I259" s="5">
        <v>792</v>
      </c>
      <c r="J259" s="5">
        <v>1010</v>
      </c>
      <c r="K259" s="6">
        <f t="shared" si="16"/>
        <v>23760</v>
      </c>
      <c r="L259" s="6">
        <f t="shared" si="17"/>
        <v>30300</v>
      </c>
      <c r="M259" s="6">
        <f t="shared" si="18"/>
        <v>6540</v>
      </c>
      <c r="N259" s="6" t="str">
        <f t="shared" si="19"/>
        <v>profit</v>
      </c>
    </row>
    <row r="260" spans="1:14" ht="15.6" thickTop="1" thickBot="1" x14ac:dyDescent="0.35">
      <c r="A260" s="4">
        <v>45527</v>
      </c>
      <c r="B260" s="4" t="s">
        <v>56</v>
      </c>
      <c r="C260" s="5" t="s">
        <v>200</v>
      </c>
      <c r="D260" s="5" t="s">
        <v>45</v>
      </c>
      <c r="E260" s="5" t="s">
        <v>117</v>
      </c>
      <c r="F260" s="5" t="s">
        <v>59</v>
      </c>
      <c r="G260" s="5" t="s">
        <v>18</v>
      </c>
      <c r="H260" s="5">
        <v>22</v>
      </c>
      <c r="I260" s="5">
        <v>774</v>
      </c>
      <c r="J260" s="5">
        <v>1387</v>
      </c>
      <c r="K260" s="6">
        <f t="shared" si="16"/>
        <v>17028</v>
      </c>
      <c r="L260" s="6">
        <f t="shared" si="17"/>
        <v>30514</v>
      </c>
      <c r="M260" s="6">
        <f t="shared" si="18"/>
        <v>13486</v>
      </c>
      <c r="N260" s="6" t="str">
        <f t="shared" si="19"/>
        <v>profit</v>
      </c>
    </row>
    <row r="261" spans="1:14" ht="15.6" thickTop="1" thickBot="1" x14ac:dyDescent="0.35">
      <c r="A261" s="4">
        <v>45642</v>
      </c>
      <c r="B261" s="4" t="s">
        <v>189</v>
      </c>
      <c r="C261" s="5" t="s">
        <v>201</v>
      </c>
      <c r="D261" s="5" t="s">
        <v>32</v>
      </c>
      <c r="E261" s="5" t="s">
        <v>98</v>
      </c>
      <c r="F261" s="5" t="s">
        <v>38</v>
      </c>
      <c r="G261" s="5" t="s">
        <v>18</v>
      </c>
      <c r="H261" s="5">
        <v>56</v>
      </c>
      <c r="I261" s="5">
        <v>516</v>
      </c>
      <c r="J261" s="5">
        <v>1316</v>
      </c>
      <c r="K261" s="6">
        <f t="shared" si="16"/>
        <v>28896</v>
      </c>
      <c r="L261" s="6">
        <f t="shared" si="17"/>
        <v>73696</v>
      </c>
      <c r="M261" s="6">
        <f t="shared" si="18"/>
        <v>44800</v>
      </c>
      <c r="N261" s="6" t="str">
        <f t="shared" si="19"/>
        <v>profit</v>
      </c>
    </row>
    <row r="262" spans="1:14" ht="15.6" thickTop="1" thickBot="1" x14ac:dyDescent="0.35">
      <c r="A262" s="4">
        <v>45589</v>
      </c>
      <c r="B262" s="4" t="s">
        <v>84</v>
      </c>
      <c r="C262" s="5" t="s">
        <v>202</v>
      </c>
      <c r="D262" s="5" t="s">
        <v>45</v>
      </c>
      <c r="E262" s="5" t="s">
        <v>132</v>
      </c>
      <c r="F262" s="5" t="s">
        <v>59</v>
      </c>
      <c r="G262" s="5" t="s">
        <v>18</v>
      </c>
      <c r="H262" s="5">
        <v>20</v>
      </c>
      <c r="I262" s="5">
        <v>999</v>
      </c>
      <c r="J262" s="5">
        <v>1191</v>
      </c>
      <c r="K262" s="6">
        <f t="shared" si="16"/>
        <v>19980</v>
      </c>
      <c r="L262" s="6">
        <f t="shared" si="17"/>
        <v>23820</v>
      </c>
      <c r="M262" s="6">
        <f t="shared" si="18"/>
        <v>3840</v>
      </c>
      <c r="N262" s="6" t="str">
        <f t="shared" si="19"/>
        <v>profit</v>
      </c>
    </row>
    <row r="263" spans="1:14" ht="15.6" thickTop="1" thickBot="1" x14ac:dyDescent="0.35">
      <c r="A263" s="4">
        <v>45591</v>
      </c>
      <c r="B263" s="4" t="s">
        <v>84</v>
      </c>
      <c r="C263" s="5" t="s">
        <v>203</v>
      </c>
      <c r="D263" s="5" t="s">
        <v>45</v>
      </c>
      <c r="E263" s="5" t="s">
        <v>132</v>
      </c>
      <c r="F263" s="5" t="s">
        <v>29</v>
      </c>
      <c r="G263" s="5" t="s">
        <v>27</v>
      </c>
      <c r="H263" s="5">
        <v>29</v>
      </c>
      <c r="I263" s="5">
        <v>661</v>
      </c>
      <c r="J263" s="5">
        <v>1400</v>
      </c>
      <c r="K263" s="6">
        <f t="shared" si="16"/>
        <v>19169</v>
      </c>
      <c r="L263" s="6">
        <f t="shared" si="17"/>
        <v>40600</v>
      </c>
      <c r="M263" s="6">
        <f t="shared" si="18"/>
        <v>21431</v>
      </c>
      <c r="N263" s="6" t="str">
        <f t="shared" si="19"/>
        <v>profit</v>
      </c>
    </row>
    <row r="264" spans="1:14" ht="15.6" thickTop="1" thickBot="1" x14ac:dyDescent="0.35">
      <c r="A264" s="4">
        <v>45596</v>
      </c>
      <c r="B264" s="4" t="s">
        <v>84</v>
      </c>
      <c r="C264" s="5" t="s">
        <v>204</v>
      </c>
      <c r="D264" s="5" t="s">
        <v>45</v>
      </c>
      <c r="E264" s="5" t="s">
        <v>46</v>
      </c>
      <c r="F264" s="5" t="s">
        <v>17</v>
      </c>
      <c r="G264" s="5" t="s">
        <v>27</v>
      </c>
      <c r="H264" s="5">
        <v>30</v>
      </c>
      <c r="I264" s="5">
        <v>539</v>
      </c>
      <c r="J264" s="5">
        <v>1364</v>
      </c>
      <c r="K264" s="6">
        <f t="shared" si="16"/>
        <v>16170</v>
      </c>
      <c r="L264" s="6">
        <f t="shared" si="17"/>
        <v>40920</v>
      </c>
      <c r="M264" s="6">
        <f t="shared" si="18"/>
        <v>24750</v>
      </c>
      <c r="N264" s="6" t="str">
        <f t="shared" si="19"/>
        <v>profit</v>
      </c>
    </row>
    <row r="265" spans="1:14" ht="15.6" thickTop="1" thickBot="1" x14ac:dyDescent="0.35">
      <c r="A265" s="4">
        <v>45646</v>
      </c>
      <c r="B265" s="4" t="s">
        <v>189</v>
      </c>
      <c r="C265" s="5" t="s">
        <v>205</v>
      </c>
      <c r="D265" s="5" t="s">
        <v>32</v>
      </c>
      <c r="E265" s="5" t="s">
        <v>98</v>
      </c>
      <c r="F265" s="5" t="s">
        <v>38</v>
      </c>
      <c r="G265" s="5" t="s">
        <v>18</v>
      </c>
      <c r="H265" s="5">
        <v>60</v>
      </c>
      <c r="I265" s="5">
        <v>901</v>
      </c>
      <c r="J265" s="5">
        <v>1148</v>
      </c>
      <c r="K265" s="6">
        <f t="shared" si="16"/>
        <v>54060</v>
      </c>
      <c r="L265" s="6">
        <f t="shared" si="17"/>
        <v>68880</v>
      </c>
      <c r="M265" s="6">
        <f t="shared" si="18"/>
        <v>14820</v>
      </c>
      <c r="N265" s="6" t="str">
        <f t="shared" si="19"/>
        <v>profit</v>
      </c>
    </row>
    <row r="266" spans="1:14" ht="15.6" thickTop="1" thickBot="1" x14ac:dyDescent="0.35">
      <c r="A266" s="4">
        <v>45597</v>
      </c>
      <c r="B266" s="4" t="s">
        <v>160</v>
      </c>
      <c r="C266" s="5" t="s">
        <v>206</v>
      </c>
      <c r="D266" s="5" t="s">
        <v>45</v>
      </c>
      <c r="E266" s="5" t="s">
        <v>46</v>
      </c>
      <c r="F266" s="5" t="s">
        <v>20</v>
      </c>
      <c r="G266" s="5" t="s">
        <v>27</v>
      </c>
      <c r="H266" s="5">
        <v>26</v>
      </c>
      <c r="I266" s="5">
        <v>726</v>
      </c>
      <c r="J266" s="5">
        <v>1335</v>
      </c>
      <c r="K266" s="6">
        <f t="shared" si="16"/>
        <v>18876</v>
      </c>
      <c r="L266" s="6">
        <f t="shared" si="17"/>
        <v>34710</v>
      </c>
      <c r="M266" s="6">
        <f t="shared" si="18"/>
        <v>15834</v>
      </c>
      <c r="N266" s="6" t="str">
        <f t="shared" si="19"/>
        <v>profit</v>
      </c>
    </row>
    <row r="267" spans="1:14" ht="15.6" thickTop="1" thickBot="1" x14ac:dyDescent="0.35">
      <c r="A267" s="4">
        <v>45648</v>
      </c>
      <c r="B267" s="4" t="s">
        <v>189</v>
      </c>
      <c r="C267" s="5" t="s">
        <v>207</v>
      </c>
      <c r="D267" s="5" t="s">
        <v>32</v>
      </c>
      <c r="E267" s="5" t="s">
        <v>119</v>
      </c>
      <c r="F267" s="5" t="s">
        <v>112</v>
      </c>
      <c r="G267" s="5" t="s">
        <v>18</v>
      </c>
      <c r="H267" s="5">
        <v>50</v>
      </c>
      <c r="I267" s="5">
        <v>749</v>
      </c>
      <c r="J267" s="5">
        <v>1269</v>
      </c>
      <c r="K267" s="6">
        <f t="shared" si="16"/>
        <v>37450</v>
      </c>
      <c r="L267" s="6">
        <f t="shared" si="17"/>
        <v>63450</v>
      </c>
      <c r="M267" s="6">
        <f t="shared" si="18"/>
        <v>26000</v>
      </c>
      <c r="N267" s="6" t="str">
        <f t="shared" si="19"/>
        <v>profit</v>
      </c>
    </row>
    <row r="268" spans="1:14" ht="15.6" thickTop="1" thickBot="1" x14ac:dyDescent="0.35">
      <c r="A268" s="4">
        <v>45598</v>
      </c>
      <c r="B268" s="4" t="s">
        <v>160</v>
      </c>
      <c r="C268" s="5" t="s">
        <v>208</v>
      </c>
      <c r="D268" s="5" t="s">
        <v>45</v>
      </c>
      <c r="E268" s="5" t="s">
        <v>46</v>
      </c>
      <c r="F268" s="5" t="s">
        <v>22</v>
      </c>
      <c r="G268" s="5" t="s">
        <v>27</v>
      </c>
      <c r="H268" s="5">
        <v>29</v>
      </c>
      <c r="I268" s="5">
        <v>510</v>
      </c>
      <c r="J268" s="5">
        <v>1131</v>
      </c>
      <c r="K268" s="6">
        <f t="shared" si="16"/>
        <v>14790</v>
      </c>
      <c r="L268" s="6">
        <f t="shared" si="17"/>
        <v>32799</v>
      </c>
      <c r="M268" s="6">
        <f t="shared" si="18"/>
        <v>18009</v>
      </c>
      <c r="N268" s="6" t="str">
        <f t="shared" si="19"/>
        <v>profit</v>
      </c>
    </row>
    <row r="269" spans="1:14" ht="15.6" thickTop="1" thickBot="1" x14ac:dyDescent="0.35">
      <c r="A269" s="4">
        <v>45599</v>
      </c>
      <c r="B269" s="4" t="s">
        <v>160</v>
      </c>
      <c r="C269" s="5" t="s">
        <v>209</v>
      </c>
      <c r="D269" s="5" t="s">
        <v>45</v>
      </c>
      <c r="E269" s="5" t="s">
        <v>46</v>
      </c>
      <c r="F269" s="5" t="s">
        <v>24</v>
      </c>
      <c r="G269" s="5" t="s">
        <v>18</v>
      </c>
      <c r="H269" s="5">
        <v>27</v>
      </c>
      <c r="I269" s="5">
        <v>752</v>
      </c>
      <c r="J269" s="5">
        <v>1258</v>
      </c>
      <c r="K269" s="6">
        <f t="shared" si="16"/>
        <v>20304</v>
      </c>
      <c r="L269" s="6">
        <f t="shared" si="17"/>
        <v>33966</v>
      </c>
      <c r="M269" s="6">
        <f t="shared" si="18"/>
        <v>13662</v>
      </c>
      <c r="N269" s="6" t="str">
        <f t="shared" si="19"/>
        <v>profit</v>
      </c>
    </row>
    <row r="270" spans="1:14" ht="15.6" thickTop="1" thickBot="1" x14ac:dyDescent="0.35">
      <c r="A270" s="4">
        <v>45600</v>
      </c>
      <c r="B270" s="4" t="s">
        <v>160</v>
      </c>
      <c r="C270" s="5" t="s">
        <v>210</v>
      </c>
      <c r="D270" s="5" t="s">
        <v>45</v>
      </c>
      <c r="E270" s="5" t="s">
        <v>46</v>
      </c>
      <c r="F270" s="5" t="s">
        <v>24</v>
      </c>
      <c r="G270" s="5" t="s">
        <v>18</v>
      </c>
      <c r="H270" s="5">
        <v>28</v>
      </c>
      <c r="I270" s="5">
        <v>924</v>
      </c>
      <c r="J270" s="5">
        <v>847</v>
      </c>
      <c r="K270" s="6">
        <f t="shared" si="16"/>
        <v>25872</v>
      </c>
      <c r="L270" s="6">
        <f t="shared" si="17"/>
        <v>23716</v>
      </c>
      <c r="M270" s="6">
        <f t="shared" si="18"/>
        <v>-2156</v>
      </c>
      <c r="N270" s="6" t="str">
        <f t="shared" si="19"/>
        <v>loss</v>
      </c>
    </row>
    <row r="271" spans="1:14" ht="15.6" thickTop="1" thickBot="1" x14ac:dyDescent="0.35">
      <c r="A271" s="4">
        <v>45601</v>
      </c>
      <c r="B271" s="4" t="s">
        <v>160</v>
      </c>
      <c r="C271" s="5" t="s">
        <v>211</v>
      </c>
      <c r="D271" s="5" t="s">
        <v>45</v>
      </c>
      <c r="E271" s="5" t="s">
        <v>46</v>
      </c>
      <c r="F271" s="5" t="s">
        <v>26</v>
      </c>
      <c r="G271" s="5" t="s">
        <v>18</v>
      </c>
      <c r="H271" s="5">
        <v>26</v>
      </c>
      <c r="I271" s="5">
        <v>643</v>
      </c>
      <c r="J271" s="5">
        <v>1341</v>
      </c>
      <c r="K271" s="6">
        <f t="shared" si="16"/>
        <v>16718</v>
      </c>
      <c r="L271" s="6">
        <f t="shared" si="17"/>
        <v>34866</v>
      </c>
      <c r="M271" s="6">
        <f t="shared" si="18"/>
        <v>18148</v>
      </c>
      <c r="N271" s="6" t="str">
        <f t="shared" si="19"/>
        <v>profit</v>
      </c>
    </row>
    <row r="272" spans="1:14" ht="15.6" thickTop="1" thickBot="1" x14ac:dyDescent="0.35">
      <c r="A272" s="4">
        <v>45653</v>
      </c>
      <c r="B272" s="4" t="s">
        <v>189</v>
      </c>
      <c r="C272" s="5" t="s">
        <v>212</v>
      </c>
      <c r="D272" s="5" t="s">
        <v>32</v>
      </c>
      <c r="E272" s="5" t="s">
        <v>119</v>
      </c>
      <c r="F272" s="5" t="s">
        <v>20</v>
      </c>
      <c r="G272" s="5" t="s">
        <v>27</v>
      </c>
      <c r="H272" s="5">
        <v>59</v>
      </c>
      <c r="I272" s="5">
        <v>774</v>
      </c>
      <c r="J272" s="5">
        <v>1374</v>
      </c>
      <c r="K272" s="6">
        <f t="shared" si="16"/>
        <v>45666</v>
      </c>
      <c r="L272" s="6">
        <f t="shared" si="17"/>
        <v>81066</v>
      </c>
      <c r="M272" s="6">
        <f t="shared" si="18"/>
        <v>35400</v>
      </c>
      <c r="N272" s="6" t="str">
        <f t="shared" si="19"/>
        <v>profit</v>
      </c>
    </row>
    <row r="273" spans="1:14" ht="15.6" thickTop="1" thickBot="1" x14ac:dyDescent="0.35">
      <c r="A273" s="4">
        <v>45609</v>
      </c>
      <c r="B273" s="4" t="s">
        <v>160</v>
      </c>
      <c r="C273" s="5" t="s">
        <v>213</v>
      </c>
      <c r="D273" s="5" t="s">
        <v>45</v>
      </c>
      <c r="E273" s="5" t="s">
        <v>62</v>
      </c>
      <c r="F273" s="5" t="s">
        <v>75</v>
      </c>
      <c r="G273" s="5" t="s">
        <v>27</v>
      </c>
      <c r="H273" s="5">
        <v>23</v>
      </c>
      <c r="I273" s="5">
        <v>584</v>
      </c>
      <c r="J273" s="5">
        <v>1140</v>
      </c>
      <c r="K273" s="6">
        <f t="shared" si="16"/>
        <v>13432</v>
      </c>
      <c r="L273" s="6">
        <f t="shared" si="17"/>
        <v>26220</v>
      </c>
      <c r="M273" s="6">
        <f t="shared" si="18"/>
        <v>12788</v>
      </c>
      <c r="N273" s="6" t="str">
        <f t="shared" si="19"/>
        <v>profit</v>
      </c>
    </row>
    <row r="274" spans="1:14" ht="15.6" thickTop="1" thickBot="1" x14ac:dyDescent="0.35">
      <c r="A274" s="4">
        <v>45611</v>
      </c>
      <c r="B274" s="4" t="s">
        <v>160</v>
      </c>
      <c r="C274" s="5" t="s">
        <v>214</v>
      </c>
      <c r="D274" s="5" t="s">
        <v>45</v>
      </c>
      <c r="E274" s="5" t="s">
        <v>62</v>
      </c>
      <c r="F274" s="5" t="s">
        <v>34</v>
      </c>
      <c r="G274" s="5" t="s">
        <v>27</v>
      </c>
      <c r="H274" s="5">
        <v>21</v>
      </c>
      <c r="I274" s="5">
        <v>608</v>
      </c>
      <c r="J274" s="5">
        <v>983</v>
      </c>
      <c r="K274" s="6">
        <f t="shared" si="16"/>
        <v>12768</v>
      </c>
      <c r="L274" s="6">
        <f t="shared" si="17"/>
        <v>20643</v>
      </c>
      <c r="M274" s="6">
        <f t="shared" si="18"/>
        <v>7875</v>
      </c>
      <c r="N274" s="6" t="str">
        <f t="shared" si="19"/>
        <v>profit</v>
      </c>
    </row>
    <row r="275" spans="1:14" ht="15.6" thickTop="1" thickBot="1" x14ac:dyDescent="0.35">
      <c r="A275" s="4">
        <v>45612</v>
      </c>
      <c r="B275" s="4" t="s">
        <v>160</v>
      </c>
      <c r="C275" s="5" t="s">
        <v>215</v>
      </c>
      <c r="D275" s="5" t="s">
        <v>45</v>
      </c>
      <c r="E275" s="5" t="s">
        <v>62</v>
      </c>
      <c r="F275" s="5" t="s">
        <v>43</v>
      </c>
      <c r="G275" s="5" t="s">
        <v>27</v>
      </c>
      <c r="H275" s="5">
        <v>30</v>
      </c>
      <c r="I275" s="5">
        <v>712</v>
      </c>
      <c r="J275" s="5">
        <v>1311</v>
      </c>
      <c r="K275" s="6">
        <f t="shared" si="16"/>
        <v>21360</v>
      </c>
      <c r="L275" s="6">
        <f t="shared" si="17"/>
        <v>39330</v>
      </c>
      <c r="M275" s="6">
        <f t="shared" si="18"/>
        <v>17970</v>
      </c>
      <c r="N275" s="6" t="str">
        <f t="shared" si="19"/>
        <v>profit</v>
      </c>
    </row>
    <row r="276" spans="1:14" ht="15.6" thickTop="1" thickBot="1" x14ac:dyDescent="0.35">
      <c r="A276" s="4">
        <v>45613</v>
      </c>
      <c r="B276" s="4" t="s">
        <v>160</v>
      </c>
      <c r="C276" s="5" t="s">
        <v>216</v>
      </c>
      <c r="D276" s="5" t="s">
        <v>45</v>
      </c>
      <c r="E276" s="5" t="s">
        <v>62</v>
      </c>
      <c r="F276" s="5" t="s">
        <v>59</v>
      </c>
      <c r="G276" s="5" t="s">
        <v>27</v>
      </c>
      <c r="H276" s="5">
        <v>24</v>
      </c>
      <c r="I276" s="5">
        <v>672</v>
      </c>
      <c r="J276" s="5">
        <v>878</v>
      </c>
      <c r="K276" s="6">
        <f t="shared" si="16"/>
        <v>16128</v>
      </c>
      <c r="L276" s="6">
        <f t="shared" si="17"/>
        <v>21072</v>
      </c>
      <c r="M276" s="6">
        <f t="shared" si="18"/>
        <v>4944</v>
      </c>
      <c r="N276" s="6" t="str">
        <f t="shared" si="19"/>
        <v>profit</v>
      </c>
    </row>
    <row r="277" spans="1:14" ht="15.6" thickTop="1" thickBot="1" x14ac:dyDescent="0.35">
      <c r="A277" s="4">
        <v>45615</v>
      </c>
      <c r="B277" s="4" t="s">
        <v>160</v>
      </c>
      <c r="C277" s="5" t="s">
        <v>217</v>
      </c>
      <c r="D277" s="5" t="s">
        <v>45</v>
      </c>
      <c r="E277" s="5" t="s">
        <v>62</v>
      </c>
      <c r="F277" s="5" t="s">
        <v>38</v>
      </c>
      <c r="G277" s="5" t="s">
        <v>18</v>
      </c>
      <c r="H277" s="5">
        <v>29</v>
      </c>
      <c r="I277" s="5">
        <v>520</v>
      </c>
      <c r="J277" s="5">
        <v>770</v>
      </c>
      <c r="K277" s="6">
        <f t="shared" si="16"/>
        <v>15080</v>
      </c>
      <c r="L277" s="6">
        <f t="shared" si="17"/>
        <v>22330</v>
      </c>
      <c r="M277" s="6">
        <f t="shared" si="18"/>
        <v>7250</v>
      </c>
      <c r="N277" s="6" t="str">
        <f t="shared" si="19"/>
        <v>profit</v>
      </c>
    </row>
    <row r="278" spans="1:14" ht="15.6" thickTop="1" thickBot="1" x14ac:dyDescent="0.35">
      <c r="A278" s="4">
        <v>45617</v>
      </c>
      <c r="B278" s="4" t="s">
        <v>160</v>
      </c>
      <c r="C278" s="5" t="s">
        <v>218</v>
      </c>
      <c r="D278" s="5" t="s">
        <v>45</v>
      </c>
      <c r="E278" s="5" t="s">
        <v>62</v>
      </c>
      <c r="F278" s="5" t="s">
        <v>43</v>
      </c>
      <c r="G278" s="5" t="s">
        <v>27</v>
      </c>
      <c r="H278" s="5">
        <v>28</v>
      </c>
      <c r="I278" s="5">
        <v>884</v>
      </c>
      <c r="J278" s="5">
        <v>1165</v>
      </c>
      <c r="K278" s="6">
        <f t="shared" si="16"/>
        <v>24752</v>
      </c>
      <c r="L278" s="6">
        <f t="shared" si="17"/>
        <v>32620</v>
      </c>
      <c r="M278" s="6">
        <f t="shared" si="18"/>
        <v>7868</v>
      </c>
      <c r="N278" s="6" t="str">
        <f t="shared" si="19"/>
        <v>profit</v>
      </c>
    </row>
    <row r="279" spans="1:14" ht="15.6" thickTop="1" thickBot="1" x14ac:dyDescent="0.35">
      <c r="A279" s="4">
        <v>45660</v>
      </c>
      <c r="B279" s="4" t="s">
        <v>94</v>
      </c>
      <c r="C279" s="5" t="s">
        <v>219</v>
      </c>
      <c r="D279" s="5" t="s">
        <v>15</v>
      </c>
      <c r="E279" s="5" t="s">
        <v>16</v>
      </c>
      <c r="F279" s="5" t="s">
        <v>75</v>
      </c>
      <c r="G279" s="5" t="s">
        <v>18</v>
      </c>
      <c r="H279" s="5">
        <v>11</v>
      </c>
      <c r="I279" s="5">
        <v>562</v>
      </c>
      <c r="J279" s="5">
        <v>800</v>
      </c>
      <c r="K279" s="6">
        <f t="shared" si="16"/>
        <v>6182</v>
      </c>
      <c r="L279" s="6">
        <f t="shared" si="17"/>
        <v>8800</v>
      </c>
      <c r="M279" s="6">
        <f t="shared" si="18"/>
        <v>2618</v>
      </c>
      <c r="N279" s="6" t="str">
        <f t="shared" si="19"/>
        <v>profit</v>
      </c>
    </row>
    <row r="280" spans="1:14" ht="15.6" thickTop="1" thickBot="1" x14ac:dyDescent="0.35">
      <c r="A280" s="4">
        <v>45618</v>
      </c>
      <c r="B280" s="4" t="s">
        <v>160</v>
      </c>
      <c r="C280" s="5" t="s">
        <v>220</v>
      </c>
      <c r="D280" s="5" t="s">
        <v>45</v>
      </c>
      <c r="E280" s="5" t="s">
        <v>62</v>
      </c>
      <c r="F280" s="5" t="s">
        <v>26</v>
      </c>
      <c r="G280" s="5" t="s">
        <v>27</v>
      </c>
      <c r="H280" s="5">
        <v>25</v>
      </c>
      <c r="I280" s="5">
        <v>990</v>
      </c>
      <c r="J280" s="5">
        <v>868</v>
      </c>
      <c r="K280" s="6">
        <f t="shared" si="16"/>
        <v>24750</v>
      </c>
      <c r="L280" s="6">
        <f t="shared" si="17"/>
        <v>21700</v>
      </c>
      <c r="M280" s="6">
        <f t="shared" si="18"/>
        <v>-3050</v>
      </c>
      <c r="N280" s="6" t="str">
        <f t="shared" si="19"/>
        <v>loss</v>
      </c>
    </row>
    <row r="281" spans="1:14" ht="15.6" thickTop="1" thickBot="1" x14ac:dyDescent="0.35">
      <c r="A281" s="4">
        <v>45662</v>
      </c>
      <c r="B281" s="4" t="s">
        <v>94</v>
      </c>
      <c r="C281" s="5" t="s">
        <v>221</v>
      </c>
      <c r="D281" s="5" t="s">
        <v>15</v>
      </c>
      <c r="E281" s="5" t="s">
        <v>16</v>
      </c>
      <c r="F281" s="5" t="s">
        <v>43</v>
      </c>
      <c r="G281" s="5" t="s">
        <v>18</v>
      </c>
      <c r="H281" s="5">
        <v>15</v>
      </c>
      <c r="I281" s="5">
        <v>992</v>
      </c>
      <c r="J281" s="5">
        <v>1404</v>
      </c>
      <c r="K281" s="6">
        <f t="shared" si="16"/>
        <v>14880</v>
      </c>
      <c r="L281" s="6">
        <f t="shared" si="17"/>
        <v>21060</v>
      </c>
      <c r="M281" s="6">
        <f t="shared" si="18"/>
        <v>6180</v>
      </c>
      <c r="N281" s="6" t="str">
        <f t="shared" si="19"/>
        <v>profit</v>
      </c>
    </row>
    <row r="282" spans="1:14" ht="15.6" thickTop="1" thickBot="1" x14ac:dyDescent="0.35">
      <c r="A282" s="4">
        <v>45619</v>
      </c>
      <c r="B282" s="4" t="s">
        <v>160</v>
      </c>
      <c r="C282" s="5" t="s">
        <v>222</v>
      </c>
      <c r="D282" s="5" t="s">
        <v>45</v>
      </c>
      <c r="E282" s="5" t="s">
        <v>62</v>
      </c>
      <c r="F282" s="5" t="s">
        <v>43</v>
      </c>
      <c r="G282" s="5" t="s">
        <v>27</v>
      </c>
      <c r="H282" s="5">
        <v>22</v>
      </c>
      <c r="I282" s="5">
        <v>524</v>
      </c>
      <c r="J282" s="5">
        <v>1156</v>
      </c>
      <c r="K282" s="6">
        <f t="shared" si="16"/>
        <v>11528</v>
      </c>
      <c r="L282" s="6">
        <f t="shared" si="17"/>
        <v>25432</v>
      </c>
      <c r="M282" s="6">
        <f t="shared" si="18"/>
        <v>13904</v>
      </c>
      <c r="N282" s="6" t="str">
        <f t="shared" si="19"/>
        <v>profit</v>
      </c>
    </row>
    <row r="283" spans="1:14" ht="15.6" thickTop="1" thickBot="1" x14ac:dyDescent="0.35">
      <c r="A283" s="4">
        <v>45664</v>
      </c>
      <c r="B283" s="4" t="s">
        <v>94</v>
      </c>
      <c r="C283" s="5" t="s">
        <v>223</v>
      </c>
      <c r="D283" s="5" t="s">
        <v>15</v>
      </c>
      <c r="E283" s="5" t="s">
        <v>16</v>
      </c>
      <c r="F283" s="5" t="s">
        <v>22</v>
      </c>
      <c r="G283" s="5" t="s">
        <v>18</v>
      </c>
      <c r="H283" s="5">
        <v>11</v>
      </c>
      <c r="I283" s="5">
        <v>668</v>
      </c>
      <c r="J283" s="5">
        <v>1096</v>
      </c>
      <c r="K283" s="6">
        <f t="shared" si="16"/>
        <v>7348</v>
      </c>
      <c r="L283" s="6">
        <f t="shared" si="17"/>
        <v>12056</v>
      </c>
      <c r="M283" s="6">
        <f t="shared" si="18"/>
        <v>4708</v>
      </c>
      <c r="N283" s="6" t="str">
        <f t="shared" si="19"/>
        <v>profit</v>
      </c>
    </row>
    <row r="284" spans="1:14" ht="15.6" thickTop="1" thickBot="1" x14ac:dyDescent="0.35">
      <c r="A284" s="4">
        <v>45620</v>
      </c>
      <c r="B284" s="4" t="s">
        <v>160</v>
      </c>
      <c r="C284" s="5" t="s">
        <v>224</v>
      </c>
      <c r="D284" s="5" t="s">
        <v>45</v>
      </c>
      <c r="E284" s="5" t="s">
        <v>62</v>
      </c>
      <c r="F284" s="5" t="s">
        <v>48</v>
      </c>
      <c r="G284" s="5" t="s">
        <v>27</v>
      </c>
      <c r="H284" s="5">
        <v>26</v>
      </c>
      <c r="I284" s="5">
        <v>997</v>
      </c>
      <c r="J284" s="5">
        <v>982</v>
      </c>
      <c r="K284" s="6">
        <f t="shared" si="16"/>
        <v>25922</v>
      </c>
      <c r="L284" s="6">
        <f t="shared" si="17"/>
        <v>25532</v>
      </c>
      <c r="M284" s="6">
        <f t="shared" si="18"/>
        <v>-390</v>
      </c>
      <c r="N284" s="6" t="str">
        <f t="shared" si="19"/>
        <v>loss</v>
      </c>
    </row>
    <row r="285" spans="1:14" ht="15.6" thickTop="1" thickBot="1" x14ac:dyDescent="0.35">
      <c r="A285" s="4">
        <v>45621</v>
      </c>
      <c r="B285" s="4" t="s">
        <v>160</v>
      </c>
      <c r="C285" s="5" t="s">
        <v>225</v>
      </c>
      <c r="D285" s="5" t="s">
        <v>45</v>
      </c>
      <c r="E285" s="5" t="s">
        <v>62</v>
      </c>
      <c r="F285" s="5" t="s">
        <v>26</v>
      </c>
      <c r="G285" s="5" t="s">
        <v>27</v>
      </c>
      <c r="H285" s="5">
        <v>27</v>
      </c>
      <c r="I285" s="5">
        <v>922</v>
      </c>
      <c r="J285" s="5">
        <v>1284</v>
      </c>
      <c r="K285" s="6">
        <f t="shared" si="16"/>
        <v>24894</v>
      </c>
      <c r="L285" s="6">
        <f t="shared" si="17"/>
        <v>34668</v>
      </c>
      <c r="M285" s="6">
        <f t="shared" si="18"/>
        <v>9774</v>
      </c>
      <c r="N285" s="6" t="str">
        <f t="shared" si="19"/>
        <v>profit</v>
      </c>
    </row>
    <row r="286" spans="1:14" ht="15.6" thickTop="1" thickBot="1" x14ac:dyDescent="0.35">
      <c r="A286" s="4">
        <v>45622</v>
      </c>
      <c r="B286" s="4" t="s">
        <v>160</v>
      </c>
      <c r="C286" s="5" t="s">
        <v>226</v>
      </c>
      <c r="D286" s="5" t="s">
        <v>45</v>
      </c>
      <c r="E286" s="5" t="s">
        <v>62</v>
      </c>
      <c r="F286" s="5" t="s">
        <v>51</v>
      </c>
      <c r="G286" s="5" t="s">
        <v>18</v>
      </c>
      <c r="H286" s="5">
        <v>21</v>
      </c>
      <c r="I286" s="5">
        <v>978</v>
      </c>
      <c r="J286" s="5">
        <v>1139</v>
      </c>
      <c r="K286" s="6">
        <f t="shared" si="16"/>
        <v>20538</v>
      </c>
      <c r="L286" s="6">
        <f t="shared" si="17"/>
        <v>23919</v>
      </c>
      <c r="M286" s="6">
        <f t="shared" si="18"/>
        <v>3381</v>
      </c>
      <c r="N286" s="6" t="str">
        <f t="shared" si="19"/>
        <v>profit</v>
      </c>
    </row>
    <row r="287" spans="1:14" ht="15.6" thickTop="1" thickBot="1" x14ac:dyDescent="0.35">
      <c r="A287" s="4">
        <v>45623</v>
      </c>
      <c r="B287" s="4" t="s">
        <v>160</v>
      </c>
      <c r="C287" s="5" t="s">
        <v>227</v>
      </c>
      <c r="D287" s="5" t="s">
        <v>45</v>
      </c>
      <c r="E287" s="5" t="s">
        <v>62</v>
      </c>
      <c r="F287" s="5" t="s">
        <v>53</v>
      </c>
      <c r="G287" s="5" t="s">
        <v>18</v>
      </c>
      <c r="H287" s="5">
        <v>24</v>
      </c>
      <c r="I287" s="5">
        <v>830</v>
      </c>
      <c r="J287" s="5">
        <v>1355</v>
      </c>
      <c r="K287" s="6">
        <f t="shared" si="16"/>
        <v>19920</v>
      </c>
      <c r="L287" s="6">
        <f t="shared" si="17"/>
        <v>32520</v>
      </c>
      <c r="M287" s="6">
        <f t="shared" si="18"/>
        <v>12600</v>
      </c>
      <c r="N287" s="6" t="str">
        <f t="shared" si="19"/>
        <v>profit</v>
      </c>
    </row>
    <row r="288" spans="1:14" ht="15.6" thickTop="1" thickBot="1" x14ac:dyDescent="0.35">
      <c r="A288" s="4">
        <v>45624</v>
      </c>
      <c r="B288" s="4" t="s">
        <v>160</v>
      </c>
      <c r="C288" s="5" t="s">
        <v>228</v>
      </c>
      <c r="D288" s="5" t="s">
        <v>45</v>
      </c>
      <c r="E288" s="5" t="s">
        <v>117</v>
      </c>
      <c r="F288" s="5" t="s">
        <v>34</v>
      </c>
      <c r="G288" s="5" t="s">
        <v>18</v>
      </c>
      <c r="H288" s="5">
        <v>21</v>
      </c>
      <c r="I288" s="5">
        <v>751</v>
      </c>
      <c r="J288" s="5">
        <v>1498</v>
      </c>
      <c r="K288" s="6">
        <f t="shared" si="16"/>
        <v>15771</v>
      </c>
      <c r="L288" s="6">
        <f t="shared" si="17"/>
        <v>31458</v>
      </c>
      <c r="M288" s="6">
        <f t="shared" si="18"/>
        <v>15687</v>
      </c>
      <c r="N288" s="6" t="str">
        <f t="shared" si="19"/>
        <v>profit</v>
      </c>
    </row>
    <row r="289" spans="1:14" ht="15.6" thickTop="1" thickBot="1" x14ac:dyDescent="0.35">
      <c r="A289" s="4">
        <v>45625</v>
      </c>
      <c r="B289" s="4" t="s">
        <v>160</v>
      </c>
      <c r="C289" s="5" t="s">
        <v>229</v>
      </c>
      <c r="D289" s="5" t="s">
        <v>45</v>
      </c>
      <c r="E289" s="5" t="s">
        <v>117</v>
      </c>
      <c r="F289" s="5" t="s">
        <v>38</v>
      </c>
      <c r="G289" s="5" t="s">
        <v>18</v>
      </c>
      <c r="H289" s="5">
        <v>26</v>
      </c>
      <c r="I289" s="5">
        <v>520</v>
      </c>
      <c r="J289" s="5">
        <v>1261</v>
      </c>
      <c r="K289" s="6">
        <f t="shared" si="16"/>
        <v>13520</v>
      </c>
      <c r="L289" s="6">
        <f t="shared" si="17"/>
        <v>32786</v>
      </c>
      <c r="M289" s="6">
        <f t="shared" si="18"/>
        <v>19266</v>
      </c>
      <c r="N289" s="6" t="str">
        <f t="shared" si="19"/>
        <v>profit</v>
      </c>
    </row>
    <row r="290" spans="1:14" ht="15.6" thickTop="1" thickBot="1" x14ac:dyDescent="0.35">
      <c r="A290" s="4">
        <v>45671</v>
      </c>
      <c r="B290" s="4" t="s">
        <v>94</v>
      </c>
      <c r="C290" s="5" t="s">
        <v>230</v>
      </c>
      <c r="D290" s="5" t="s">
        <v>32</v>
      </c>
      <c r="E290" s="5" t="s">
        <v>119</v>
      </c>
      <c r="F290" s="5" t="s">
        <v>59</v>
      </c>
      <c r="G290" s="5" t="s">
        <v>27</v>
      </c>
      <c r="H290" s="5">
        <v>56</v>
      </c>
      <c r="I290" s="5">
        <v>685</v>
      </c>
      <c r="J290" s="5">
        <v>771</v>
      </c>
      <c r="K290" s="6">
        <f t="shared" si="16"/>
        <v>38360</v>
      </c>
      <c r="L290" s="6">
        <f t="shared" si="17"/>
        <v>43176</v>
      </c>
      <c r="M290" s="6">
        <f t="shared" si="18"/>
        <v>4816</v>
      </c>
      <c r="N290" s="6" t="str">
        <f t="shared" si="19"/>
        <v>profit</v>
      </c>
    </row>
    <row r="291" spans="1:14" ht="15.6" thickTop="1" thickBot="1" x14ac:dyDescent="0.35">
      <c r="A291" s="4">
        <v>45627</v>
      </c>
      <c r="B291" s="4" t="s">
        <v>189</v>
      </c>
      <c r="C291" s="5" t="s">
        <v>231</v>
      </c>
      <c r="D291" s="5" t="s">
        <v>45</v>
      </c>
      <c r="E291" s="5" t="s">
        <v>117</v>
      </c>
      <c r="F291" s="5" t="s">
        <v>63</v>
      </c>
      <c r="G291" s="5" t="s">
        <v>18</v>
      </c>
      <c r="H291" s="5">
        <v>21</v>
      </c>
      <c r="I291" s="5">
        <v>605</v>
      </c>
      <c r="J291" s="5">
        <v>1264</v>
      </c>
      <c r="K291" s="6">
        <f t="shared" si="16"/>
        <v>12705</v>
      </c>
      <c r="L291" s="6">
        <f t="shared" si="17"/>
        <v>26544</v>
      </c>
      <c r="M291" s="6">
        <f t="shared" si="18"/>
        <v>13839</v>
      </c>
      <c r="N291" s="6" t="str">
        <f t="shared" si="19"/>
        <v>profit</v>
      </c>
    </row>
    <row r="292" spans="1:14" ht="15.6" thickTop="1" thickBot="1" x14ac:dyDescent="0.35">
      <c r="A292" s="4">
        <v>45628</v>
      </c>
      <c r="B292" s="4" t="s">
        <v>189</v>
      </c>
      <c r="C292" s="5" t="s">
        <v>232</v>
      </c>
      <c r="D292" s="5" t="s">
        <v>45</v>
      </c>
      <c r="E292" s="5" t="s">
        <v>117</v>
      </c>
      <c r="F292" s="5" t="s">
        <v>63</v>
      </c>
      <c r="G292" s="5" t="s">
        <v>18</v>
      </c>
      <c r="H292" s="5">
        <v>20</v>
      </c>
      <c r="I292" s="5">
        <v>666</v>
      </c>
      <c r="J292" s="5">
        <v>1087</v>
      </c>
      <c r="K292" s="6">
        <f t="shared" si="16"/>
        <v>13320</v>
      </c>
      <c r="L292" s="6">
        <f t="shared" si="17"/>
        <v>21740</v>
      </c>
      <c r="M292" s="6">
        <f t="shared" si="18"/>
        <v>8420</v>
      </c>
      <c r="N292" s="6" t="str">
        <f t="shared" si="19"/>
        <v>profit</v>
      </c>
    </row>
    <row r="293" spans="1:14" ht="15.6" thickTop="1" thickBot="1" x14ac:dyDescent="0.35">
      <c r="A293" s="4">
        <v>45630</v>
      </c>
      <c r="B293" s="4" t="s">
        <v>189</v>
      </c>
      <c r="C293" s="5" t="s">
        <v>233</v>
      </c>
      <c r="D293" s="5" t="s">
        <v>45</v>
      </c>
      <c r="E293" s="5" t="s">
        <v>117</v>
      </c>
      <c r="F293" s="5" t="s">
        <v>38</v>
      </c>
      <c r="G293" s="5" t="s">
        <v>27</v>
      </c>
      <c r="H293" s="5">
        <v>23</v>
      </c>
      <c r="I293" s="5">
        <v>632</v>
      </c>
      <c r="J293" s="5">
        <v>762</v>
      </c>
      <c r="K293" s="6">
        <f t="shared" si="16"/>
        <v>14536</v>
      </c>
      <c r="L293" s="6">
        <f t="shared" si="17"/>
        <v>17526</v>
      </c>
      <c r="M293" s="6">
        <f t="shared" si="18"/>
        <v>2990</v>
      </c>
      <c r="N293" s="6" t="str">
        <f t="shared" si="19"/>
        <v>profit</v>
      </c>
    </row>
    <row r="294" spans="1:14" ht="15.6" thickTop="1" thickBot="1" x14ac:dyDescent="0.35">
      <c r="A294" s="4">
        <v>45631</v>
      </c>
      <c r="B294" s="4" t="s">
        <v>189</v>
      </c>
      <c r="C294" s="5" t="s">
        <v>234</v>
      </c>
      <c r="D294" s="5" t="s">
        <v>45</v>
      </c>
      <c r="E294" s="5" t="s">
        <v>117</v>
      </c>
      <c r="F294" s="5" t="s">
        <v>29</v>
      </c>
      <c r="G294" s="5" t="s">
        <v>27</v>
      </c>
      <c r="H294" s="5">
        <v>21</v>
      </c>
      <c r="I294" s="5">
        <v>540</v>
      </c>
      <c r="J294" s="5">
        <v>812</v>
      </c>
      <c r="K294" s="6">
        <f t="shared" si="16"/>
        <v>11340</v>
      </c>
      <c r="L294" s="6">
        <f t="shared" si="17"/>
        <v>17052</v>
      </c>
      <c r="M294" s="6">
        <f t="shared" si="18"/>
        <v>5712</v>
      </c>
      <c r="N294" s="6" t="str">
        <f t="shared" si="19"/>
        <v>profit</v>
      </c>
    </row>
    <row r="295" spans="1:14" ht="15.6" thickTop="1" thickBot="1" x14ac:dyDescent="0.35">
      <c r="A295" s="4">
        <v>45632</v>
      </c>
      <c r="B295" s="4" t="s">
        <v>189</v>
      </c>
      <c r="C295" s="5" t="s">
        <v>235</v>
      </c>
      <c r="D295" s="5" t="s">
        <v>45</v>
      </c>
      <c r="E295" s="5" t="s">
        <v>117</v>
      </c>
      <c r="F295" s="5" t="s">
        <v>112</v>
      </c>
      <c r="G295" s="5" t="s">
        <v>27</v>
      </c>
      <c r="H295" s="5">
        <v>30</v>
      </c>
      <c r="I295" s="5">
        <v>557</v>
      </c>
      <c r="J295" s="5">
        <v>886</v>
      </c>
      <c r="K295" s="6">
        <f t="shared" si="16"/>
        <v>16710</v>
      </c>
      <c r="L295" s="6">
        <f t="shared" si="17"/>
        <v>26580</v>
      </c>
      <c r="M295" s="6">
        <f t="shared" si="18"/>
        <v>9870</v>
      </c>
      <c r="N295" s="6" t="str">
        <f t="shared" si="19"/>
        <v>profit</v>
      </c>
    </row>
    <row r="296" spans="1:14" ht="15.6" thickTop="1" thickBot="1" x14ac:dyDescent="0.35">
      <c r="A296" s="4">
        <v>45677</v>
      </c>
      <c r="B296" s="4" t="s">
        <v>94</v>
      </c>
      <c r="C296" s="5" t="s">
        <v>128</v>
      </c>
      <c r="D296" s="5" t="s">
        <v>15</v>
      </c>
      <c r="E296" s="5" t="s">
        <v>36</v>
      </c>
      <c r="F296" s="5" t="s">
        <v>154</v>
      </c>
      <c r="G296" s="5" t="s">
        <v>18</v>
      </c>
      <c r="H296" s="5">
        <v>20</v>
      </c>
      <c r="I296" s="5">
        <v>803</v>
      </c>
      <c r="J296" s="5">
        <v>941</v>
      </c>
      <c r="K296" s="6">
        <f t="shared" si="16"/>
        <v>16060</v>
      </c>
      <c r="L296" s="6">
        <f t="shared" si="17"/>
        <v>18820</v>
      </c>
      <c r="M296" s="6">
        <f t="shared" si="18"/>
        <v>2760</v>
      </c>
      <c r="N296" s="6" t="str">
        <f t="shared" si="19"/>
        <v>profit</v>
      </c>
    </row>
    <row r="297" spans="1:14" ht="15.6" thickTop="1" thickBot="1" x14ac:dyDescent="0.35">
      <c r="A297" s="4">
        <v>45633</v>
      </c>
      <c r="B297" s="4" t="s">
        <v>189</v>
      </c>
      <c r="C297" s="5" t="s">
        <v>236</v>
      </c>
      <c r="D297" s="5" t="s">
        <v>45</v>
      </c>
      <c r="E297" s="5" t="s">
        <v>117</v>
      </c>
      <c r="F297" s="5" t="s">
        <v>43</v>
      </c>
      <c r="G297" s="5" t="s">
        <v>18</v>
      </c>
      <c r="H297" s="5">
        <v>24</v>
      </c>
      <c r="I297" s="5">
        <v>651</v>
      </c>
      <c r="J297" s="5">
        <v>1386</v>
      </c>
      <c r="K297" s="6">
        <f t="shared" si="16"/>
        <v>15624</v>
      </c>
      <c r="L297" s="6">
        <f t="shared" si="17"/>
        <v>33264</v>
      </c>
      <c r="M297" s="6">
        <f t="shared" si="18"/>
        <v>17640</v>
      </c>
      <c r="N297" s="6" t="str">
        <f t="shared" si="19"/>
        <v>profit</v>
      </c>
    </row>
    <row r="298" spans="1:14" ht="15.6" thickTop="1" thickBot="1" x14ac:dyDescent="0.35">
      <c r="A298" s="4">
        <v>45635</v>
      </c>
      <c r="B298" s="4" t="s">
        <v>189</v>
      </c>
      <c r="C298" s="5" t="s">
        <v>237</v>
      </c>
      <c r="D298" s="5" t="s">
        <v>45</v>
      </c>
      <c r="E298" s="5" t="s">
        <v>117</v>
      </c>
      <c r="F298" s="5" t="s">
        <v>154</v>
      </c>
      <c r="G298" s="5" t="s">
        <v>27</v>
      </c>
      <c r="H298" s="5">
        <v>20</v>
      </c>
      <c r="I298" s="5">
        <v>565</v>
      </c>
      <c r="J298" s="5">
        <v>943</v>
      </c>
      <c r="K298" s="6">
        <f t="shared" si="16"/>
        <v>11300</v>
      </c>
      <c r="L298" s="6">
        <f t="shared" si="17"/>
        <v>18860</v>
      </c>
      <c r="M298" s="6">
        <f t="shared" si="18"/>
        <v>7560</v>
      </c>
      <c r="N298" s="6" t="str">
        <f t="shared" si="19"/>
        <v>profit</v>
      </c>
    </row>
    <row r="299" spans="1:14" ht="15.6" thickTop="1" thickBot="1" x14ac:dyDescent="0.35">
      <c r="A299" s="4">
        <v>45689</v>
      </c>
      <c r="B299" s="4" t="s">
        <v>238</v>
      </c>
      <c r="C299" s="5" t="s">
        <v>239</v>
      </c>
      <c r="D299" s="5" t="s">
        <v>45</v>
      </c>
      <c r="E299" s="5" t="s">
        <v>117</v>
      </c>
      <c r="F299" s="5" t="s">
        <v>43</v>
      </c>
      <c r="G299" s="5" t="s">
        <v>18</v>
      </c>
      <c r="H299" s="5">
        <v>22</v>
      </c>
      <c r="I299" s="5">
        <v>810</v>
      </c>
      <c r="J299" s="5">
        <v>1201</v>
      </c>
      <c r="K299" s="6">
        <f t="shared" si="16"/>
        <v>17820</v>
      </c>
      <c r="L299" s="6">
        <f t="shared" si="17"/>
        <v>26422</v>
      </c>
      <c r="M299" s="6">
        <f t="shared" si="18"/>
        <v>8602</v>
      </c>
      <c r="N299" s="6" t="str">
        <f t="shared" si="19"/>
        <v>profit</v>
      </c>
    </row>
    <row r="300" spans="1:14" ht="15.6" thickTop="1" thickBot="1" x14ac:dyDescent="0.35">
      <c r="A300" s="4">
        <v>45690</v>
      </c>
      <c r="B300" s="4" t="s">
        <v>238</v>
      </c>
      <c r="C300" s="5" t="s">
        <v>240</v>
      </c>
      <c r="D300" s="5" t="s">
        <v>45</v>
      </c>
      <c r="E300" s="5" t="s">
        <v>117</v>
      </c>
      <c r="F300" s="5" t="s">
        <v>152</v>
      </c>
      <c r="G300" s="5" t="s">
        <v>18</v>
      </c>
      <c r="H300" s="5">
        <v>23</v>
      </c>
      <c r="I300" s="5">
        <v>827</v>
      </c>
      <c r="J300" s="5">
        <v>1185</v>
      </c>
      <c r="K300" s="6">
        <f t="shared" si="16"/>
        <v>19021</v>
      </c>
      <c r="L300" s="6">
        <f t="shared" si="17"/>
        <v>27255</v>
      </c>
      <c r="M300" s="6">
        <f t="shared" si="18"/>
        <v>8234</v>
      </c>
      <c r="N300" s="6" t="str">
        <f t="shared" si="19"/>
        <v>profit</v>
      </c>
    </row>
    <row r="301" spans="1:14" ht="15.6" thickTop="1" thickBot="1" x14ac:dyDescent="0.35">
      <c r="A301" s="4">
        <v>45691</v>
      </c>
      <c r="B301" s="4" t="s">
        <v>238</v>
      </c>
      <c r="C301" s="5" t="s">
        <v>241</v>
      </c>
      <c r="D301" s="5" t="s">
        <v>45</v>
      </c>
      <c r="E301" s="5" t="s">
        <v>117</v>
      </c>
      <c r="F301" s="5" t="s">
        <v>154</v>
      </c>
      <c r="G301" s="5" t="s">
        <v>18</v>
      </c>
      <c r="H301" s="5">
        <v>23</v>
      </c>
      <c r="I301" s="5">
        <v>570</v>
      </c>
      <c r="J301" s="5">
        <v>1230</v>
      </c>
      <c r="K301" s="6">
        <f t="shared" si="16"/>
        <v>13110</v>
      </c>
      <c r="L301" s="6">
        <f t="shared" si="17"/>
        <v>28290</v>
      </c>
      <c r="M301" s="6">
        <f t="shared" si="18"/>
        <v>15180</v>
      </c>
      <c r="N301" s="6" t="str">
        <f t="shared" si="19"/>
        <v>profit</v>
      </c>
    </row>
    <row r="302" spans="1:14" ht="15.6" thickTop="1" thickBot="1" x14ac:dyDescent="0.35">
      <c r="A302" s="4">
        <v>45683</v>
      </c>
      <c r="B302" s="4" t="s">
        <v>94</v>
      </c>
      <c r="C302" s="5" t="s">
        <v>242</v>
      </c>
      <c r="D302" s="5" t="s">
        <v>15</v>
      </c>
      <c r="E302" s="5" t="s">
        <v>36</v>
      </c>
      <c r="F302" s="5" t="s">
        <v>26</v>
      </c>
      <c r="G302" s="5" t="s">
        <v>18</v>
      </c>
      <c r="H302" s="5">
        <v>19</v>
      </c>
      <c r="I302" s="5">
        <v>911</v>
      </c>
      <c r="J302" s="5">
        <v>1116</v>
      </c>
      <c r="K302" s="6">
        <f t="shared" si="16"/>
        <v>17309</v>
      </c>
      <c r="L302" s="6">
        <f t="shared" si="17"/>
        <v>21204</v>
      </c>
      <c r="M302" s="6">
        <f t="shared" si="18"/>
        <v>3895</v>
      </c>
      <c r="N302" s="6" t="str">
        <f t="shared" si="19"/>
        <v>profit</v>
      </c>
    </row>
    <row r="303" spans="1:14" ht="15.6" thickTop="1" thickBot="1" x14ac:dyDescent="0.35">
      <c r="A303" s="4">
        <v>45692</v>
      </c>
      <c r="B303" s="4" t="s">
        <v>238</v>
      </c>
      <c r="C303" s="5" t="s">
        <v>243</v>
      </c>
      <c r="D303" s="5" t="s">
        <v>45</v>
      </c>
      <c r="E303" s="5" t="s">
        <v>117</v>
      </c>
      <c r="F303" s="5" t="s">
        <v>17</v>
      </c>
      <c r="G303" s="5" t="s">
        <v>27</v>
      </c>
      <c r="H303" s="5">
        <v>21</v>
      </c>
      <c r="I303" s="5">
        <v>938</v>
      </c>
      <c r="J303" s="5">
        <v>1275</v>
      </c>
      <c r="K303" s="6">
        <f t="shared" si="16"/>
        <v>19698</v>
      </c>
      <c r="L303" s="6">
        <f t="shared" si="17"/>
        <v>26775</v>
      </c>
      <c r="M303" s="6">
        <f t="shared" si="18"/>
        <v>7077</v>
      </c>
      <c r="N303" s="6" t="str">
        <f t="shared" si="19"/>
        <v>profit</v>
      </c>
    </row>
    <row r="304" spans="1:14" ht="15.6" thickTop="1" thickBot="1" x14ac:dyDescent="0.35">
      <c r="A304" s="4">
        <v>45693</v>
      </c>
      <c r="B304" s="4" t="s">
        <v>238</v>
      </c>
      <c r="C304" s="5" t="s">
        <v>244</v>
      </c>
      <c r="D304" s="5" t="s">
        <v>45</v>
      </c>
      <c r="E304" s="5" t="s">
        <v>117</v>
      </c>
      <c r="F304" s="5" t="s">
        <v>20</v>
      </c>
      <c r="G304" s="5" t="s">
        <v>27</v>
      </c>
      <c r="H304" s="5">
        <v>24</v>
      </c>
      <c r="I304" s="5">
        <v>993</v>
      </c>
      <c r="J304" s="5">
        <v>987</v>
      </c>
      <c r="K304" s="6">
        <f t="shared" si="16"/>
        <v>23832</v>
      </c>
      <c r="L304" s="6">
        <f t="shared" si="17"/>
        <v>23688</v>
      </c>
      <c r="M304" s="6">
        <f t="shared" si="18"/>
        <v>-144</v>
      </c>
      <c r="N304" s="6" t="str">
        <f t="shared" si="19"/>
        <v>loss</v>
      </c>
    </row>
    <row r="305" spans="1:14" ht="15.6" thickTop="1" thickBot="1" x14ac:dyDescent="0.35">
      <c r="A305" s="4">
        <v>45694</v>
      </c>
      <c r="B305" s="4" t="s">
        <v>238</v>
      </c>
      <c r="C305" s="5" t="s">
        <v>245</v>
      </c>
      <c r="D305" s="5" t="s">
        <v>45</v>
      </c>
      <c r="E305" s="5" t="s">
        <v>117</v>
      </c>
      <c r="F305" s="5" t="s">
        <v>22</v>
      </c>
      <c r="G305" s="5" t="s">
        <v>27</v>
      </c>
      <c r="H305" s="5">
        <v>20</v>
      </c>
      <c r="I305" s="5">
        <v>534</v>
      </c>
      <c r="J305" s="5">
        <v>1233</v>
      </c>
      <c r="K305" s="6">
        <f t="shared" si="16"/>
        <v>10680</v>
      </c>
      <c r="L305" s="6">
        <f t="shared" si="17"/>
        <v>24660</v>
      </c>
      <c r="M305" s="6">
        <f t="shared" si="18"/>
        <v>13980</v>
      </c>
      <c r="N305" s="6" t="str">
        <f t="shared" si="19"/>
        <v>profit</v>
      </c>
    </row>
    <row r="306" spans="1:14" ht="15.6" thickTop="1" thickBot="1" x14ac:dyDescent="0.35">
      <c r="A306" s="4">
        <v>45687</v>
      </c>
      <c r="B306" s="4" t="s">
        <v>94</v>
      </c>
      <c r="C306" s="5" t="s">
        <v>246</v>
      </c>
      <c r="D306" s="5" t="s">
        <v>15</v>
      </c>
      <c r="E306" s="5" t="s">
        <v>36</v>
      </c>
      <c r="F306" s="5" t="s">
        <v>29</v>
      </c>
      <c r="G306" s="5" t="s">
        <v>27</v>
      </c>
      <c r="H306" s="5">
        <v>10</v>
      </c>
      <c r="I306" s="5">
        <v>911</v>
      </c>
      <c r="J306" s="5">
        <v>1097</v>
      </c>
      <c r="K306" s="6">
        <f t="shared" si="16"/>
        <v>9110</v>
      </c>
      <c r="L306" s="6">
        <f t="shared" si="17"/>
        <v>10970</v>
      </c>
      <c r="M306" s="6">
        <f t="shared" si="18"/>
        <v>1860</v>
      </c>
      <c r="N306" s="6" t="str">
        <f t="shared" si="19"/>
        <v>profit</v>
      </c>
    </row>
    <row r="307" spans="1:14" ht="15.6" thickTop="1" thickBot="1" x14ac:dyDescent="0.35">
      <c r="A307" s="4">
        <v>45695</v>
      </c>
      <c r="B307" s="4" t="s">
        <v>238</v>
      </c>
      <c r="C307" s="5" t="s">
        <v>247</v>
      </c>
      <c r="D307" s="5" t="s">
        <v>45</v>
      </c>
      <c r="E307" s="5" t="s">
        <v>117</v>
      </c>
      <c r="F307" s="5" t="s">
        <v>24</v>
      </c>
      <c r="G307" s="5" t="s">
        <v>27</v>
      </c>
      <c r="H307" s="5">
        <v>23</v>
      </c>
      <c r="I307" s="5">
        <v>761</v>
      </c>
      <c r="J307" s="5">
        <v>901</v>
      </c>
      <c r="K307" s="6">
        <f t="shared" si="16"/>
        <v>17503</v>
      </c>
      <c r="L307" s="6">
        <f t="shared" si="17"/>
        <v>20723</v>
      </c>
      <c r="M307" s="6">
        <f t="shared" si="18"/>
        <v>3220</v>
      </c>
      <c r="N307" s="6" t="str">
        <f t="shared" si="19"/>
        <v>profit</v>
      </c>
    </row>
    <row r="308" spans="1:14" ht="15.6" thickTop="1" thickBot="1" x14ac:dyDescent="0.35">
      <c r="A308" s="4">
        <v>45696</v>
      </c>
      <c r="B308" s="4" t="s">
        <v>238</v>
      </c>
      <c r="C308" s="5" t="s">
        <v>248</v>
      </c>
      <c r="D308" s="5" t="s">
        <v>45</v>
      </c>
      <c r="E308" s="5" t="s">
        <v>117</v>
      </c>
      <c r="F308" s="5" t="s">
        <v>24</v>
      </c>
      <c r="G308" s="5" t="s">
        <v>27</v>
      </c>
      <c r="H308" s="5">
        <v>23</v>
      </c>
      <c r="I308" s="5">
        <v>701</v>
      </c>
      <c r="J308" s="5">
        <v>1322</v>
      </c>
      <c r="K308" s="6">
        <f t="shared" si="16"/>
        <v>16123</v>
      </c>
      <c r="L308" s="6">
        <f t="shared" si="17"/>
        <v>30406</v>
      </c>
      <c r="M308" s="6">
        <f t="shared" si="18"/>
        <v>14283</v>
      </c>
      <c r="N308" s="6" t="str">
        <f t="shared" si="19"/>
        <v>profit</v>
      </c>
    </row>
    <row r="309" spans="1:14" ht="15.6" thickTop="1" thickBot="1" x14ac:dyDescent="0.35">
      <c r="A309" s="4">
        <v>45697</v>
      </c>
      <c r="B309" s="4" t="s">
        <v>238</v>
      </c>
      <c r="C309" s="5" t="s">
        <v>249</v>
      </c>
      <c r="D309" s="5" t="s">
        <v>45</v>
      </c>
      <c r="E309" s="5" t="s">
        <v>117</v>
      </c>
      <c r="F309" s="5" t="s">
        <v>26</v>
      </c>
      <c r="G309" s="5" t="s">
        <v>18</v>
      </c>
      <c r="H309" s="5">
        <v>25</v>
      </c>
      <c r="I309" s="5">
        <v>541</v>
      </c>
      <c r="J309" s="5">
        <v>1090</v>
      </c>
      <c r="K309" s="6">
        <f t="shared" si="16"/>
        <v>13525</v>
      </c>
      <c r="L309" s="6">
        <f t="shared" si="17"/>
        <v>27250</v>
      </c>
      <c r="M309" s="6">
        <f t="shared" si="18"/>
        <v>13725</v>
      </c>
      <c r="N309" s="6" t="str">
        <f t="shared" si="19"/>
        <v>profit</v>
      </c>
    </row>
    <row r="310" spans="1:14" ht="15.6" thickTop="1" thickBot="1" x14ac:dyDescent="0.35">
      <c r="A310" s="4">
        <v>45699</v>
      </c>
      <c r="B310" s="4" t="s">
        <v>238</v>
      </c>
      <c r="C310" s="5" t="s">
        <v>250</v>
      </c>
      <c r="D310" s="5" t="s">
        <v>45</v>
      </c>
      <c r="E310" s="5" t="s">
        <v>117</v>
      </c>
      <c r="F310" s="5" t="s">
        <v>34</v>
      </c>
      <c r="G310" s="5" t="s">
        <v>18</v>
      </c>
      <c r="H310" s="5">
        <v>28</v>
      </c>
      <c r="I310" s="5">
        <v>708</v>
      </c>
      <c r="J310" s="5">
        <v>1358</v>
      </c>
      <c r="K310" s="6">
        <f t="shared" si="16"/>
        <v>19824</v>
      </c>
      <c r="L310" s="6">
        <f t="shared" si="17"/>
        <v>38024</v>
      </c>
      <c r="M310" s="6">
        <f t="shared" si="18"/>
        <v>18200</v>
      </c>
      <c r="N310" s="6" t="str">
        <f t="shared" si="19"/>
        <v>profit</v>
      </c>
    </row>
    <row r="311" spans="1:14" ht="15.6" thickTop="1" thickBot="1" x14ac:dyDescent="0.35">
      <c r="A311" s="4">
        <v>45383</v>
      </c>
      <c r="B311" s="4" t="s">
        <v>30</v>
      </c>
      <c r="C311" s="5" t="s">
        <v>130</v>
      </c>
      <c r="D311" s="5" t="s">
        <v>45</v>
      </c>
      <c r="E311" s="5" t="s">
        <v>46</v>
      </c>
      <c r="F311" s="5" t="s">
        <v>70</v>
      </c>
      <c r="G311" s="5" t="s">
        <v>27</v>
      </c>
      <c r="H311" s="5">
        <v>28</v>
      </c>
      <c r="I311" s="5">
        <v>826</v>
      </c>
      <c r="J311" s="5">
        <v>929</v>
      </c>
      <c r="K311" s="6">
        <f t="shared" si="16"/>
        <v>23128</v>
      </c>
      <c r="L311" s="6">
        <f t="shared" si="17"/>
        <v>26012</v>
      </c>
      <c r="M311" s="6">
        <f t="shared" si="18"/>
        <v>2884</v>
      </c>
      <c r="N311" s="6" t="str">
        <f t="shared" si="19"/>
        <v>profit</v>
      </c>
    </row>
    <row r="312" spans="1:14" ht="15.6" thickTop="1" thickBot="1" x14ac:dyDescent="0.35">
      <c r="A312" s="4">
        <v>45384</v>
      </c>
      <c r="B312" s="4" t="s">
        <v>30</v>
      </c>
      <c r="C312" s="5" t="s">
        <v>131</v>
      </c>
      <c r="D312" s="5" t="s">
        <v>45</v>
      </c>
      <c r="E312" s="5" t="s">
        <v>132</v>
      </c>
      <c r="F312" s="5" t="s">
        <v>43</v>
      </c>
      <c r="G312" s="5" t="s">
        <v>27</v>
      </c>
      <c r="H312" s="5">
        <v>25</v>
      </c>
      <c r="I312" s="5">
        <v>952</v>
      </c>
      <c r="J312" s="5">
        <v>1261</v>
      </c>
      <c r="K312" s="6">
        <f t="shared" si="16"/>
        <v>23800</v>
      </c>
      <c r="L312" s="6">
        <f t="shared" si="17"/>
        <v>31525</v>
      </c>
      <c r="M312" s="6">
        <f t="shared" si="18"/>
        <v>7725</v>
      </c>
      <c r="N312" s="6" t="str">
        <f t="shared" si="19"/>
        <v>profit</v>
      </c>
    </row>
    <row r="313" spans="1:14" ht="15.6" thickTop="1" thickBot="1" x14ac:dyDescent="0.35">
      <c r="A313" s="4">
        <v>45385</v>
      </c>
      <c r="B313" s="4" t="s">
        <v>30</v>
      </c>
      <c r="C313" s="5" t="s">
        <v>133</v>
      </c>
      <c r="D313" s="5" t="s">
        <v>45</v>
      </c>
      <c r="E313" s="5" t="s">
        <v>132</v>
      </c>
      <c r="F313" s="5" t="s">
        <v>24</v>
      </c>
      <c r="G313" s="5" t="s">
        <v>27</v>
      </c>
      <c r="H313" s="5">
        <v>20</v>
      </c>
      <c r="I313" s="5">
        <v>940</v>
      </c>
      <c r="J313" s="5">
        <v>1259</v>
      </c>
      <c r="K313" s="6">
        <f t="shared" si="16"/>
        <v>18800</v>
      </c>
      <c r="L313" s="6">
        <f t="shared" si="17"/>
        <v>25180</v>
      </c>
      <c r="M313" s="6">
        <f t="shared" si="18"/>
        <v>6380</v>
      </c>
      <c r="N313" s="6" t="str">
        <f t="shared" si="19"/>
        <v>profit</v>
      </c>
    </row>
    <row r="314" spans="1:14" ht="15.6" thickTop="1" thickBot="1" x14ac:dyDescent="0.35">
      <c r="A314" s="4">
        <v>45386</v>
      </c>
      <c r="B314" s="4" t="s">
        <v>30</v>
      </c>
      <c r="C314" s="5" t="s">
        <v>135</v>
      </c>
      <c r="D314" s="5" t="s">
        <v>45</v>
      </c>
      <c r="E314" s="5" t="s">
        <v>132</v>
      </c>
      <c r="F314" s="5" t="s">
        <v>63</v>
      </c>
      <c r="G314" s="5" t="s">
        <v>27</v>
      </c>
      <c r="H314" s="5">
        <v>22</v>
      </c>
      <c r="I314" s="5">
        <v>785</v>
      </c>
      <c r="J314" s="5">
        <v>1292</v>
      </c>
      <c r="K314" s="6">
        <f t="shared" si="16"/>
        <v>17270</v>
      </c>
      <c r="L314" s="6">
        <f t="shared" si="17"/>
        <v>28424</v>
      </c>
      <c r="M314" s="6">
        <f t="shared" si="18"/>
        <v>11154</v>
      </c>
      <c r="N314" s="6" t="str">
        <f t="shared" si="19"/>
        <v>profit</v>
      </c>
    </row>
    <row r="315" spans="1:14" ht="15.6" thickTop="1" thickBot="1" x14ac:dyDescent="0.35">
      <c r="A315" s="4">
        <v>45391</v>
      </c>
      <c r="B315" s="4" t="s">
        <v>30</v>
      </c>
      <c r="C315" s="5" t="s">
        <v>136</v>
      </c>
      <c r="D315" s="5" t="s">
        <v>45</v>
      </c>
      <c r="E315" s="5" t="s">
        <v>46</v>
      </c>
      <c r="F315" s="5" t="s">
        <v>59</v>
      </c>
      <c r="G315" s="5" t="s">
        <v>18</v>
      </c>
      <c r="H315" s="5">
        <v>21</v>
      </c>
      <c r="I315" s="5">
        <v>879</v>
      </c>
      <c r="J315" s="5">
        <v>1019</v>
      </c>
      <c r="K315" s="6">
        <f t="shared" si="16"/>
        <v>18459</v>
      </c>
      <c r="L315" s="6">
        <f t="shared" si="17"/>
        <v>21399</v>
      </c>
      <c r="M315" s="6">
        <f t="shared" si="18"/>
        <v>2940</v>
      </c>
      <c r="N315" s="6" t="str">
        <f t="shared" si="19"/>
        <v>profit</v>
      </c>
    </row>
    <row r="316" spans="1:14" ht="15.6" thickTop="1" thickBot="1" x14ac:dyDescent="0.35">
      <c r="A316" s="4">
        <v>45392</v>
      </c>
      <c r="B316" s="4" t="s">
        <v>30</v>
      </c>
      <c r="C316" s="5" t="s">
        <v>137</v>
      </c>
      <c r="D316" s="5" t="s">
        <v>45</v>
      </c>
      <c r="E316" s="5" t="s">
        <v>46</v>
      </c>
      <c r="F316" s="5" t="s">
        <v>34</v>
      </c>
      <c r="G316" s="5" t="s">
        <v>18</v>
      </c>
      <c r="H316" s="5">
        <v>28</v>
      </c>
      <c r="I316" s="5">
        <v>937</v>
      </c>
      <c r="J316" s="5">
        <v>872</v>
      </c>
      <c r="K316" s="6">
        <f t="shared" si="16"/>
        <v>26236</v>
      </c>
      <c r="L316" s="6">
        <f t="shared" si="17"/>
        <v>24416</v>
      </c>
      <c r="M316" s="6">
        <f t="shared" si="18"/>
        <v>-1820</v>
      </c>
      <c r="N316" s="6" t="str">
        <f t="shared" si="19"/>
        <v>loss</v>
      </c>
    </row>
    <row r="317" spans="1:14" ht="15.6" thickTop="1" thickBot="1" x14ac:dyDescent="0.35">
      <c r="A317" s="4">
        <v>45698</v>
      </c>
      <c r="B317" s="4" t="s">
        <v>238</v>
      </c>
      <c r="C317" s="5" t="s">
        <v>251</v>
      </c>
      <c r="D317" s="5" t="s">
        <v>45</v>
      </c>
      <c r="E317" s="5" t="s">
        <v>117</v>
      </c>
      <c r="F317" s="5" t="s">
        <v>29</v>
      </c>
      <c r="G317" s="5" t="s">
        <v>18</v>
      </c>
      <c r="H317" s="5">
        <v>26</v>
      </c>
      <c r="I317" s="5">
        <v>751</v>
      </c>
      <c r="J317" s="5">
        <v>1292</v>
      </c>
      <c r="K317" s="6">
        <f t="shared" si="16"/>
        <v>19526</v>
      </c>
      <c r="L317" s="6">
        <f t="shared" si="17"/>
        <v>33592</v>
      </c>
      <c r="M317" s="6">
        <f t="shared" si="18"/>
        <v>14066</v>
      </c>
      <c r="N317" s="6" t="str">
        <f t="shared" si="19"/>
        <v>profit</v>
      </c>
    </row>
    <row r="318" spans="1:14" ht="15.6" thickTop="1" thickBot="1" x14ac:dyDescent="0.35">
      <c r="A318" s="4">
        <v>45393</v>
      </c>
      <c r="B318" s="4" t="s">
        <v>30</v>
      </c>
      <c r="C318" s="5" t="s">
        <v>138</v>
      </c>
      <c r="D318" s="5" t="s">
        <v>45</v>
      </c>
      <c r="E318" s="5" t="s">
        <v>46</v>
      </c>
      <c r="F318" s="5" t="s">
        <v>38</v>
      </c>
      <c r="G318" s="5" t="s">
        <v>18</v>
      </c>
      <c r="H318" s="5">
        <v>22</v>
      </c>
      <c r="I318" s="5">
        <v>832</v>
      </c>
      <c r="J318" s="5">
        <v>769</v>
      </c>
      <c r="K318" s="6">
        <f t="shared" si="16"/>
        <v>18304</v>
      </c>
      <c r="L318" s="6">
        <f t="shared" si="17"/>
        <v>16918</v>
      </c>
      <c r="M318" s="6">
        <f t="shared" si="18"/>
        <v>-1386</v>
      </c>
      <c r="N318" s="6" t="str">
        <f t="shared" si="19"/>
        <v>loss</v>
      </c>
    </row>
    <row r="319" spans="1:14" ht="15.6" thickTop="1" thickBot="1" x14ac:dyDescent="0.35">
      <c r="A319" s="4">
        <v>45394</v>
      </c>
      <c r="B319" s="4" t="s">
        <v>30</v>
      </c>
      <c r="C319" s="5" t="s">
        <v>140</v>
      </c>
      <c r="D319" s="5" t="s">
        <v>45</v>
      </c>
      <c r="E319" s="5" t="s">
        <v>46</v>
      </c>
      <c r="F319" s="5" t="s">
        <v>38</v>
      </c>
      <c r="G319" s="5" t="s">
        <v>18</v>
      </c>
      <c r="H319" s="5">
        <v>28</v>
      </c>
      <c r="I319" s="5">
        <v>832</v>
      </c>
      <c r="J319" s="5">
        <v>1028</v>
      </c>
      <c r="K319" s="6">
        <f t="shared" si="16"/>
        <v>23296</v>
      </c>
      <c r="L319" s="6">
        <f t="shared" si="17"/>
        <v>28784</v>
      </c>
      <c r="M319" s="6">
        <f t="shared" si="18"/>
        <v>5488</v>
      </c>
      <c r="N319" s="6" t="str">
        <f t="shared" si="19"/>
        <v>profit</v>
      </c>
    </row>
    <row r="320" spans="1:14" ht="15.6" thickTop="1" thickBot="1" x14ac:dyDescent="0.35">
      <c r="A320" s="4">
        <v>45396</v>
      </c>
      <c r="B320" s="4" t="s">
        <v>30</v>
      </c>
      <c r="C320" s="5" t="s">
        <v>141</v>
      </c>
      <c r="D320" s="5" t="s">
        <v>45</v>
      </c>
      <c r="E320" s="5" t="s">
        <v>46</v>
      </c>
      <c r="F320" s="5" t="s">
        <v>26</v>
      </c>
      <c r="G320" s="5" t="s">
        <v>18</v>
      </c>
      <c r="H320" s="5">
        <v>22</v>
      </c>
      <c r="I320" s="5">
        <v>622</v>
      </c>
      <c r="J320" s="5">
        <v>822</v>
      </c>
      <c r="K320" s="6">
        <f t="shared" si="16"/>
        <v>13684</v>
      </c>
      <c r="L320" s="6">
        <f t="shared" si="17"/>
        <v>18084</v>
      </c>
      <c r="M320" s="6">
        <f t="shared" si="18"/>
        <v>4400</v>
      </c>
      <c r="N320" s="6" t="str">
        <f t="shared" si="19"/>
        <v>profit</v>
      </c>
    </row>
    <row r="321" spans="1:14" ht="15.6" thickTop="1" thickBot="1" x14ac:dyDescent="0.35">
      <c r="A321" s="4">
        <v>45702</v>
      </c>
      <c r="B321" s="4" t="s">
        <v>238</v>
      </c>
      <c r="C321" s="5" t="s">
        <v>252</v>
      </c>
      <c r="D321" s="5" t="s">
        <v>32</v>
      </c>
      <c r="E321" s="5" t="s">
        <v>98</v>
      </c>
      <c r="F321" s="5" t="s">
        <v>63</v>
      </c>
      <c r="G321" s="5" t="s">
        <v>18</v>
      </c>
      <c r="H321" s="5">
        <v>55</v>
      </c>
      <c r="I321" s="5">
        <v>856</v>
      </c>
      <c r="J321" s="5">
        <v>756</v>
      </c>
      <c r="K321" s="6">
        <f t="shared" si="16"/>
        <v>47080</v>
      </c>
      <c r="L321" s="6">
        <f t="shared" si="17"/>
        <v>41580</v>
      </c>
      <c r="M321" s="6">
        <f t="shared" si="18"/>
        <v>-5500</v>
      </c>
      <c r="N321" s="6" t="str">
        <f t="shared" si="19"/>
        <v>loss</v>
      </c>
    </row>
    <row r="322" spans="1:14" ht="15.6" thickTop="1" thickBot="1" x14ac:dyDescent="0.35">
      <c r="A322" s="4">
        <v>45404</v>
      </c>
      <c r="B322" s="4" t="s">
        <v>30</v>
      </c>
      <c r="C322" s="5" t="s">
        <v>143</v>
      </c>
      <c r="D322" s="5" t="s">
        <v>45</v>
      </c>
      <c r="E322" s="5" t="s">
        <v>62</v>
      </c>
      <c r="F322" s="5" t="s">
        <v>38</v>
      </c>
      <c r="G322" s="5" t="s">
        <v>27</v>
      </c>
      <c r="H322" s="5">
        <v>23</v>
      </c>
      <c r="I322" s="5">
        <v>663</v>
      </c>
      <c r="J322" s="5">
        <v>1153</v>
      </c>
      <c r="K322" s="6">
        <f t="shared" ref="K322:K385" si="20">H322*I322</f>
        <v>15249</v>
      </c>
      <c r="L322" s="6">
        <f t="shared" ref="L322:L385" si="21">H322*J322</f>
        <v>26519</v>
      </c>
      <c r="M322" s="6">
        <f t="shared" ref="M322:M385" si="22">L322-K322</f>
        <v>11270</v>
      </c>
      <c r="N322" s="6" t="str">
        <f t="shared" ref="N322:N385" si="23">IF(M322&gt;0,"profit","loss")</f>
        <v>profit</v>
      </c>
    </row>
    <row r="323" spans="1:14" ht="15.6" thickTop="1" thickBot="1" x14ac:dyDescent="0.35">
      <c r="A323" s="4">
        <v>45406</v>
      </c>
      <c r="B323" s="4" t="s">
        <v>30</v>
      </c>
      <c r="C323" s="5" t="s">
        <v>145</v>
      </c>
      <c r="D323" s="5" t="s">
        <v>45</v>
      </c>
      <c r="E323" s="5" t="s">
        <v>62</v>
      </c>
      <c r="F323" s="5" t="s">
        <v>63</v>
      </c>
      <c r="G323" s="5" t="s">
        <v>27</v>
      </c>
      <c r="H323" s="5">
        <v>23</v>
      </c>
      <c r="I323" s="5">
        <v>779</v>
      </c>
      <c r="J323" s="5">
        <v>1415</v>
      </c>
      <c r="K323" s="6">
        <f t="shared" si="20"/>
        <v>17917</v>
      </c>
      <c r="L323" s="6">
        <f t="shared" si="21"/>
        <v>32545</v>
      </c>
      <c r="M323" s="6">
        <f t="shared" si="22"/>
        <v>14628</v>
      </c>
      <c r="N323" s="6" t="str">
        <f t="shared" si="23"/>
        <v>profit</v>
      </c>
    </row>
    <row r="324" spans="1:14" ht="15.6" thickTop="1" thickBot="1" x14ac:dyDescent="0.35">
      <c r="A324" s="4">
        <v>45408</v>
      </c>
      <c r="B324" s="4" t="s">
        <v>30</v>
      </c>
      <c r="C324" s="5" t="s">
        <v>147</v>
      </c>
      <c r="D324" s="5" t="s">
        <v>45</v>
      </c>
      <c r="E324" s="5" t="s">
        <v>62</v>
      </c>
      <c r="F324" s="5" t="s">
        <v>38</v>
      </c>
      <c r="G324" s="5" t="s">
        <v>18</v>
      </c>
      <c r="H324" s="5">
        <v>29</v>
      </c>
      <c r="I324" s="5">
        <v>952</v>
      </c>
      <c r="J324" s="5">
        <v>1428</v>
      </c>
      <c r="K324" s="6">
        <f t="shared" si="20"/>
        <v>27608</v>
      </c>
      <c r="L324" s="6">
        <f t="shared" si="21"/>
        <v>41412</v>
      </c>
      <c r="M324" s="6">
        <f t="shared" si="22"/>
        <v>13804</v>
      </c>
      <c r="N324" s="6" t="str">
        <f t="shared" si="23"/>
        <v>profit</v>
      </c>
    </row>
    <row r="325" spans="1:14" ht="15.6" thickTop="1" thickBot="1" x14ac:dyDescent="0.35">
      <c r="A325" s="4">
        <v>45409</v>
      </c>
      <c r="B325" s="4" t="s">
        <v>30</v>
      </c>
      <c r="C325" s="5" t="s">
        <v>148</v>
      </c>
      <c r="D325" s="5" t="s">
        <v>45</v>
      </c>
      <c r="E325" s="5" t="s">
        <v>62</v>
      </c>
      <c r="F325" s="5" t="s">
        <v>29</v>
      </c>
      <c r="G325" s="5" t="s">
        <v>18</v>
      </c>
      <c r="H325" s="5">
        <v>26</v>
      </c>
      <c r="I325" s="5">
        <v>983</v>
      </c>
      <c r="J325" s="5">
        <v>1270</v>
      </c>
      <c r="K325" s="6">
        <f t="shared" si="20"/>
        <v>25558</v>
      </c>
      <c r="L325" s="6">
        <f t="shared" si="21"/>
        <v>33020</v>
      </c>
      <c r="M325" s="6">
        <f t="shared" si="22"/>
        <v>7462</v>
      </c>
      <c r="N325" s="6" t="str">
        <f t="shared" si="23"/>
        <v>profit</v>
      </c>
    </row>
    <row r="326" spans="1:14" ht="15.6" thickTop="1" thickBot="1" x14ac:dyDescent="0.35">
      <c r="A326" s="4">
        <v>45410</v>
      </c>
      <c r="B326" s="4" t="s">
        <v>30</v>
      </c>
      <c r="C326" s="5" t="s">
        <v>149</v>
      </c>
      <c r="D326" s="5" t="s">
        <v>45</v>
      </c>
      <c r="E326" s="5" t="s">
        <v>62</v>
      </c>
      <c r="F326" s="5" t="s">
        <v>112</v>
      </c>
      <c r="G326" s="5" t="s">
        <v>18</v>
      </c>
      <c r="H326" s="5">
        <v>28</v>
      </c>
      <c r="I326" s="5">
        <v>814</v>
      </c>
      <c r="J326" s="5">
        <v>1343</v>
      </c>
      <c r="K326" s="6">
        <f t="shared" si="20"/>
        <v>22792</v>
      </c>
      <c r="L326" s="6">
        <f t="shared" si="21"/>
        <v>37604</v>
      </c>
      <c r="M326" s="6">
        <f t="shared" si="22"/>
        <v>14812</v>
      </c>
      <c r="N326" s="6" t="str">
        <f t="shared" si="23"/>
        <v>profit</v>
      </c>
    </row>
    <row r="327" spans="1:14" ht="15.6" thickTop="1" thickBot="1" x14ac:dyDescent="0.35">
      <c r="A327" s="4">
        <v>45411</v>
      </c>
      <c r="B327" s="4" t="s">
        <v>30</v>
      </c>
      <c r="C327" s="5" t="s">
        <v>150</v>
      </c>
      <c r="D327" s="5" t="s">
        <v>45</v>
      </c>
      <c r="E327" s="5" t="s">
        <v>62</v>
      </c>
      <c r="F327" s="5" t="s">
        <v>43</v>
      </c>
      <c r="G327" s="5" t="s">
        <v>18</v>
      </c>
      <c r="H327" s="5">
        <v>26</v>
      </c>
      <c r="I327" s="5">
        <v>835</v>
      </c>
      <c r="J327" s="5">
        <v>973</v>
      </c>
      <c r="K327" s="6">
        <f t="shared" si="20"/>
        <v>21710</v>
      </c>
      <c r="L327" s="6">
        <f t="shared" si="21"/>
        <v>25298</v>
      </c>
      <c r="M327" s="6">
        <f t="shared" si="22"/>
        <v>3588</v>
      </c>
      <c r="N327" s="6" t="str">
        <f t="shared" si="23"/>
        <v>profit</v>
      </c>
    </row>
    <row r="328" spans="1:14" ht="15.6" thickTop="1" thickBot="1" x14ac:dyDescent="0.35">
      <c r="A328" s="4">
        <v>45709</v>
      </c>
      <c r="B328" s="4" t="s">
        <v>238</v>
      </c>
      <c r="C328" s="5" t="s">
        <v>253</v>
      </c>
      <c r="D328" s="5" t="s">
        <v>32</v>
      </c>
      <c r="E328" s="5" t="s">
        <v>98</v>
      </c>
      <c r="F328" s="5" t="s">
        <v>152</v>
      </c>
      <c r="G328" s="5" t="s">
        <v>27</v>
      </c>
      <c r="H328" s="5">
        <v>88</v>
      </c>
      <c r="I328" s="5">
        <v>635</v>
      </c>
      <c r="J328" s="5">
        <v>1370</v>
      </c>
      <c r="K328" s="6">
        <f t="shared" si="20"/>
        <v>55880</v>
      </c>
      <c r="L328" s="6">
        <f t="shared" si="21"/>
        <v>120560</v>
      </c>
      <c r="M328" s="6">
        <f t="shared" si="22"/>
        <v>64680</v>
      </c>
      <c r="N328" s="6" t="str">
        <f t="shared" si="23"/>
        <v>profit</v>
      </c>
    </row>
    <row r="329" spans="1:14" ht="15.6" thickTop="1" thickBot="1" x14ac:dyDescent="0.35">
      <c r="A329" s="4">
        <v>45412</v>
      </c>
      <c r="B329" s="4" t="s">
        <v>30</v>
      </c>
      <c r="C329" s="5" t="s">
        <v>151</v>
      </c>
      <c r="D329" s="5" t="s">
        <v>45</v>
      </c>
      <c r="E329" s="5" t="s">
        <v>62</v>
      </c>
      <c r="F329" s="5" t="s">
        <v>152</v>
      </c>
      <c r="G329" s="5" t="s">
        <v>18</v>
      </c>
      <c r="H329" s="5">
        <v>24</v>
      </c>
      <c r="I329" s="5">
        <v>631</v>
      </c>
      <c r="J329" s="5">
        <v>1304</v>
      </c>
      <c r="K329" s="6">
        <f t="shared" si="20"/>
        <v>15144</v>
      </c>
      <c r="L329" s="6">
        <f t="shared" si="21"/>
        <v>31296</v>
      </c>
      <c r="M329" s="6">
        <f t="shared" si="22"/>
        <v>16152</v>
      </c>
      <c r="N329" s="6" t="str">
        <f t="shared" si="23"/>
        <v>profit</v>
      </c>
    </row>
    <row r="330" spans="1:14" ht="15.6" thickTop="1" thickBot="1" x14ac:dyDescent="0.35">
      <c r="A330" s="4">
        <v>45413</v>
      </c>
      <c r="B330" s="4" t="s">
        <v>96</v>
      </c>
      <c r="C330" s="5" t="s">
        <v>153</v>
      </c>
      <c r="D330" s="5" t="s">
        <v>45</v>
      </c>
      <c r="E330" s="5" t="s">
        <v>62</v>
      </c>
      <c r="F330" s="5" t="s">
        <v>154</v>
      </c>
      <c r="G330" s="5" t="s">
        <v>18</v>
      </c>
      <c r="H330" s="5">
        <v>24</v>
      </c>
      <c r="I330" s="5">
        <v>833</v>
      </c>
      <c r="J330" s="5">
        <v>1280</v>
      </c>
      <c r="K330" s="6">
        <f t="shared" si="20"/>
        <v>19992</v>
      </c>
      <c r="L330" s="6">
        <f t="shared" si="21"/>
        <v>30720</v>
      </c>
      <c r="M330" s="6">
        <f t="shared" si="22"/>
        <v>10728</v>
      </c>
      <c r="N330" s="6" t="str">
        <f t="shared" si="23"/>
        <v>profit</v>
      </c>
    </row>
    <row r="331" spans="1:14" ht="15.6" thickTop="1" thickBot="1" x14ac:dyDescent="0.35">
      <c r="A331" s="4">
        <v>45414</v>
      </c>
      <c r="B331" s="7" t="s">
        <v>96</v>
      </c>
      <c r="C331" s="8" t="s">
        <v>155</v>
      </c>
      <c r="D331" s="8" t="s">
        <v>45</v>
      </c>
      <c r="E331" s="8" t="s">
        <v>62</v>
      </c>
      <c r="F331" s="8" t="s">
        <v>17</v>
      </c>
      <c r="G331" s="5" t="s">
        <v>27</v>
      </c>
      <c r="H331" s="5">
        <v>21</v>
      </c>
      <c r="I331" s="5">
        <v>680</v>
      </c>
      <c r="J331" s="5">
        <v>1049</v>
      </c>
      <c r="K331" s="6">
        <f t="shared" si="20"/>
        <v>14280</v>
      </c>
      <c r="L331" s="6">
        <f t="shared" si="21"/>
        <v>22029</v>
      </c>
      <c r="M331" s="6">
        <f t="shared" si="22"/>
        <v>7749</v>
      </c>
      <c r="N331" s="6" t="str">
        <f t="shared" si="23"/>
        <v>profit</v>
      </c>
    </row>
    <row r="332" spans="1:14" ht="15.6" thickTop="1" thickBot="1" x14ac:dyDescent="0.35">
      <c r="A332" s="4">
        <v>45415</v>
      </c>
      <c r="B332" s="9" t="s">
        <v>96</v>
      </c>
      <c r="C332" s="10" t="s">
        <v>156</v>
      </c>
      <c r="D332" s="8" t="s">
        <v>45</v>
      </c>
      <c r="E332" s="10" t="s">
        <v>62</v>
      </c>
      <c r="F332" s="8" t="s">
        <v>20</v>
      </c>
      <c r="G332" s="5" t="s">
        <v>27</v>
      </c>
      <c r="H332" s="5">
        <v>23</v>
      </c>
      <c r="I332" s="5">
        <v>667</v>
      </c>
      <c r="J332" s="5">
        <v>962</v>
      </c>
      <c r="K332" s="6">
        <f t="shared" si="20"/>
        <v>15341</v>
      </c>
      <c r="L332" s="6">
        <f t="shared" si="21"/>
        <v>22126</v>
      </c>
      <c r="M332" s="6">
        <f t="shared" si="22"/>
        <v>6785</v>
      </c>
      <c r="N332" s="6" t="str">
        <f t="shared" si="23"/>
        <v>profit</v>
      </c>
    </row>
    <row r="333" spans="1:14" ht="15.6" thickTop="1" thickBot="1" x14ac:dyDescent="0.35">
      <c r="A333" s="4">
        <v>45416</v>
      </c>
      <c r="B333" s="4" t="s">
        <v>96</v>
      </c>
      <c r="C333" s="5" t="s">
        <v>157</v>
      </c>
      <c r="D333" s="5" t="s">
        <v>45</v>
      </c>
      <c r="E333" s="5" t="s">
        <v>62</v>
      </c>
      <c r="F333" s="5" t="s">
        <v>22</v>
      </c>
      <c r="G333" s="5" t="s">
        <v>27</v>
      </c>
      <c r="H333" s="5">
        <v>24</v>
      </c>
      <c r="I333" s="5">
        <v>504</v>
      </c>
      <c r="J333" s="5">
        <v>1283</v>
      </c>
      <c r="K333" s="6">
        <f t="shared" si="20"/>
        <v>12096</v>
      </c>
      <c r="L333" s="6">
        <f t="shared" si="21"/>
        <v>30792</v>
      </c>
      <c r="M333" s="6">
        <f t="shared" si="22"/>
        <v>18696</v>
      </c>
      <c r="N333" s="6" t="str">
        <f t="shared" si="23"/>
        <v>profit</v>
      </c>
    </row>
    <row r="334" spans="1:14" ht="15.6" thickTop="1" thickBot="1" x14ac:dyDescent="0.35">
      <c r="A334" s="4">
        <v>45417</v>
      </c>
      <c r="B334" s="4" t="s">
        <v>96</v>
      </c>
      <c r="C334" s="5" t="s">
        <v>158</v>
      </c>
      <c r="D334" s="5" t="s">
        <v>45</v>
      </c>
      <c r="E334" s="5" t="s">
        <v>62</v>
      </c>
      <c r="F334" s="5" t="s">
        <v>24</v>
      </c>
      <c r="G334" s="5" t="s">
        <v>27</v>
      </c>
      <c r="H334" s="5">
        <v>26</v>
      </c>
      <c r="I334" s="5">
        <v>985</v>
      </c>
      <c r="J334" s="5">
        <v>1407</v>
      </c>
      <c r="K334" s="6">
        <f t="shared" si="20"/>
        <v>25610</v>
      </c>
      <c r="L334" s="6">
        <f t="shared" si="21"/>
        <v>36582</v>
      </c>
      <c r="M334" s="6">
        <f t="shared" si="22"/>
        <v>10972</v>
      </c>
      <c r="N334" s="6" t="str">
        <f t="shared" si="23"/>
        <v>profit</v>
      </c>
    </row>
    <row r="335" spans="1:14" ht="15.6" thickTop="1" thickBot="1" x14ac:dyDescent="0.35">
      <c r="A335" s="4">
        <v>45418</v>
      </c>
      <c r="B335" s="4" t="s">
        <v>96</v>
      </c>
      <c r="C335" s="5" t="s">
        <v>159</v>
      </c>
      <c r="D335" s="5" t="s">
        <v>45</v>
      </c>
      <c r="E335" s="5" t="s">
        <v>62</v>
      </c>
      <c r="F335" s="5" t="s">
        <v>24</v>
      </c>
      <c r="G335" s="5" t="s">
        <v>18</v>
      </c>
      <c r="H335" s="5">
        <v>27</v>
      </c>
      <c r="I335" s="5">
        <v>890</v>
      </c>
      <c r="J335" s="5">
        <v>853</v>
      </c>
      <c r="K335" s="6">
        <f t="shared" si="20"/>
        <v>24030</v>
      </c>
      <c r="L335" s="6">
        <f t="shared" si="21"/>
        <v>23031</v>
      </c>
      <c r="M335" s="6">
        <f t="shared" si="22"/>
        <v>-999</v>
      </c>
      <c r="N335" s="6" t="str">
        <f t="shared" si="23"/>
        <v>loss</v>
      </c>
    </row>
    <row r="336" spans="1:14" ht="15.6" thickTop="1" thickBot="1" x14ac:dyDescent="0.35">
      <c r="A336" s="4">
        <v>45419</v>
      </c>
      <c r="B336" s="4" t="s">
        <v>96</v>
      </c>
      <c r="C336" s="5" t="s">
        <v>163</v>
      </c>
      <c r="D336" s="5" t="s">
        <v>45</v>
      </c>
      <c r="E336" s="5" t="s">
        <v>117</v>
      </c>
      <c r="F336" s="5" t="s">
        <v>26</v>
      </c>
      <c r="G336" s="5" t="s">
        <v>18</v>
      </c>
      <c r="H336" s="5">
        <v>21</v>
      </c>
      <c r="I336" s="5">
        <v>722</v>
      </c>
      <c r="J336" s="5">
        <v>1247</v>
      </c>
      <c r="K336" s="6">
        <f t="shared" si="20"/>
        <v>15162</v>
      </c>
      <c r="L336" s="6">
        <f t="shared" si="21"/>
        <v>26187</v>
      </c>
      <c r="M336" s="6">
        <f t="shared" si="22"/>
        <v>11025</v>
      </c>
      <c r="N336" s="6" t="str">
        <f t="shared" si="23"/>
        <v>profit</v>
      </c>
    </row>
    <row r="337" spans="1:14" ht="15.6" thickTop="1" thickBot="1" x14ac:dyDescent="0.35">
      <c r="A337" s="4">
        <v>45420</v>
      </c>
      <c r="B337" s="4" t="s">
        <v>96</v>
      </c>
      <c r="C337" s="5" t="s">
        <v>164</v>
      </c>
      <c r="D337" s="5" t="s">
        <v>45</v>
      </c>
      <c r="E337" s="5" t="s">
        <v>117</v>
      </c>
      <c r="F337" s="5" t="s">
        <v>29</v>
      </c>
      <c r="G337" s="5" t="s">
        <v>18</v>
      </c>
      <c r="H337" s="5">
        <v>22</v>
      </c>
      <c r="I337" s="5">
        <v>725</v>
      </c>
      <c r="J337" s="5">
        <v>765</v>
      </c>
      <c r="K337" s="6">
        <f t="shared" si="20"/>
        <v>15950</v>
      </c>
      <c r="L337" s="6">
        <f t="shared" si="21"/>
        <v>16830</v>
      </c>
      <c r="M337" s="6">
        <f t="shared" si="22"/>
        <v>880</v>
      </c>
      <c r="N337" s="6" t="str">
        <f t="shared" si="23"/>
        <v>profit</v>
      </c>
    </row>
    <row r="338" spans="1:14" ht="15.6" thickTop="1" thickBot="1" x14ac:dyDescent="0.35">
      <c r="A338" s="4">
        <v>45421</v>
      </c>
      <c r="B338" s="4" t="s">
        <v>96</v>
      </c>
      <c r="C338" s="5" t="s">
        <v>166</v>
      </c>
      <c r="D338" s="5" t="s">
        <v>45</v>
      </c>
      <c r="E338" s="5" t="s">
        <v>117</v>
      </c>
      <c r="F338" s="5" t="s">
        <v>24</v>
      </c>
      <c r="G338" s="5" t="s">
        <v>18</v>
      </c>
      <c r="H338" s="5">
        <v>26</v>
      </c>
      <c r="I338" s="5">
        <v>509</v>
      </c>
      <c r="J338" s="5">
        <v>1120</v>
      </c>
      <c r="K338" s="6">
        <f t="shared" si="20"/>
        <v>13234</v>
      </c>
      <c r="L338" s="6">
        <f t="shared" si="21"/>
        <v>29120</v>
      </c>
      <c r="M338" s="6">
        <f t="shared" si="22"/>
        <v>15886</v>
      </c>
      <c r="N338" s="6" t="str">
        <f t="shared" si="23"/>
        <v>profit</v>
      </c>
    </row>
    <row r="339" spans="1:14" ht="15.6" thickTop="1" thickBot="1" x14ac:dyDescent="0.35">
      <c r="A339" s="4">
        <v>45389</v>
      </c>
      <c r="B339" s="4" t="s">
        <v>30</v>
      </c>
      <c r="C339" s="5" t="s">
        <v>31</v>
      </c>
      <c r="D339" s="5" t="s">
        <v>32</v>
      </c>
      <c r="E339" s="5" t="s">
        <v>33</v>
      </c>
      <c r="F339" s="5" t="s">
        <v>34</v>
      </c>
      <c r="G339" s="5" t="s">
        <v>27</v>
      </c>
      <c r="H339" s="5">
        <v>55</v>
      </c>
      <c r="I339" s="5">
        <v>906</v>
      </c>
      <c r="J339" s="5">
        <v>880</v>
      </c>
      <c r="K339" s="6">
        <f t="shared" si="20"/>
        <v>49830</v>
      </c>
      <c r="L339" s="6">
        <f t="shared" si="21"/>
        <v>48400</v>
      </c>
      <c r="M339" s="6">
        <f t="shared" si="22"/>
        <v>-1430</v>
      </c>
      <c r="N339" s="6" t="str">
        <f t="shared" si="23"/>
        <v>loss</v>
      </c>
    </row>
    <row r="340" spans="1:14" ht="15.6" thickTop="1" thickBot="1" x14ac:dyDescent="0.35">
      <c r="A340" s="4">
        <v>45422</v>
      </c>
      <c r="B340" s="4" t="s">
        <v>96</v>
      </c>
      <c r="C340" s="5" t="s">
        <v>167</v>
      </c>
      <c r="D340" s="5" t="s">
        <v>45</v>
      </c>
      <c r="E340" s="5" t="s">
        <v>117</v>
      </c>
      <c r="F340" s="5" t="s">
        <v>75</v>
      </c>
      <c r="G340" s="5" t="s">
        <v>18</v>
      </c>
      <c r="H340" s="5">
        <v>28</v>
      </c>
      <c r="I340" s="5">
        <v>905</v>
      </c>
      <c r="J340" s="5">
        <v>958</v>
      </c>
      <c r="K340" s="6">
        <f t="shared" si="20"/>
        <v>25340</v>
      </c>
      <c r="L340" s="6">
        <f t="shared" si="21"/>
        <v>26824</v>
      </c>
      <c r="M340" s="6">
        <f t="shared" si="22"/>
        <v>1484</v>
      </c>
      <c r="N340" s="6" t="str">
        <f t="shared" si="23"/>
        <v>profit</v>
      </c>
    </row>
    <row r="341" spans="1:14" ht="15.6" thickTop="1" thickBot="1" x14ac:dyDescent="0.35">
      <c r="A341" s="4">
        <v>45423</v>
      </c>
      <c r="B341" s="4" t="s">
        <v>96</v>
      </c>
      <c r="C341" s="5" t="s">
        <v>168</v>
      </c>
      <c r="D341" s="5" t="s">
        <v>45</v>
      </c>
      <c r="E341" s="5" t="s">
        <v>117</v>
      </c>
      <c r="F341" s="5" t="s">
        <v>70</v>
      </c>
      <c r="G341" s="5" t="s">
        <v>18</v>
      </c>
      <c r="H341" s="5">
        <v>22</v>
      </c>
      <c r="I341" s="5">
        <v>866</v>
      </c>
      <c r="J341" s="5">
        <v>1453</v>
      </c>
      <c r="K341" s="6">
        <f t="shared" si="20"/>
        <v>19052</v>
      </c>
      <c r="L341" s="6">
        <f t="shared" si="21"/>
        <v>31966</v>
      </c>
      <c r="M341" s="6">
        <f t="shared" si="22"/>
        <v>12914</v>
      </c>
      <c r="N341" s="6" t="str">
        <f t="shared" si="23"/>
        <v>profit</v>
      </c>
    </row>
    <row r="342" spans="1:14" ht="15.6" thickTop="1" thickBot="1" x14ac:dyDescent="0.35">
      <c r="A342" s="4">
        <v>45424</v>
      </c>
      <c r="B342" s="4" t="s">
        <v>96</v>
      </c>
      <c r="C342" s="5" t="s">
        <v>169</v>
      </c>
      <c r="D342" s="5" t="s">
        <v>45</v>
      </c>
      <c r="E342" s="5" t="s">
        <v>117</v>
      </c>
      <c r="F342" s="5" t="s">
        <v>43</v>
      </c>
      <c r="G342" s="5" t="s">
        <v>18</v>
      </c>
      <c r="H342" s="5">
        <v>23</v>
      </c>
      <c r="I342" s="5">
        <v>816</v>
      </c>
      <c r="J342" s="5">
        <v>1273</v>
      </c>
      <c r="K342" s="6">
        <f t="shared" si="20"/>
        <v>18768</v>
      </c>
      <c r="L342" s="6">
        <f t="shared" si="21"/>
        <v>29279</v>
      </c>
      <c r="M342" s="6">
        <f t="shared" si="22"/>
        <v>10511</v>
      </c>
      <c r="N342" s="6" t="str">
        <f t="shared" si="23"/>
        <v>profit</v>
      </c>
    </row>
    <row r="343" spans="1:14" ht="15.6" thickTop="1" thickBot="1" x14ac:dyDescent="0.35">
      <c r="A343" s="4">
        <v>45425</v>
      </c>
      <c r="B343" s="4" t="s">
        <v>96</v>
      </c>
      <c r="C343" s="5" t="s">
        <v>171</v>
      </c>
      <c r="D343" s="5" t="s">
        <v>45</v>
      </c>
      <c r="E343" s="5" t="s">
        <v>117</v>
      </c>
      <c r="F343" s="5" t="s">
        <v>24</v>
      </c>
      <c r="G343" s="5" t="s">
        <v>18</v>
      </c>
      <c r="H343" s="5">
        <v>30</v>
      </c>
      <c r="I343" s="5">
        <v>738</v>
      </c>
      <c r="J343" s="5">
        <v>1216</v>
      </c>
      <c r="K343" s="6">
        <f t="shared" si="20"/>
        <v>22140</v>
      </c>
      <c r="L343" s="6">
        <f t="shared" si="21"/>
        <v>36480</v>
      </c>
      <c r="M343" s="6">
        <f t="shared" si="22"/>
        <v>14340</v>
      </c>
      <c r="N343" s="6" t="str">
        <f t="shared" si="23"/>
        <v>profit</v>
      </c>
    </row>
    <row r="344" spans="1:14" ht="15.6" thickTop="1" thickBot="1" x14ac:dyDescent="0.35">
      <c r="A344" s="4">
        <v>45426</v>
      </c>
      <c r="B344" s="4" t="s">
        <v>96</v>
      </c>
      <c r="C344" s="5" t="s">
        <v>172</v>
      </c>
      <c r="D344" s="5" t="s">
        <v>45</v>
      </c>
      <c r="E344" s="5" t="s">
        <v>117</v>
      </c>
      <c r="F344" s="5" t="s">
        <v>63</v>
      </c>
      <c r="G344" s="5" t="s">
        <v>18</v>
      </c>
      <c r="H344" s="5">
        <v>24</v>
      </c>
      <c r="I344" s="5">
        <v>653</v>
      </c>
      <c r="J344" s="5">
        <v>1293</v>
      </c>
      <c r="K344" s="6">
        <f t="shared" si="20"/>
        <v>15672</v>
      </c>
      <c r="L344" s="6">
        <f t="shared" si="21"/>
        <v>31032</v>
      </c>
      <c r="M344" s="6">
        <f t="shared" si="22"/>
        <v>15360</v>
      </c>
      <c r="N344" s="6" t="str">
        <f t="shared" si="23"/>
        <v>profit</v>
      </c>
    </row>
    <row r="345" spans="1:14" ht="15.6" thickTop="1" thickBot="1" x14ac:dyDescent="0.35">
      <c r="A345" s="4">
        <v>45395</v>
      </c>
      <c r="B345" s="4" t="s">
        <v>30</v>
      </c>
      <c r="C345" s="5" t="s">
        <v>44</v>
      </c>
      <c r="D345" s="5" t="s">
        <v>45</v>
      </c>
      <c r="E345" s="5" t="s">
        <v>46</v>
      </c>
      <c r="F345" s="5" t="s">
        <v>43</v>
      </c>
      <c r="G345" s="5" t="s">
        <v>18</v>
      </c>
      <c r="H345" s="5">
        <v>22</v>
      </c>
      <c r="I345" s="5">
        <v>692</v>
      </c>
      <c r="J345" s="5">
        <v>906</v>
      </c>
      <c r="K345" s="6">
        <f t="shared" si="20"/>
        <v>15224</v>
      </c>
      <c r="L345" s="6">
        <f t="shared" si="21"/>
        <v>19932</v>
      </c>
      <c r="M345" s="6">
        <f t="shared" si="22"/>
        <v>4708</v>
      </c>
      <c r="N345" s="6" t="str">
        <f t="shared" si="23"/>
        <v>profit</v>
      </c>
    </row>
    <row r="346" spans="1:14" ht="15.6" thickTop="1" thickBot="1" x14ac:dyDescent="0.35">
      <c r="A346" s="4">
        <v>45427</v>
      </c>
      <c r="B346" s="4" t="s">
        <v>96</v>
      </c>
      <c r="C346" s="5" t="s">
        <v>173</v>
      </c>
      <c r="D346" s="5" t="s">
        <v>45</v>
      </c>
      <c r="E346" s="5" t="s">
        <v>117</v>
      </c>
      <c r="F346" s="5" t="s">
        <v>75</v>
      </c>
      <c r="G346" s="5" t="s">
        <v>18</v>
      </c>
      <c r="H346" s="5">
        <v>30</v>
      </c>
      <c r="I346" s="5">
        <v>583</v>
      </c>
      <c r="J346" s="5">
        <v>1500</v>
      </c>
      <c r="K346" s="6">
        <f t="shared" si="20"/>
        <v>17490</v>
      </c>
      <c r="L346" s="6">
        <f t="shared" si="21"/>
        <v>45000</v>
      </c>
      <c r="M346" s="6">
        <f t="shared" si="22"/>
        <v>27510</v>
      </c>
      <c r="N346" s="6" t="str">
        <f t="shared" si="23"/>
        <v>profit</v>
      </c>
    </row>
    <row r="347" spans="1:14" ht="15.6" thickTop="1" thickBot="1" x14ac:dyDescent="0.35">
      <c r="A347" s="4">
        <v>45428</v>
      </c>
      <c r="B347" s="4" t="s">
        <v>96</v>
      </c>
      <c r="C347" s="5" t="s">
        <v>175</v>
      </c>
      <c r="D347" s="5" t="s">
        <v>45</v>
      </c>
      <c r="E347" s="5" t="s">
        <v>117</v>
      </c>
      <c r="F347" s="5" t="s">
        <v>77</v>
      </c>
      <c r="G347" s="5" t="s">
        <v>27</v>
      </c>
      <c r="H347" s="5">
        <v>26</v>
      </c>
      <c r="I347" s="5">
        <v>1000</v>
      </c>
      <c r="J347" s="5">
        <v>765</v>
      </c>
      <c r="K347" s="6">
        <f t="shared" si="20"/>
        <v>26000</v>
      </c>
      <c r="L347" s="6">
        <f t="shared" si="21"/>
        <v>19890</v>
      </c>
      <c r="M347" s="6">
        <f t="shared" si="22"/>
        <v>-6110</v>
      </c>
      <c r="N347" s="6" t="str">
        <f t="shared" si="23"/>
        <v>loss</v>
      </c>
    </row>
    <row r="348" spans="1:14" ht="15.6" thickTop="1" thickBot="1" x14ac:dyDescent="0.35">
      <c r="A348" s="4">
        <v>45429</v>
      </c>
      <c r="B348" s="4" t="s">
        <v>96</v>
      </c>
      <c r="C348" s="5" t="s">
        <v>177</v>
      </c>
      <c r="D348" s="5" t="s">
        <v>45</v>
      </c>
      <c r="E348" s="5" t="s">
        <v>117</v>
      </c>
      <c r="F348" s="5" t="s">
        <v>34</v>
      </c>
      <c r="G348" s="5" t="s">
        <v>27</v>
      </c>
      <c r="H348" s="5">
        <v>27</v>
      </c>
      <c r="I348" s="5">
        <v>913</v>
      </c>
      <c r="J348" s="5">
        <v>1197</v>
      </c>
      <c r="K348" s="6">
        <f t="shared" si="20"/>
        <v>24651</v>
      </c>
      <c r="L348" s="6">
        <f t="shared" si="21"/>
        <v>32319</v>
      </c>
      <c r="M348" s="6">
        <f t="shared" si="22"/>
        <v>7668</v>
      </c>
      <c r="N348" s="6" t="str">
        <f t="shared" si="23"/>
        <v>profit</v>
      </c>
    </row>
    <row r="349" spans="1:14" ht="15.6" thickTop="1" thickBot="1" x14ac:dyDescent="0.35">
      <c r="A349" s="4">
        <v>45430</v>
      </c>
      <c r="B349" s="4" t="s">
        <v>96</v>
      </c>
      <c r="C349" s="5" t="s">
        <v>178</v>
      </c>
      <c r="D349" s="5" t="s">
        <v>45</v>
      </c>
      <c r="E349" s="5" t="s">
        <v>117</v>
      </c>
      <c r="F349" s="5" t="s">
        <v>43</v>
      </c>
      <c r="G349" s="5" t="s">
        <v>27</v>
      </c>
      <c r="H349" s="5">
        <v>29</v>
      </c>
      <c r="I349" s="5">
        <v>735</v>
      </c>
      <c r="J349" s="5">
        <v>1388</v>
      </c>
      <c r="K349" s="6">
        <f t="shared" si="20"/>
        <v>21315</v>
      </c>
      <c r="L349" s="6">
        <f t="shared" si="21"/>
        <v>40252</v>
      </c>
      <c r="M349" s="6">
        <f t="shared" si="22"/>
        <v>18937</v>
      </c>
      <c r="N349" s="6" t="str">
        <f t="shared" si="23"/>
        <v>profit</v>
      </c>
    </row>
    <row r="350" spans="1:14" ht="15.6" thickTop="1" thickBot="1" x14ac:dyDescent="0.35">
      <c r="A350" s="4">
        <v>45484</v>
      </c>
      <c r="B350" s="4" t="s">
        <v>39</v>
      </c>
      <c r="C350" s="5" t="s">
        <v>179</v>
      </c>
      <c r="D350" s="5" t="s">
        <v>45</v>
      </c>
      <c r="E350" s="5" t="s">
        <v>117</v>
      </c>
      <c r="F350" s="5" t="s">
        <v>38</v>
      </c>
      <c r="G350" s="5" t="s">
        <v>27</v>
      </c>
      <c r="H350" s="5">
        <v>29</v>
      </c>
      <c r="I350" s="5">
        <v>965</v>
      </c>
      <c r="J350" s="5">
        <v>1195</v>
      </c>
      <c r="K350" s="6">
        <f t="shared" si="20"/>
        <v>27985</v>
      </c>
      <c r="L350" s="6">
        <f t="shared" si="21"/>
        <v>34655</v>
      </c>
      <c r="M350" s="6">
        <f t="shared" si="22"/>
        <v>6670</v>
      </c>
      <c r="N350" s="6" t="str">
        <f t="shared" si="23"/>
        <v>profit</v>
      </c>
    </row>
    <row r="351" spans="1:14" ht="15.6" thickTop="1" thickBot="1" x14ac:dyDescent="0.35">
      <c r="A351" s="4">
        <v>45485</v>
      </c>
      <c r="B351" s="4" t="s">
        <v>39</v>
      </c>
      <c r="C351" s="5" t="s">
        <v>180</v>
      </c>
      <c r="D351" s="5" t="s">
        <v>45</v>
      </c>
      <c r="E351" s="5" t="s">
        <v>117</v>
      </c>
      <c r="F351" s="5" t="s">
        <v>63</v>
      </c>
      <c r="G351" s="5" t="s">
        <v>27</v>
      </c>
      <c r="H351" s="5">
        <v>24</v>
      </c>
      <c r="I351" s="5">
        <v>970</v>
      </c>
      <c r="J351" s="5">
        <v>1256</v>
      </c>
      <c r="K351" s="6">
        <f t="shared" si="20"/>
        <v>23280</v>
      </c>
      <c r="L351" s="6">
        <f t="shared" si="21"/>
        <v>30144</v>
      </c>
      <c r="M351" s="6">
        <f t="shared" si="22"/>
        <v>6864</v>
      </c>
      <c r="N351" s="6" t="str">
        <f t="shared" si="23"/>
        <v>profit</v>
      </c>
    </row>
    <row r="352" spans="1:14" ht="15.6" thickTop="1" thickBot="1" x14ac:dyDescent="0.35">
      <c r="A352" s="4">
        <v>45486</v>
      </c>
      <c r="B352" s="4" t="s">
        <v>39</v>
      </c>
      <c r="C352" s="5" t="s">
        <v>181</v>
      </c>
      <c r="D352" s="5" t="s">
        <v>45</v>
      </c>
      <c r="E352" s="5" t="s">
        <v>117</v>
      </c>
      <c r="F352" s="5" t="s">
        <v>63</v>
      </c>
      <c r="G352" s="5" t="s">
        <v>27</v>
      </c>
      <c r="H352" s="5">
        <v>22</v>
      </c>
      <c r="I352" s="5">
        <v>974</v>
      </c>
      <c r="J352" s="5">
        <v>1329</v>
      </c>
      <c r="K352" s="6">
        <f t="shared" si="20"/>
        <v>21428</v>
      </c>
      <c r="L352" s="6">
        <f t="shared" si="21"/>
        <v>29238</v>
      </c>
      <c r="M352" s="6">
        <f t="shared" si="22"/>
        <v>7810</v>
      </c>
      <c r="N352" s="6" t="str">
        <f t="shared" si="23"/>
        <v>profit</v>
      </c>
    </row>
    <row r="353" spans="1:14" ht="15.6" thickTop="1" thickBot="1" x14ac:dyDescent="0.35">
      <c r="A353" s="4">
        <v>45487</v>
      </c>
      <c r="B353" s="4" t="s">
        <v>39</v>
      </c>
      <c r="C353" s="5" t="s">
        <v>182</v>
      </c>
      <c r="D353" s="5" t="s">
        <v>45</v>
      </c>
      <c r="E353" s="5" t="s">
        <v>117</v>
      </c>
      <c r="F353" s="5" t="s">
        <v>59</v>
      </c>
      <c r="G353" s="5" t="s">
        <v>27</v>
      </c>
      <c r="H353" s="5">
        <v>21</v>
      </c>
      <c r="I353" s="5">
        <v>915</v>
      </c>
      <c r="J353" s="5">
        <v>1442</v>
      </c>
      <c r="K353" s="6">
        <f t="shared" si="20"/>
        <v>19215</v>
      </c>
      <c r="L353" s="6">
        <f t="shared" si="21"/>
        <v>30282</v>
      </c>
      <c r="M353" s="6">
        <f t="shared" si="22"/>
        <v>11067</v>
      </c>
      <c r="N353" s="6" t="str">
        <f t="shared" si="23"/>
        <v>profit</v>
      </c>
    </row>
    <row r="354" spans="1:14" ht="15.6" thickTop="1" thickBot="1" x14ac:dyDescent="0.35">
      <c r="A354" s="4">
        <v>45489</v>
      </c>
      <c r="B354" s="4" t="s">
        <v>39</v>
      </c>
      <c r="C354" s="5" t="s">
        <v>183</v>
      </c>
      <c r="D354" s="5" t="s">
        <v>45</v>
      </c>
      <c r="E354" s="5" t="s">
        <v>117</v>
      </c>
      <c r="F354" s="5" t="s">
        <v>29</v>
      </c>
      <c r="G354" s="5" t="s">
        <v>18</v>
      </c>
      <c r="H354" s="5">
        <v>27</v>
      </c>
      <c r="I354" s="5">
        <v>605</v>
      </c>
      <c r="J354" s="5">
        <v>826</v>
      </c>
      <c r="K354" s="6">
        <f t="shared" si="20"/>
        <v>16335</v>
      </c>
      <c r="L354" s="6">
        <f t="shared" si="21"/>
        <v>22302</v>
      </c>
      <c r="M354" s="6">
        <f t="shared" si="22"/>
        <v>5967</v>
      </c>
      <c r="N354" s="6" t="str">
        <f t="shared" si="23"/>
        <v>profit</v>
      </c>
    </row>
    <row r="355" spans="1:14" ht="15.6" thickTop="1" thickBot="1" x14ac:dyDescent="0.35">
      <c r="A355" s="4">
        <v>45405</v>
      </c>
      <c r="B355" s="4" t="s">
        <v>30</v>
      </c>
      <c r="C355" s="5" t="s">
        <v>61</v>
      </c>
      <c r="D355" s="5" t="s">
        <v>45</v>
      </c>
      <c r="E355" s="5" t="s">
        <v>62</v>
      </c>
      <c r="F355" s="5" t="s">
        <v>63</v>
      </c>
      <c r="G355" s="5" t="s">
        <v>27</v>
      </c>
      <c r="H355" s="5">
        <v>29</v>
      </c>
      <c r="I355" s="5">
        <v>893</v>
      </c>
      <c r="J355" s="5">
        <v>865</v>
      </c>
      <c r="K355" s="6">
        <f t="shared" si="20"/>
        <v>25897</v>
      </c>
      <c r="L355" s="6">
        <f t="shared" si="21"/>
        <v>25085</v>
      </c>
      <c r="M355" s="6">
        <f t="shared" si="22"/>
        <v>-812</v>
      </c>
      <c r="N355" s="6" t="str">
        <f t="shared" si="23"/>
        <v>loss</v>
      </c>
    </row>
    <row r="356" spans="1:14" ht="15.6" thickTop="1" thickBot="1" x14ac:dyDescent="0.35">
      <c r="A356" s="4">
        <v>45490</v>
      </c>
      <c r="B356" s="4" t="s">
        <v>39</v>
      </c>
      <c r="C356" s="5" t="s">
        <v>184</v>
      </c>
      <c r="D356" s="5" t="s">
        <v>45</v>
      </c>
      <c r="E356" s="5" t="s">
        <v>117</v>
      </c>
      <c r="F356" s="5" t="s">
        <v>112</v>
      </c>
      <c r="G356" s="5" t="s">
        <v>18</v>
      </c>
      <c r="H356" s="5">
        <v>29</v>
      </c>
      <c r="I356" s="5">
        <v>689</v>
      </c>
      <c r="J356" s="5">
        <v>783</v>
      </c>
      <c r="K356" s="6">
        <f t="shared" si="20"/>
        <v>19981</v>
      </c>
      <c r="L356" s="6">
        <f t="shared" si="21"/>
        <v>22707</v>
      </c>
      <c r="M356" s="6">
        <f t="shared" si="22"/>
        <v>2726</v>
      </c>
      <c r="N356" s="6" t="str">
        <f t="shared" si="23"/>
        <v>profit</v>
      </c>
    </row>
    <row r="357" spans="1:14" ht="15.6" thickTop="1" thickBot="1" x14ac:dyDescent="0.35">
      <c r="A357" s="4">
        <v>45407</v>
      </c>
      <c r="B357" s="4" t="s">
        <v>30</v>
      </c>
      <c r="C357" s="5" t="s">
        <v>65</v>
      </c>
      <c r="D357" s="5" t="s">
        <v>45</v>
      </c>
      <c r="E357" s="5" t="s">
        <v>62</v>
      </c>
      <c r="F357" s="5" t="s">
        <v>59</v>
      </c>
      <c r="G357" s="5" t="s">
        <v>18</v>
      </c>
      <c r="H357" s="5">
        <v>24</v>
      </c>
      <c r="I357" s="5">
        <v>859</v>
      </c>
      <c r="J357" s="5">
        <v>1473</v>
      </c>
      <c r="K357" s="6">
        <f t="shared" si="20"/>
        <v>20616</v>
      </c>
      <c r="L357" s="6">
        <f t="shared" si="21"/>
        <v>35352</v>
      </c>
      <c r="M357" s="6">
        <f t="shared" si="22"/>
        <v>14736</v>
      </c>
      <c r="N357" s="6" t="str">
        <f t="shared" si="23"/>
        <v>profit</v>
      </c>
    </row>
    <row r="358" spans="1:14" ht="15.6" thickTop="1" thickBot="1" x14ac:dyDescent="0.35">
      <c r="A358" s="4">
        <v>45491</v>
      </c>
      <c r="B358" s="4" t="s">
        <v>39</v>
      </c>
      <c r="C358" s="5" t="s">
        <v>185</v>
      </c>
      <c r="D358" s="5" t="s">
        <v>45</v>
      </c>
      <c r="E358" s="5" t="s">
        <v>117</v>
      </c>
      <c r="F358" s="5" t="s">
        <v>43</v>
      </c>
      <c r="G358" s="5" t="s">
        <v>18</v>
      </c>
      <c r="H358" s="5">
        <v>25</v>
      </c>
      <c r="I358" s="5">
        <v>861</v>
      </c>
      <c r="J358" s="5">
        <v>843</v>
      </c>
      <c r="K358" s="6">
        <f t="shared" si="20"/>
        <v>21525</v>
      </c>
      <c r="L358" s="6">
        <f t="shared" si="21"/>
        <v>21075</v>
      </c>
      <c r="M358" s="6">
        <f t="shared" si="22"/>
        <v>-450</v>
      </c>
      <c r="N358" s="6" t="str">
        <f t="shared" si="23"/>
        <v>loss</v>
      </c>
    </row>
    <row r="359" spans="1:14" ht="15.6" thickTop="1" thickBot="1" x14ac:dyDescent="0.35">
      <c r="A359" s="4">
        <v>45492</v>
      </c>
      <c r="B359" s="4" t="s">
        <v>39</v>
      </c>
      <c r="C359" s="5" t="s">
        <v>187</v>
      </c>
      <c r="D359" s="5" t="s">
        <v>45</v>
      </c>
      <c r="E359" s="5" t="s">
        <v>117</v>
      </c>
      <c r="F359" s="5" t="s">
        <v>152</v>
      </c>
      <c r="G359" s="5" t="s">
        <v>18</v>
      </c>
      <c r="H359" s="5">
        <v>22</v>
      </c>
      <c r="I359" s="5">
        <v>629</v>
      </c>
      <c r="J359" s="5">
        <v>1263</v>
      </c>
      <c r="K359" s="6">
        <f t="shared" si="20"/>
        <v>13838</v>
      </c>
      <c r="L359" s="6">
        <f t="shared" si="21"/>
        <v>27786</v>
      </c>
      <c r="M359" s="6">
        <f t="shared" si="22"/>
        <v>13948</v>
      </c>
      <c r="N359" s="6" t="str">
        <f t="shared" si="23"/>
        <v>profit</v>
      </c>
    </row>
    <row r="360" spans="1:14" ht="15.6" thickTop="1" thickBot="1" x14ac:dyDescent="0.35">
      <c r="A360" s="4">
        <v>45493</v>
      </c>
      <c r="B360" s="4" t="s">
        <v>39</v>
      </c>
      <c r="C360" s="5" t="s">
        <v>188</v>
      </c>
      <c r="D360" s="5" t="s">
        <v>45</v>
      </c>
      <c r="E360" s="5" t="s">
        <v>117</v>
      </c>
      <c r="F360" s="5" t="s">
        <v>154</v>
      </c>
      <c r="G360" s="5" t="s">
        <v>18</v>
      </c>
      <c r="H360" s="5">
        <v>22</v>
      </c>
      <c r="I360" s="5">
        <v>779</v>
      </c>
      <c r="J360" s="5">
        <v>1301</v>
      </c>
      <c r="K360" s="6">
        <f t="shared" si="20"/>
        <v>17138</v>
      </c>
      <c r="L360" s="6">
        <f t="shared" si="21"/>
        <v>28622</v>
      </c>
      <c r="M360" s="6">
        <f t="shared" si="22"/>
        <v>11484</v>
      </c>
      <c r="N360" s="6" t="str">
        <f t="shared" si="23"/>
        <v>profit</v>
      </c>
    </row>
    <row r="361" spans="1:14" ht="15.6" thickTop="1" thickBot="1" x14ac:dyDescent="0.35">
      <c r="A361" s="4">
        <v>45494</v>
      </c>
      <c r="B361" s="4" t="s">
        <v>39</v>
      </c>
      <c r="C361" s="5" t="s">
        <v>191</v>
      </c>
      <c r="D361" s="5" t="s">
        <v>45</v>
      </c>
      <c r="E361" s="5" t="s">
        <v>117</v>
      </c>
      <c r="F361" s="5" t="s">
        <v>17</v>
      </c>
      <c r="G361" s="5" t="s">
        <v>18</v>
      </c>
      <c r="H361" s="5">
        <v>23</v>
      </c>
      <c r="I361" s="5">
        <v>730</v>
      </c>
      <c r="J361" s="5">
        <v>1189</v>
      </c>
      <c r="K361" s="6">
        <f t="shared" si="20"/>
        <v>16790</v>
      </c>
      <c r="L361" s="6">
        <f t="shared" si="21"/>
        <v>27347</v>
      </c>
      <c r="M361" s="6">
        <f t="shared" si="22"/>
        <v>10557</v>
      </c>
      <c r="N361" s="6" t="str">
        <f t="shared" si="23"/>
        <v>profit</v>
      </c>
    </row>
    <row r="362" spans="1:14" ht="15.6" thickTop="1" thickBot="1" x14ac:dyDescent="0.35">
      <c r="A362" s="4">
        <v>45517</v>
      </c>
      <c r="B362" s="4" t="s">
        <v>56</v>
      </c>
      <c r="C362" s="5" t="s">
        <v>192</v>
      </c>
      <c r="D362" s="5" t="s">
        <v>45</v>
      </c>
      <c r="E362" s="5" t="s">
        <v>117</v>
      </c>
      <c r="F362" s="5" t="s">
        <v>43</v>
      </c>
      <c r="G362" s="5" t="s">
        <v>27</v>
      </c>
      <c r="H362" s="5">
        <v>26</v>
      </c>
      <c r="I362" s="5">
        <v>847</v>
      </c>
      <c r="J362" s="5">
        <v>1116</v>
      </c>
      <c r="K362" s="6">
        <f t="shared" si="20"/>
        <v>22022</v>
      </c>
      <c r="L362" s="6">
        <f t="shared" si="21"/>
        <v>29016</v>
      </c>
      <c r="M362" s="6">
        <f t="shared" si="22"/>
        <v>6994</v>
      </c>
      <c r="N362" s="6" t="str">
        <f t="shared" si="23"/>
        <v>profit</v>
      </c>
    </row>
    <row r="363" spans="1:14" ht="15.6" thickTop="1" thickBot="1" x14ac:dyDescent="0.35">
      <c r="A363" s="4">
        <v>45518</v>
      </c>
      <c r="B363" s="4" t="s">
        <v>56</v>
      </c>
      <c r="C363" s="5" t="s">
        <v>193</v>
      </c>
      <c r="D363" s="5" t="s">
        <v>45</v>
      </c>
      <c r="E363" s="5" t="s">
        <v>117</v>
      </c>
      <c r="F363" s="5" t="s">
        <v>48</v>
      </c>
      <c r="G363" s="5" t="s">
        <v>27</v>
      </c>
      <c r="H363" s="5">
        <v>24</v>
      </c>
      <c r="I363" s="5">
        <v>942</v>
      </c>
      <c r="J363" s="5">
        <v>1313</v>
      </c>
      <c r="K363" s="6">
        <f t="shared" si="20"/>
        <v>22608</v>
      </c>
      <c r="L363" s="6">
        <f t="shared" si="21"/>
        <v>31512</v>
      </c>
      <c r="M363" s="6">
        <f t="shared" si="22"/>
        <v>8904</v>
      </c>
      <c r="N363" s="6" t="str">
        <f t="shared" si="23"/>
        <v>profit</v>
      </c>
    </row>
    <row r="364" spans="1:14" ht="15.6" thickTop="1" thickBot="1" x14ac:dyDescent="0.35">
      <c r="A364" s="4">
        <v>45519</v>
      </c>
      <c r="B364" s="4" t="s">
        <v>56</v>
      </c>
      <c r="C364" s="5" t="s">
        <v>194</v>
      </c>
      <c r="D364" s="5" t="s">
        <v>45</v>
      </c>
      <c r="E364" s="5" t="s">
        <v>117</v>
      </c>
      <c r="F364" s="5" t="s">
        <v>26</v>
      </c>
      <c r="G364" s="5" t="s">
        <v>18</v>
      </c>
      <c r="H364" s="5">
        <v>20</v>
      </c>
      <c r="I364" s="5">
        <v>751</v>
      </c>
      <c r="J364" s="5">
        <v>861</v>
      </c>
      <c r="K364" s="6">
        <f t="shared" si="20"/>
        <v>15020</v>
      </c>
      <c r="L364" s="6">
        <f t="shared" si="21"/>
        <v>17220</v>
      </c>
      <c r="M364" s="6">
        <f t="shared" si="22"/>
        <v>2200</v>
      </c>
      <c r="N364" s="6" t="str">
        <f t="shared" si="23"/>
        <v>profit</v>
      </c>
    </row>
    <row r="365" spans="1:14" ht="15.6" thickTop="1" thickBot="1" x14ac:dyDescent="0.35">
      <c r="A365" s="4">
        <v>45521</v>
      </c>
      <c r="B365" s="4" t="s">
        <v>56</v>
      </c>
      <c r="C365" s="5" t="s">
        <v>196</v>
      </c>
      <c r="D365" s="5" t="s">
        <v>45</v>
      </c>
      <c r="E365" s="5" t="s">
        <v>117</v>
      </c>
      <c r="F365" s="5" t="s">
        <v>53</v>
      </c>
      <c r="G365" s="5" t="s">
        <v>27</v>
      </c>
      <c r="H365" s="5">
        <v>28</v>
      </c>
      <c r="I365" s="5">
        <v>855</v>
      </c>
      <c r="J365" s="5">
        <v>930</v>
      </c>
      <c r="K365" s="6">
        <f t="shared" si="20"/>
        <v>23940</v>
      </c>
      <c r="L365" s="6">
        <f t="shared" si="21"/>
        <v>26040</v>
      </c>
      <c r="M365" s="6">
        <f t="shared" si="22"/>
        <v>2100</v>
      </c>
      <c r="N365" s="6" t="str">
        <f t="shared" si="23"/>
        <v>profit</v>
      </c>
    </row>
    <row r="366" spans="1:14" ht="15.6" thickTop="1" thickBot="1" x14ac:dyDescent="0.35">
      <c r="A366" s="4">
        <v>45522</v>
      </c>
      <c r="B366" s="4" t="s">
        <v>56</v>
      </c>
      <c r="C366" s="5" t="s">
        <v>106</v>
      </c>
      <c r="D366" s="5" t="s">
        <v>45</v>
      </c>
      <c r="E366" s="5" t="s">
        <v>117</v>
      </c>
      <c r="F366" s="5" t="s">
        <v>34</v>
      </c>
      <c r="G366" s="5" t="s">
        <v>27</v>
      </c>
      <c r="H366" s="5">
        <v>22</v>
      </c>
      <c r="I366" s="5">
        <v>806</v>
      </c>
      <c r="J366" s="5">
        <v>1391</v>
      </c>
      <c r="K366" s="6">
        <f t="shared" si="20"/>
        <v>17732</v>
      </c>
      <c r="L366" s="6">
        <f t="shared" si="21"/>
        <v>30602</v>
      </c>
      <c r="M366" s="6">
        <f t="shared" si="22"/>
        <v>12870</v>
      </c>
      <c r="N366" s="6" t="str">
        <f t="shared" si="23"/>
        <v>profit</v>
      </c>
    </row>
    <row r="367" spans="1:14" ht="15.6" thickTop="1" thickBot="1" x14ac:dyDescent="0.35">
      <c r="A367" s="4">
        <v>45523</v>
      </c>
      <c r="B367" s="4" t="s">
        <v>56</v>
      </c>
      <c r="C367" s="5" t="s">
        <v>198</v>
      </c>
      <c r="D367" s="5" t="s">
        <v>45</v>
      </c>
      <c r="E367" s="5" t="s">
        <v>117</v>
      </c>
      <c r="F367" s="5" t="s">
        <v>38</v>
      </c>
      <c r="G367" s="5" t="s">
        <v>27</v>
      </c>
      <c r="H367" s="5">
        <v>30</v>
      </c>
      <c r="I367" s="5">
        <v>624</v>
      </c>
      <c r="J367" s="5">
        <v>999</v>
      </c>
      <c r="K367" s="6">
        <f t="shared" si="20"/>
        <v>18720</v>
      </c>
      <c r="L367" s="6">
        <f t="shared" si="21"/>
        <v>29970</v>
      </c>
      <c r="M367" s="6">
        <f t="shared" si="22"/>
        <v>11250</v>
      </c>
      <c r="N367" s="6" t="str">
        <f t="shared" si="23"/>
        <v>profit</v>
      </c>
    </row>
    <row r="368" spans="1:14" ht="15.6" thickTop="1" thickBot="1" x14ac:dyDescent="0.35">
      <c r="A368" s="4">
        <v>45524</v>
      </c>
      <c r="B368" s="4" t="s">
        <v>56</v>
      </c>
      <c r="C368" s="5" t="s">
        <v>104</v>
      </c>
      <c r="D368" s="5" t="s">
        <v>45</v>
      </c>
      <c r="E368" s="5" t="s">
        <v>117</v>
      </c>
      <c r="F368" s="5" t="s">
        <v>38</v>
      </c>
      <c r="G368" s="5" t="s">
        <v>18</v>
      </c>
      <c r="H368" s="5">
        <v>25</v>
      </c>
      <c r="I368" s="5">
        <v>533</v>
      </c>
      <c r="J368" s="5">
        <v>860</v>
      </c>
      <c r="K368" s="6">
        <f t="shared" si="20"/>
        <v>13325</v>
      </c>
      <c r="L368" s="6">
        <f t="shared" si="21"/>
        <v>21500</v>
      </c>
      <c r="M368" s="6">
        <f t="shared" si="22"/>
        <v>8175</v>
      </c>
      <c r="N368" s="6" t="str">
        <f t="shared" si="23"/>
        <v>profit</v>
      </c>
    </row>
    <row r="369" spans="1:14" ht="15.6" thickTop="1" thickBot="1" x14ac:dyDescent="0.35">
      <c r="A369" s="4">
        <v>45525</v>
      </c>
      <c r="B369" s="4" t="s">
        <v>56</v>
      </c>
      <c r="C369" s="5" t="s">
        <v>199</v>
      </c>
      <c r="D369" s="5" t="s">
        <v>45</v>
      </c>
      <c r="E369" s="5" t="s">
        <v>117</v>
      </c>
      <c r="F369" s="5" t="s">
        <v>63</v>
      </c>
      <c r="G369" s="5" t="s">
        <v>18</v>
      </c>
      <c r="H369" s="5">
        <v>20</v>
      </c>
      <c r="I369" s="5">
        <v>681</v>
      </c>
      <c r="J369" s="5">
        <v>823</v>
      </c>
      <c r="K369" s="6">
        <f t="shared" si="20"/>
        <v>13620</v>
      </c>
      <c r="L369" s="6">
        <f t="shared" si="21"/>
        <v>16460</v>
      </c>
      <c r="M369" s="6">
        <f t="shared" si="22"/>
        <v>2840</v>
      </c>
      <c r="N369" s="6" t="str">
        <f t="shared" si="23"/>
        <v>profit</v>
      </c>
    </row>
    <row r="370" spans="1:14" ht="15.6" thickTop="1" thickBot="1" x14ac:dyDescent="0.35">
      <c r="A370" s="4">
        <v>45527</v>
      </c>
      <c r="B370" s="4" t="s">
        <v>56</v>
      </c>
      <c r="C370" s="5" t="s">
        <v>200</v>
      </c>
      <c r="D370" s="5" t="s">
        <v>45</v>
      </c>
      <c r="E370" s="5" t="s">
        <v>117</v>
      </c>
      <c r="F370" s="5" t="s">
        <v>59</v>
      </c>
      <c r="G370" s="5" t="s">
        <v>18</v>
      </c>
      <c r="H370" s="5">
        <v>23</v>
      </c>
      <c r="I370" s="5">
        <v>577</v>
      </c>
      <c r="J370" s="5">
        <v>1125</v>
      </c>
      <c r="K370" s="6">
        <f t="shared" si="20"/>
        <v>13271</v>
      </c>
      <c r="L370" s="6">
        <f t="shared" si="21"/>
        <v>25875</v>
      </c>
      <c r="M370" s="6">
        <f t="shared" si="22"/>
        <v>12604</v>
      </c>
      <c r="N370" s="6" t="str">
        <f t="shared" si="23"/>
        <v>profit</v>
      </c>
    </row>
    <row r="371" spans="1:14" ht="15.6" thickTop="1" thickBot="1" x14ac:dyDescent="0.35">
      <c r="A371" s="4">
        <v>45589</v>
      </c>
      <c r="B371" s="4" t="s">
        <v>84</v>
      </c>
      <c r="C371" s="5" t="s">
        <v>202</v>
      </c>
      <c r="D371" s="5" t="s">
        <v>45</v>
      </c>
      <c r="E371" s="5" t="s">
        <v>132</v>
      </c>
      <c r="F371" s="5" t="s">
        <v>59</v>
      </c>
      <c r="G371" s="5" t="s">
        <v>18</v>
      </c>
      <c r="H371" s="5">
        <v>28</v>
      </c>
      <c r="I371" s="5">
        <v>537</v>
      </c>
      <c r="J371" s="5">
        <v>828</v>
      </c>
      <c r="K371" s="6">
        <f t="shared" si="20"/>
        <v>15036</v>
      </c>
      <c r="L371" s="6">
        <f t="shared" si="21"/>
        <v>23184</v>
      </c>
      <c r="M371" s="6">
        <f t="shared" si="22"/>
        <v>8148</v>
      </c>
      <c r="N371" s="6" t="str">
        <f t="shared" si="23"/>
        <v>profit</v>
      </c>
    </row>
    <row r="372" spans="1:14" ht="15.6" thickTop="1" thickBot="1" x14ac:dyDescent="0.35">
      <c r="A372" s="4">
        <v>45591</v>
      </c>
      <c r="B372" s="4" t="s">
        <v>84</v>
      </c>
      <c r="C372" s="5" t="s">
        <v>203</v>
      </c>
      <c r="D372" s="5" t="s">
        <v>45</v>
      </c>
      <c r="E372" s="5" t="s">
        <v>132</v>
      </c>
      <c r="F372" s="5" t="s">
        <v>29</v>
      </c>
      <c r="G372" s="5" t="s">
        <v>27</v>
      </c>
      <c r="H372" s="5">
        <v>23</v>
      </c>
      <c r="I372" s="5">
        <v>746</v>
      </c>
      <c r="J372" s="5">
        <v>1410</v>
      </c>
      <c r="K372" s="6">
        <f t="shared" si="20"/>
        <v>17158</v>
      </c>
      <c r="L372" s="6">
        <f t="shared" si="21"/>
        <v>32430</v>
      </c>
      <c r="M372" s="6">
        <f t="shared" si="22"/>
        <v>15272</v>
      </c>
      <c r="N372" s="6" t="str">
        <f t="shared" si="23"/>
        <v>profit</v>
      </c>
    </row>
    <row r="373" spans="1:14" ht="15.6" thickTop="1" thickBot="1" x14ac:dyDescent="0.35">
      <c r="A373" s="4">
        <v>45596</v>
      </c>
      <c r="B373" s="4" t="s">
        <v>84</v>
      </c>
      <c r="C373" s="5" t="s">
        <v>204</v>
      </c>
      <c r="D373" s="5" t="s">
        <v>45</v>
      </c>
      <c r="E373" s="5" t="s">
        <v>46</v>
      </c>
      <c r="F373" s="5" t="s">
        <v>17</v>
      </c>
      <c r="G373" s="5" t="s">
        <v>27</v>
      </c>
      <c r="H373" s="5">
        <v>29</v>
      </c>
      <c r="I373" s="5">
        <v>895</v>
      </c>
      <c r="J373" s="5">
        <v>882</v>
      </c>
      <c r="K373" s="6">
        <f t="shared" si="20"/>
        <v>25955</v>
      </c>
      <c r="L373" s="6">
        <f t="shared" si="21"/>
        <v>25578</v>
      </c>
      <c r="M373" s="6">
        <f t="shared" si="22"/>
        <v>-377</v>
      </c>
      <c r="N373" s="6" t="str">
        <f t="shared" si="23"/>
        <v>loss</v>
      </c>
    </row>
    <row r="374" spans="1:14" ht="15.6" thickTop="1" thickBot="1" x14ac:dyDescent="0.35">
      <c r="A374" s="4">
        <v>45597</v>
      </c>
      <c r="B374" s="4" t="s">
        <v>160</v>
      </c>
      <c r="C374" s="5" t="s">
        <v>206</v>
      </c>
      <c r="D374" s="5" t="s">
        <v>45</v>
      </c>
      <c r="E374" s="5" t="s">
        <v>46</v>
      </c>
      <c r="F374" s="5" t="s">
        <v>20</v>
      </c>
      <c r="G374" s="5" t="s">
        <v>27</v>
      </c>
      <c r="H374" s="5">
        <v>26</v>
      </c>
      <c r="I374" s="5">
        <v>728</v>
      </c>
      <c r="J374" s="5">
        <v>1466</v>
      </c>
      <c r="K374" s="6">
        <f t="shared" si="20"/>
        <v>18928</v>
      </c>
      <c r="L374" s="6">
        <f t="shared" si="21"/>
        <v>38116</v>
      </c>
      <c r="M374" s="6">
        <f t="shared" si="22"/>
        <v>19188</v>
      </c>
      <c r="N374" s="6" t="str">
        <f t="shared" si="23"/>
        <v>profit</v>
      </c>
    </row>
    <row r="375" spans="1:14" ht="15.6" thickTop="1" thickBot="1" x14ac:dyDescent="0.35">
      <c r="A375" s="4">
        <v>45598</v>
      </c>
      <c r="B375" s="4" t="s">
        <v>160</v>
      </c>
      <c r="C375" s="5" t="s">
        <v>208</v>
      </c>
      <c r="D375" s="5" t="s">
        <v>45</v>
      </c>
      <c r="E375" s="5" t="s">
        <v>46</v>
      </c>
      <c r="F375" s="5" t="s">
        <v>22</v>
      </c>
      <c r="G375" s="5" t="s">
        <v>27</v>
      </c>
      <c r="H375" s="5">
        <v>22</v>
      </c>
      <c r="I375" s="5">
        <v>586</v>
      </c>
      <c r="J375" s="5">
        <v>1206</v>
      </c>
      <c r="K375" s="6">
        <f t="shared" si="20"/>
        <v>12892</v>
      </c>
      <c r="L375" s="6">
        <f t="shared" si="21"/>
        <v>26532</v>
      </c>
      <c r="M375" s="6">
        <f t="shared" si="22"/>
        <v>13640</v>
      </c>
      <c r="N375" s="6" t="str">
        <f t="shared" si="23"/>
        <v>profit</v>
      </c>
    </row>
    <row r="376" spans="1:14" ht="15.6" thickTop="1" thickBot="1" x14ac:dyDescent="0.35">
      <c r="A376" s="4">
        <v>45599</v>
      </c>
      <c r="B376" s="4" t="s">
        <v>160</v>
      </c>
      <c r="C376" s="5" t="s">
        <v>209</v>
      </c>
      <c r="D376" s="5" t="s">
        <v>45</v>
      </c>
      <c r="E376" s="5" t="s">
        <v>46</v>
      </c>
      <c r="F376" s="5" t="s">
        <v>24</v>
      </c>
      <c r="G376" s="5" t="s">
        <v>18</v>
      </c>
      <c r="H376" s="5">
        <v>29</v>
      </c>
      <c r="I376" s="5">
        <v>724</v>
      </c>
      <c r="J376" s="5">
        <v>858</v>
      </c>
      <c r="K376" s="6">
        <f t="shared" si="20"/>
        <v>20996</v>
      </c>
      <c r="L376" s="6">
        <f t="shared" si="21"/>
        <v>24882</v>
      </c>
      <c r="M376" s="6">
        <f t="shared" si="22"/>
        <v>3886</v>
      </c>
      <c r="N376" s="6" t="str">
        <f t="shared" si="23"/>
        <v>profit</v>
      </c>
    </row>
    <row r="377" spans="1:14" ht="15.6" thickTop="1" thickBot="1" x14ac:dyDescent="0.35">
      <c r="A377" s="4">
        <v>45600</v>
      </c>
      <c r="B377" s="4" t="s">
        <v>160</v>
      </c>
      <c r="C377" s="5" t="s">
        <v>210</v>
      </c>
      <c r="D377" s="5" t="s">
        <v>45</v>
      </c>
      <c r="E377" s="5" t="s">
        <v>46</v>
      </c>
      <c r="F377" s="5" t="s">
        <v>24</v>
      </c>
      <c r="G377" s="5" t="s">
        <v>18</v>
      </c>
      <c r="H377" s="5">
        <v>20</v>
      </c>
      <c r="I377" s="5">
        <v>941</v>
      </c>
      <c r="J377" s="5">
        <v>1181</v>
      </c>
      <c r="K377" s="6">
        <f t="shared" si="20"/>
        <v>18820</v>
      </c>
      <c r="L377" s="6">
        <f t="shared" si="21"/>
        <v>23620</v>
      </c>
      <c r="M377" s="6">
        <f t="shared" si="22"/>
        <v>4800</v>
      </c>
      <c r="N377" s="6" t="str">
        <f t="shared" si="23"/>
        <v>profit</v>
      </c>
    </row>
    <row r="378" spans="1:14" ht="15.6" thickTop="1" thickBot="1" x14ac:dyDescent="0.35">
      <c r="A378" s="4">
        <v>45601</v>
      </c>
      <c r="B378" s="4" t="s">
        <v>160</v>
      </c>
      <c r="C378" s="5" t="s">
        <v>211</v>
      </c>
      <c r="D378" s="5" t="s">
        <v>45</v>
      </c>
      <c r="E378" s="5" t="s">
        <v>46</v>
      </c>
      <c r="F378" s="5" t="s">
        <v>26</v>
      </c>
      <c r="G378" s="5" t="s">
        <v>18</v>
      </c>
      <c r="H378" s="5">
        <v>22</v>
      </c>
      <c r="I378" s="5">
        <v>618</v>
      </c>
      <c r="J378" s="5">
        <v>1373</v>
      </c>
      <c r="K378" s="6">
        <f t="shared" si="20"/>
        <v>13596</v>
      </c>
      <c r="L378" s="6">
        <f t="shared" si="21"/>
        <v>30206</v>
      </c>
      <c r="M378" s="6">
        <f t="shared" si="22"/>
        <v>16610</v>
      </c>
      <c r="N378" s="6" t="str">
        <f t="shared" si="23"/>
        <v>profit</v>
      </c>
    </row>
    <row r="379" spans="1:14" ht="15.6" thickTop="1" thickBot="1" x14ac:dyDescent="0.35">
      <c r="A379" s="4">
        <v>45609</v>
      </c>
      <c r="B379" s="4" t="s">
        <v>160</v>
      </c>
      <c r="C379" s="5" t="s">
        <v>213</v>
      </c>
      <c r="D379" s="5" t="s">
        <v>45</v>
      </c>
      <c r="E379" s="5" t="s">
        <v>62</v>
      </c>
      <c r="F379" s="5" t="s">
        <v>75</v>
      </c>
      <c r="G379" s="5" t="s">
        <v>27</v>
      </c>
      <c r="H379" s="5">
        <v>28</v>
      </c>
      <c r="I379" s="5">
        <v>896</v>
      </c>
      <c r="J379" s="5">
        <v>1363</v>
      </c>
      <c r="K379" s="6">
        <f t="shared" si="20"/>
        <v>25088</v>
      </c>
      <c r="L379" s="6">
        <f t="shared" si="21"/>
        <v>38164</v>
      </c>
      <c r="M379" s="6">
        <f t="shared" si="22"/>
        <v>13076</v>
      </c>
      <c r="N379" s="6" t="str">
        <f t="shared" si="23"/>
        <v>profit</v>
      </c>
    </row>
    <row r="380" spans="1:14" ht="15.6" thickTop="1" thickBot="1" x14ac:dyDescent="0.35">
      <c r="A380" s="4">
        <v>45611</v>
      </c>
      <c r="B380" s="4" t="s">
        <v>160</v>
      </c>
      <c r="C380" s="5" t="s">
        <v>214</v>
      </c>
      <c r="D380" s="5" t="s">
        <v>45</v>
      </c>
      <c r="E380" s="5" t="s">
        <v>62</v>
      </c>
      <c r="F380" s="5" t="s">
        <v>34</v>
      </c>
      <c r="G380" s="5" t="s">
        <v>27</v>
      </c>
      <c r="H380" s="5">
        <v>28</v>
      </c>
      <c r="I380" s="5">
        <v>986</v>
      </c>
      <c r="J380" s="5">
        <v>866</v>
      </c>
      <c r="K380" s="6">
        <f t="shared" si="20"/>
        <v>27608</v>
      </c>
      <c r="L380" s="6">
        <f t="shared" si="21"/>
        <v>24248</v>
      </c>
      <c r="M380" s="6">
        <f t="shared" si="22"/>
        <v>-3360</v>
      </c>
      <c r="N380" s="6" t="str">
        <f t="shared" si="23"/>
        <v>loss</v>
      </c>
    </row>
    <row r="381" spans="1:14" ht="15.6" thickTop="1" thickBot="1" x14ac:dyDescent="0.35">
      <c r="A381" s="4">
        <v>45612</v>
      </c>
      <c r="B381" s="4" t="s">
        <v>160</v>
      </c>
      <c r="C381" s="5" t="s">
        <v>215</v>
      </c>
      <c r="D381" s="5" t="s">
        <v>45</v>
      </c>
      <c r="E381" s="5" t="s">
        <v>62</v>
      </c>
      <c r="F381" s="5" t="s">
        <v>43</v>
      </c>
      <c r="G381" s="5" t="s">
        <v>27</v>
      </c>
      <c r="H381" s="5">
        <v>27</v>
      </c>
      <c r="I381" s="5">
        <v>951</v>
      </c>
      <c r="J381" s="5">
        <v>1255</v>
      </c>
      <c r="K381" s="6">
        <f t="shared" si="20"/>
        <v>25677</v>
      </c>
      <c r="L381" s="6">
        <f t="shared" si="21"/>
        <v>33885</v>
      </c>
      <c r="M381" s="6">
        <f t="shared" si="22"/>
        <v>8208</v>
      </c>
      <c r="N381" s="6" t="str">
        <f t="shared" si="23"/>
        <v>profit</v>
      </c>
    </row>
    <row r="382" spans="1:14" ht="15.6" thickTop="1" thickBot="1" x14ac:dyDescent="0.35">
      <c r="A382" s="4">
        <v>45432</v>
      </c>
      <c r="B382" s="4" t="s">
        <v>96</v>
      </c>
      <c r="C382" s="5" t="s">
        <v>97</v>
      </c>
      <c r="D382" s="5" t="s">
        <v>32</v>
      </c>
      <c r="E382" s="5" t="s">
        <v>98</v>
      </c>
      <c r="F382" s="5" t="s">
        <v>34</v>
      </c>
      <c r="G382" s="5" t="s">
        <v>27</v>
      </c>
      <c r="H382" s="5">
        <v>63</v>
      </c>
      <c r="I382" s="5">
        <v>929</v>
      </c>
      <c r="J382" s="5">
        <v>1320</v>
      </c>
      <c r="K382" s="6">
        <f t="shared" si="20"/>
        <v>58527</v>
      </c>
      <c r="L382" s="6">
        <f t="shared" si="21"/>
        <v>83160</v>
      </c>
      <c r="M382" s="6">
        <f t="shared" si="22"/>
        <v>24633</v>
      </c>
      <c r="N382" s="6" t="str">
        <f t="shared" si="23"/>
        <v>profit</v>
      </c>
    </row>
    <row r="383" spans="1:14" ht="15.6" thickTop="1" thickBot="1" x14ac:dyDescent="0.35">
      <c r="A383" s="4">
        <v>45613</v>
      </c>
      <c r="B383" s="4" t="s">
        <v>160</v>
      </c>
      <c r="C383" s="5" t="s">
        <v>216</v>
      </c>
      <c r="D383" s="5" t="s">
        <v>45</v>
      </c>
      <c r="E383" s="5" t="s">
        <v>62</v>
      </c>
      <c r="F383" s="5" t="s">
        <v>59</v>
      </c>
      <c r="G383" s="5" t="s">
        <v>27</v>
      </c>
      <c r="H383" s="5">
        <v>22</v>
      </c>
      <c r="I383" s="5">
        <v>783</v>
      </c>
      <c r="J383" s="5">
        <v>886</v>
      </c>
      <c r="K383" s="6">
        <f t="shared" si="20"/>
        <v>17226</v>
      </c>
      <c r="L383" s="6">
        <f t="shared" si="21"/>
        <v>19492</v>
      </c>
      <c r="M383" s="6">
        <f t="shared" si="22"/>
        <v>2266</v>
      </c>
      <c r="N383" s="6" t="str">
        <f t="shared" si="23"/>
        <v>profit</v>
      </c>
    </row>
    <row r="384" spans="1:14" ht="15.6" thickTop="1" thickBot="1" x14ac:dyDescent="0.35">
      <c r="A384" s="4">
        <v>45615</v>
      </c>
      <c r="B384" s="4" t="s">
        <v>160</v>
      </c>
      <c r="C384" s="5" t="s">
        <v>217</v>
      </c>
      <c r="D384" s="5" t="s">
        <v>45</v>
      </c>
      <c r="E384" s="5" t="s">
        <v>62</v>
      </c>
      <c r="F384" s="5" t="s">
        <v>38</v>
      </c>
      <c r="G384" s="5" t="s">
        <v>18</v>
      </c>
      <c r="H384" s="5">
        <v>21</v>
      </c>
      <c r="I384" s="5">
        <v>547</v>
      </c>
      <c r="J384" s="5">
        <v>784</v>
      </c>
      <c r="K384" s="6">
        <f t="shared" si="20"/>
        <v>11487</v>
      </c>
      <c r="L384" s="6">
        <f t="shared" si="21"/>
        <v>16464</v>
      </c>
      <c r="M384" s="6">
        <f t="shared" si="22"/>
        <v>4977</v>
      </c>
      <c r="N384" s="6" t="str">
        <f t="shared" si="23"/>
        <v>profit</v>
      </c>
    </row>
    <row r="385" spans="1:14" ht="15.6" thickTop="1" thickBot="1" x14ac:dyDescent="0.35">
      <c r="A385" s="4">
        <v>45617</v>
      </c>
      <c r="B385" s="4" t="s">
        <v>160</v>
      </c>
      <c r="C385" s="5" t="s">
        <v>218</v>
      </c>
      <c r="D385" s="5" t="s">
        <v>45</v>
      </c>
      <c r="E385" s="5" t="s">
        <v>62</v>
      </c>
      <c r="F385" s="5" t="s">
        <v>43</v>
      </c>
      <c r="G385" s="5" t="s">
        <v>27</v>
      </c>
      <c r="H385" s="5">
        <v>20</v>
      </c>
      <c r="I385" s="5">
        <v>737</v>
      </c>
      <c r="J385" s="5">
        <v>932</v>
      </c>
      <c r="K385" s="6">
        <f t="shared" si="20"/>
        <v>14740</v>
      </c>
      <c r="L385" s="6">
        <f t="shared" si="21"/>
        <v>18640</v>
      </c>
      <c r="M385" s="6">
        <f t="shared" si="22"/>
        <v>3900</v>
      </c>
      <c r="N385" s="6" t="str">
        <f t="shared" si="23"/>
        <v>profit</v>
      </c>
    </row>
    <row r="386" spans="1:14" ht="15.6" thickTop="1" thickBot="1" x14ac:dyDescent="0.35">
      <c r="A386" s="4">
        <v>45618</v>
      </c>
      <c r="B386" s="4" t="s">
        <v>160</v>
      </c>
      <c r="C386" s="5" t="s">
        <v>220</v>
      </c>
      <c r="D386" s="5" t="s">
        <v>45</v>
      </c>
      <c r="E386" s="5" t="s">
        <v>62</v>
      </c>
      <c r="F386" s="5" t="s">
        <v>26</v>
      </c>
      <c r="G386" s="5" t="s">
        <v>27</v>
      </c>
      <c r="H386" s="5">
        <v>25</v>
      </c>
      <c r="I386" s="5">
        <v>924</v>
      </c>
      <c r="J386" s="5">
        <v>1062</v>
      </c>
      <c r="K386" s="6">
        <f t="shared" ref="K386:K449" si="24">H386*I386</f>
        <v>23100</v>
      </c>
      <c r="L386" s="6">
        <f t="shared" ref="L386:L449" si="25">H386*J386</f>
        <v>26550</v>
      </c>
      <c r="M386" s="6">
        <f t="shared" ref="M386:M449" si="26">L386-K386</f>
        <v>3450</v>
      </c>
      <c r="N386" s="6" t="str">
        <f t="shared" ref="N386:N449" si="27">IF(M386&gt;0,"profit","loss")</f>
        <v>profit</v>
      </c>
    </row>
    <row r="387" spans="1:14" ht="15.6" thickTop="1" thickBot="1" x14ac:dyDescent="0.35">
      <c r="A387" s="4">
        <v>45619</v>
      </c>
      <c r="B387" s="4" t="s">
        <v>160</v>
      </c>
      <c r="C387" s="5" t="s">
        <v>222</v>
      </c>
      <c r="D387" s="5" t="s">
        <v>45</v>
      </c>
      <c r="E387" s="5" t="s">
        <v>62</v>
      </c>
      <c r="F387" s="5" t="s">
        <v>43</v>
      </c>
      <c r="G387" s="5" t="s">
        <v>27</v>
      </c>
      <c r="H387" s="5">
        <v>28</v>
      </c>
      <c r="I387" s="5">
        <v>665</v>
      </c>
      <c r="J387" s="5">
        <v>1467</v>
      </c>
      <c r="K387" s="6">
        <f t="shared" si="24"/>
        <v>18620</v>
      </c>
      <c r="L387" s="6">
        <f t="shared" si="25"/>
        <v>41076</v>
      </c>
      <c r="M387" s="6">
        <f t="shared" si="26"/>
        <v>22456</v>
      </c>
      <c r="N387" s="6" t="str">
        <f t="shared" si="27"/>
        <v>profit</v>
      </c>
    </row>
    <row r="388" spans="1:14" ht="15.6" thickTop="1" thickBot="1" x14ac:dyDescent="0.35">
      <c r="A388" s="4">
        <v>45620</v>
      </c>
      <c r="B388" s="4" t="s">
        <v>160</v>
      </c>
      <c r="C388" s="5" t="s">
        <v>224</v>
      </c>
      <c r="D388" s="5" t="s">
        <v>45</v>
      </c>
      <c r="E388" s="5" t="s">
        <v>62</v>
      </c>
      <c r="F388" s="5" t="s">
        <v>48</v>
      </c>
      <c r="G388" s="5" t="s">
        <v>27</v>
      </c>
      <c r="H388" s="5">
        <v>24</v>
      </c>
      <c r="I388" s="5">
        <v>839</v>
      </c>
      <c r="J388" s="5">
        <v>1092</v>
      </c>
      <c r="K388" s="6">
        <f t="shared" si="24"/>
        <v>20136</v>
      </c>
      <c r="L388" s="6">
        <f t="shared" si="25"/>
        <v>26208</v>
      </c>
      <c r="M388" s="6">
        <f t="shared" si="26"/>
        <v>6072</v>
      </c>
      <c r="N388" s="6" t="str">
        <f t="shared" si="27"/>
        <v>profit</v>
      </c>
    </row>
    <row r="389" spans="1:14" ht="15.6" thickTop="1" thickBot="1" x14ac:dyDescent="0.35">
      <c r="A389" s="4">
        <v>45621</v>
      </c>
      <c r="B389" s="4" t="s">
        <v>160</v>
      </c>
      <c r="C389" s="5" t="s">
        <v>225</v>
      </c>
      <c r="D389" s="5" t="s">
        <v>45</v>
      </c>
      <c r="E389" s="5" t="s">
        <v>62</v>
      </c>
      <c r="F389" s="5" t="s">
        <v>26</v>
      </c>
      <c r="G389" s="5" t="s">
        <v>27</v>
      </c>
      <c r="H389" s="5">
        <v>30</v>
      </c>
      <c r="I389" s="5">
        <v>790</v>
      </c>
      <c r="J389" s="5">
        <v>1245</v>
      </c>
      <c r="K389" s="6">
        <f t="shared" si="24"/>
        <v>23700</v>
      </c>
      <c r="L389" s="6">
        <f t="shared" si="25"/>
        <v>37350</v>
      </c>
      <c r="M389" s="6">
        <f t="shared" si="26"/>
        <v>13650</v>
      </c>
      <c r="N389" s="6" t="str">
        <f t="shared" si="27"/>
        <v>profit</v>
      </c>
    </row>
    <row r="390" spans="1:14" ht="15.6" thickTop="1" thickBot="1" x14ac:dyDescent="0.35">
      <c r="A390" s="4">
        <v>45622</v>
      </c>
      <c r="B390" s="4" t="s">
        <v>160</v>
      </c>
      <c r="C390" s="5" t="s">
        <v>226</v>
      </c>
      <c r="D390" s="5" t="s">
        <v>45</v>
      </c>
      <c r="E390" s="5" t="s">
        <v>62</v>
      </c>
      <c r="F390" s="5" t="s">
        <v>51</v>
      </c>
      <c r="G390" s="5" t="s">
        <v>18</v>
      </c>
      <c r="H390" s="5">
        <v>30</v>
      </c>
      <c r="I390" s="5">
        <v>651</v>
      </c>
      <c r="J390" s="5">
        <v>1277</v>
      </c>
      <c r="K390" s="6">
        <f t="shared" si="24"/>
        <v>19530</v>
      </c>
      <c r="L390" s="6">
        <f t="shared" si="25"/>
        <v>38310</v>
      </c>
      <c r="M390" s="6">
        <f t="shared" si="26"/>
        <v>18780</v>
      </c>
      <c r="N390" s="6" t="str">
        <f t="shared" si="27"/>
        <v>profit</v>
      </c>
    </row>
    <row r="391" spans="1:14" ht="15.6" thickTop="1" thickBot="1" x14ac:dyDescent="0.35">
      <c r="A391" s="4">
        <v>45441</v>
      </c>
      <c r="B391" s="4" t="s">
        <v>96</v>
      </c>
      <c r="C391" s="5" t="s">
        <v>107</v>
      </c>
      <c r="D391" s="5" t="s">
        <v>32</v>
      </c>
      <c r="E391" s="5" t="s">
        <v>98</v>
      </c>
      <c r="F391" s="5" t="s">
        <v>53</v>
      </c>
      <c r="G391" s="5" t="s">
        <v>27</v>
      </c>
      <c r="H391" s="5">
        <v>67</v>
      </c>
      <c r="I391" s="5">
        <v>796</v>
      </c>
      <c r="J391" s="5">
        <v>1347</v>
      </c>
      <c r="K391" s="6">
        <f t="shared" si="24"/>
        <v>53332</v>
      </c>
      <c r="L391" s="6">
        <f t="shared" si="25"/>
        <v>90249</v>
      </c>
      <c r="M391" s="6">
        <f t="shared" si="26"/>
        <v>36917</v>
      </c>
      <c r="N391" s="6" t="str">
        <f t="shared" si="27"/>
        <v>profit</v>
      </c>
    </row>
    <row r="392" spans="1:14" ht="15.6" thickTop="1" thickBot="1" x14ac:dyDescent="0.35">
      <c r="A392" s="4">
        <v>45623</v>
      </c>
      <c r="B392" s="4" t="s">
        <v>160</v>
      </c>
      <c r="C392" s="5" t="s">
        <v>227</v>
      </c>
      <c r="D392" s="5" t="s">
        <v>45</v>
      </c>
      <c r="E392" s="5" t="s">
        <v>62</v>
      </c>
      <c r="F392" s="5" t="s">
        <v>53</v>
      </c>
      <c r="G392" s="5" t="s">
        <v>18</v>
      </c>
      <c r="H392" s="5">
        <v>23</v>
      </c>
      <c r="I392" s="5">
        <v>531</v>
      </c>
      <c r="J392" s="5">
        <v>1072</v>
      </c>
      <c r="K392" s="6">
        <f t="shared" si="24"/>
        <v>12213</v>
      </c>
      <c r="L392" s="6">
        <f t="shared" si="25"/>
        <v>24656</v>
      </c>
      <c r="M392" s="6">
        <f t="shared" si="26"/>
        <v>12443</v>
      </c>
      <c r="N392" s="6" t="str">
        <f t="shared" si="27"/>
        <v>profit</v>
      </c>
    </row>
    <row r="393" spans="1:14" ht="15.6" thickTop="1" thickBot="1" x14ac:dyDescent="0.35">
      <c r="A393" s="4">
        <v>45624</v>
      </c>
      <c r="B393" s="4" t="s">
        <v>160</v>
      </c>
      <c r="C393" s="5" t="s">
        <v>228</v>
      </c>
      <c r="D393" s="5" t="s">
        <v>45</v>
      </c>
      <c r="E393" s="5" t="s">
        <v>117</v>
      </c>
      <c r="F393" s="5" t="s">
        <v>34</v>
      </c>
      <c r="G393" s="5" t="s">
        <v>18</v>
      </c>
      <c r="H393" s="5">
        <v>30</v>
      </c>
      <c r="I393" s="5">
        <v>591</v>
      </c>
      <c r="J393" s="5">
        <v>949</v>
      </c>
      <c r="K393" s="6">
        <f t="shared" si="24"/>
        <v>17730</v>
      </c>
      <c r="L393" s="6">
        <f t="shared" si="25"/>
        <v>28470</v>
      </c>
      <c r="M393" s="6">
        <f t="shared" si="26"/>
        <v>10740</v>
      </c>
      <c r="N393" s="6" t="str">
        <f t="shared" si="27"/>
        <v>profit</v>
      </c>
    </row>
    <row r="394" spans="1:14" ht="15.6" thickTop="1" thickBot="1" x14ac:dyDescent="0.35">
      <c r="A394" s="4">
        <v>45625</v>
      </c>
      <c r="B394" s="4" t="s">
        <v>160</v>
      </c>
      <c r="C394" s="5" t="s">
        <v>229</v>
      </c>
      <c r="D394" s="5" t="s">
        <v>45</v>
      </c>
      <c r="E394" s="5" t="s">
        <v>117</v>
      </c>
      <c r="F394" s="5" t="s">
        <v>38</v>
      </c>
      <c r="G394" s="5" t="s">
        <v>18</v>
      </c>
      <c r="H394" s="5">
        <v>29</v>
      </c>
      <c r="I394" s="5">
        <v>621</v>
      </c>
      <c r="J394" s="5">
        <v>1485</v>
      </c>
      <c r="K394" s="6">
        <f t="shared" si="24"/>
        <v>18009</v>
      </c>
      <c r="L394" s="6">
        <f t="shared" si="25"/>
        <v>43065</v>
      </c>
      <c r="M394" s="6">
        <f t="shared" si="26"/>
        <v>25056</v>
      </c>
      <c r="N394" s="6" t="str">
        <f t="shared" si="27"/>
        <v>profit</v>
      </c>
    </row>
    <row r="395" spans="1:14" ht="15.6" thickTop="1" thickBot="1" x14ac:dyDescent="0.35">
      <c r="A395" s="4">
        <v>45627</v>
      </c>
      <c r="B395" s="4" t="s">
        <v>189</v>
      </c>
      <c r="C395" s="5" t="s">
        <v>231</v>
      </c>
      <c r="D395" s="5" t="s">
        <v>45</v>
      </c>
      <c r="E395" s="5" t="s">
        <v>117</v>
      </c>
      <c r="F395" s="5" t="s">
        <v>63</v>
      </c>
      <c r="G395" s="5" t="s">
        <v>18</v>
      </c>
      <c r="H395" s="5">
        <v>30</v>
      </c>
      <c r="I395" s="5">
        <v>857</v>
      </c>
      <c r="J395" s="5">
        <v>1455</v>
      </c>
      <c r="K395" s="6">
        <f t="shared" si="24"/>
        <v>25710</v>
      </c>
      <c r="L395" s="6">
        <f t="shared" si="25"/>
        <v>43650</v>
      </c>
      <c r="M395" s="6">
        <f t="shared" si="26"/>
        <v>17940</v>
      </c>
      <c r="N395" s="6" t="str">
        <f t="shared" si="27"/>
        <v>profit</v>
      </c>
    </row>
    <row r="396" spans="1:14" ht="15.6" thickTop="1" thickBot="1" x14ac:dyDescent="0.35">
      <c r="A396" s="4">
        <v>45628</v>
      </c>
      <c r="B396" s="4" t="s">
        <v>189</v>
      </c>
      <c r="C396" s="5" t="s">
        <v>232</v>
      </c>
      <c r="D396" s="5" t="s">
        <v>45</v>
      </c>
      <c r="E396" s="5" t="s">
        <v>117</v>
      </c>
      <c r="F396" s="5" t="s">
        <v>63</v>
      </c>
      <c r="G396" s="5" t="s">
        <v>18</v>
      </c>
      <c r="H396" s="5">
        <v>20</v>
      </c>
      <c r="I396" s="5">
        <v>897</v>
      </c>
      <c r="J396" s="5">
        <v>1024</v>
      </c>
      <c r="K396" s="6">
        <f t="shared" si="24"/>
        <v>17940</v>
      </c>
      <c r="L396" s="6">
        <f t="shared" si="25"/>
        <v>20480</v>
      </c>
      <c r="M396" s="6">
        <f t="shared" si="26"/>
        <v>2540</v>
      </c>
      <c r="N396" s="6" t="str">
        <f t="shared" si="27"/>
        <v>profit</v>
      </c>
    </row>
    <row r="397" spans="1:14" ht="15.6" thickTop="1" thickBot="1" x14ac:dyDescent="0.35">
      <c r="A397" s="4">
        <v>45630</v>
      </c>
      <c r="B397" s="4" t="s">
        <v>189</v>
      </c>
      <c r="C397" s="5" t="s">
        <v>233</v>
      </c>
      <c r="D397" s="5" t="s">
        <v>45</v>
      </c>
      <c r="E397" s="5" t="s">
        <v>117</v>
      </c>
      <c r="F397" s="5" t="s">
        <v>38</v>
      </c>
      <c r="G397" s="5" t="s">
        <v>27</v>
      </c>
      <c r="H397" s="5">
        <v>22</v>
      </c>
      <c r="I397" s="5">
        <v>781</v>
      </c>
      <c r="J397" s="5">
        <v>1423</v>
      </c>
      <c r="K397" s="6">
        <f t="shared" si="24"/>
        <v>17182</v>
      </c>
      <c r="L397" s="6">
        <f t="shared" si="25"/>
        <v>31306</v>
      </c>
      <c r="M397" s="6">
        <f t="shared" si="26"/>
        <v>14124</v>
      </c>
      <c r="N397" s="6" t="str">
        <f t="shared" si="27"/>
        <v>profit</v>
      </c>
    </row>
    <row r="398" spans="1:14" ht="15.6" thickTop="1" thickBot="1" x14ac:dyDescent="0.35">
      <c r="A398" s="4">
        <v>45631</v>
      </c>
      <c r="B398" s="4" t="s">
        <v>189</v>
      </c>
      <c r="C398" s="5" t="s">
        <v>234</v>
      </c>
      <c r="D398" s="5" t="s">
        <v>45</v>
      </c>
      <c r="E398" s="5" t="s">
        <v>117</v>
      </c>
      <c r="F398" s="5" t="s">
        <v>29</v>
      </c>
      <c r="G398" s="5" t="s">
        <v>27</v>
      </c>
      <c r="H398" s="5">
        <v>20</v>
      </c>
      <c r="I398" s="5">
        <v>854</v>
      </c>
      <c r="J398" s="5">
        <v>956</v>
      </c>
      <c r="K398" s="6">
        <f t="shared" si="24"/>
        <v>17080</v>
      </c>
      <c r="L398" s="6">
        <f t="shared" si="25"/>
        <v>19120</v>
      </c>
      <c r="M398" s="6">
        <f t="shared" si="26"/>
        <v>2040</v>
      </c>
      <c r="N398" s="6" t="str">
        <f t="shared" si="27"/>
        <v>profit</v>
      </c>
    </row>
    <row r="399" spans="1:14" ht="15.6" thickTop="1" thickBot="1" x14ac:dyDescent="0.35">
      <c r="A399" s="4">
        <v>45632</v>
      </c>
      <c r="B399" s="4" t="s">
        <v>189</v>
      </c>
      <c r="C399" s="5" t="s">
        <v>235</v>
      </c>
      <c r="D399" s="5" t="s">
        <v>45</v>
      </c>
      <c r="E399" s="5" t="s">
        <v>117</v>
      </c>
      <c r="F399" s="5" t="s">
        <v>112</v>
      </c>
      <c r="G399" s="5" t="s">
        <v>27</v>
      </c>
      <c r="H399" s="5">
        <v>26</v>
      </c>
      <c r="I399" s="5">
        <v>909</v>
      </c>
      <c r="J399" s="5">
        <v>1206</v>
      </c>
      <c r="K399" s="6">
        <f t="shared" si="24"/>
        <v>23634</v>
      </c>
      <c r="L399" s="6">
        <f t="shared" si="25"/>
        <v>31356</v>
      </c>
      <c r="M399" s="6">
        <f t="shared" si="26"/>
        <v>7722</v>
      </c>
      <c r="N399" s="6" t="str">
        <f t="shared" si="27"/>
        <v>profit</v>
      </c>
    </row>
    <row r="400" spans="1:14" ht="15.6" thickTop="1" thickBot="1" x14ac:dyDescent="0.35">
      <c r="A400" s="4">
        <v>45633</v>
      </c>
      <c r="B400" s="4" t="s">
        <v>189</v>
      </c>
      <c r="C400" s="5" t="s">
        <v>236</v>
      </c>
      <c r="D400" s="5" t="s">
        <v>45</v>
      </c>
      <c r="E400" s="5" t="s">
        <v>117</v>
      </c>
      <c r="F400" s="5" t="s">
        <v>43</v>
      </c>
      <c r="G400" s="5" t="s">
        <v>18</v>
      </c>
      <c r="H400" s="5">
        <v>20</v>
      </c>
      <c r="I400" s="5">
        <v>976</v>
      </c>
      <c r="J400" s="5">
        <v>905</v>
      </c>
      <c r="K400" s="6">
        <f t="shared" si="24"/>
        <v>19520</v>
      </c>
      <c r="L400" s="6">
        <f t="shared" si="25"/>
        <v>18100</v>
      </c>
      <c r="M400" s="6">
        <f t="shared" si="26"/>
        <v>-1420</v>
      </c>
      <c r="N400" s="6" t="str">
        <f t="shared" si="27"/>
        <v>loss</v>
      </c>
    </row>
    <row r="401" spans="1:14" ht="15.6" thickTop="1" thickBot="1" x14ac:dyDescent="0.35">
      <c r="A401" s="4">
        <v>45635</v>
      </c>
      <c r="B401" s="4" t="s">
        <v>189</v>
      </c>
      <c r="C401" s="5" t="s">
        <v>237</v>
      </c>
      <c r="D401" s="5" t="s">
        <v>45</v>
      </c>
      <c r="E401" s="5" t="s">
        <v>117</v>
      </c>
      <c r="F401" s="5" t="s">
        <v>154</v>
      </c>
      <c r="G401" s="5" t="s">
        <v>27</v>
      </c>
      <c r="H401" s="5">
        <v>24</v>
      </c>
      <c r="I401" s="5">
        <v>787</v>
      </c>
      <c r="J401" s="5">
        <v>1122</v>
      </c>
      <c r="K401" s="6">
        <f t="shared" si="24"/>
        <v>18888</v>
      </c>
      <c r="L401" s="6">
        <f t="shared" si="25"/>
        <v>26928</v>
      </c>
      <c r="M401" s="6">
        <f t="shared" si="26"/>
        <v>8040</v>
      </c>
      <c r="N401" s="6" t="str">
        <f t="shared" si="27"/>
        <v>profit</v>
      </c>
    </row>
    <row r="402" spans="1:14" ht="15.6" thickTop="1" thickBot="1" x14ac:dyDescent="0.35">
      <c r="A402" s="4">
        <v>45689</v>
      </c>
      <c r="B402" s="4" t="s">
        <v>238</v>
      </c>
      <c r="C402" s="5" t="s">
        <v>239</v>
      </c>
      <c r="D402" s="5" t="s">
        <v>45</v>
      </c>
      <c r="E402" s="5" t="s">
        <v>117</v>
      </c>
      <c r="F402" s="5" t="s">
        <v>43</v>
      </c>
      <c r="G402" s="5" t="s">
        <v>18</v>
      </c>
      <c r="H402" s="5">
        <v>23</v>
      </c>
      <c r="I402" s="5">
        <v>755</v>
      </c>
      <c r="J402" s="5">
        <v>806</v>
      </c>
      <c r="K402" s="6">
        <f t="shared" si="24"/>
        <v>17365</v>
      </c>
      <c r="L402" s="6">
        <f t="shared" si="25"/>
        <v>18538</v>
      </c>
      <c r="M402" s="6">
        <f t="shared" si="26"/>
        <v>1173</v>
      </c>
      <c r="N402" s="6" t="str">
        <f t="shared" si="27"/>
        <v>profit</v>
      </c>
    </row>
    <row r="403" spans="1:14" ht="15.6" thickTop="1" thickBot="1" x14ac:dyDescent="0.35">
      <c r="A403" s="4">
        <v>45690</v>
      </c>
      <c r="B403" s="4" t="s">
        <v>238</v>
      </c>
      <c r="C403" s="5" t="s">
        <v>240</v>
      </c>
      <c r="D403" s="5" t="s">
        <v>45</v>
      </c>
      <c r="E403" s="5" t="s">
        <v>117</v>
      </c>
      <c r="F403" s="5" t="s">
        <v>152</v>
      </c>
      <c r="G403" s="5" t="s">
        <v>18</v>
      </c>
      <c r="H403" s="5">
        <v>26</v>
      </c>
      <c r="I403" s="5">
        <v>573</v>
      </c>
      <c r="J403" s="5">
        <v>1309</v>
      </c>
      <c r="K403" s="6">
        <f t="shared" si="24"/>
        <v>14898</v>
      </c>
      <c r="L403" s="6">
        <f t="shared" si="25"/>
        <v>34034</v>
      </c>
      <c r="M403" s="6">
        <f t="shared" si="26"/>
        <v>19136</v>
      </c>
      <c r="N403" s="6" t="str">
        <f t="shared" si="27"/>
        <v>profit</v>
      </c>
    </row>
    <row r="404" spans="1:14" ht="15.6" thickTop="1" thickBot="1" x14ac:dyDescent="0.35">
      <c r="A404" s="4">
        <v>45691</v>
      </c>
      <c r="B404" s="4" t="s">
        <v>238</v>
      </c>
      <c r="C404" s="5" t="s">
        <v>241</v>
      </c>
      <c r="D404" s="5" t="s">
        <v>45</v>
      </c>
      <c r="E404" s="5" t="s">
        <v>117</v>
      </c>
      <c r="F404" s="5" t="s">
        <v>154</v>
      </c>
      <c r="G404" s="5" t="s">
        <v>18</v>
      </c>
      <c r="H404" s="5">
        <v>30</v>
      </c>
      <c r="I404" s="5">
        <v>946</v>
      </c>
      <c r="J404" s="5">
        <v>1089</v>
      </c>
      <c r="K404" s="6">
        <f t="shared" si="24"/>
        <v>28380</v>
      </c>
      <c r="L404" s="6">
        <f t="shared" si="25"/>
        <v>32670</v>
      </c>
      <c r="M404" s="6">
        <f t="shared" si="26"/>
        <v>4290</v>
      </c>
      <c r="N404" s="6" t="str">
        <f t="shared" si="27"/>
        <v>profit</v>
      </c>
    </row>
    <row r="405" spans="1:14" ht="15.6" thickTop="1" thickBot="1" x14ac:dyDescent="0.35">
      <c r="A405" s="4">
        <v>45692</v>
      </c>
      <c r="B405" s="4" t="s">
        <v>238</v>
      </c>
      <c r="C405" s="5" t="s">
        <v>243</v>
      </c>
      <c r="D405" s="5" t="s">
        <v>45</v>
      </c>
      <c r="E405" s="5" t="s">
        <v>117</v>
      </c>
      <c r="F405" s="5" t="s">
        <v>17</v>
      </c>
      <c r="G405" s="5" t="s">
        <v>27</v>
      </c>
      <c r="H405" s="5">
        <v>22</v>
      </c>
      <c r="I405" s="5">
        <v>679</v>
      </c>
      <c r="J405" s="5">
        <v>1463</v>
      </c>
      <c r="K405" s="6">
        <f t="shared" si="24"/>
        <v>14938</v>
      </c>
      <c r="L405" s="6">
        <f t="shared" si="25"/>
        <v>32186</v>
      </c>
      <c r="M405" s="6">
        <f t="shared" si="26"/>
        <v>17248</v>
      </c>
      <c r="N405" s="6" t="str">
        <f t="shared" si="27"/>
        <v>profit</v>
      </c>
    </row>
    <row r="406" spans="1:14" ht="15.6" thickTop="1" thickBot="1" x14ac:dyDescent="0.35">
      <c r="A406" s="4">
        <v>45693</v>
      </c>
      <c r="B406" s="4" t="s">
        <v>238</v>
      </c>
      <c r="C406" s="5" t="s">
        <v>244</v>
      </c>
      <c r="D406" s="5" t="s">
        <v>45</v>
      </c>
      <c r="E406" s="5" t="s">
        <v>117</v>
      </c>
      <c r="F406" s="5" t="s">
        <v>20</v>
      </c>
      <c r="G406" s="5" t="s">
        <v>27</v>
      </c>
      <c r="H406" s="5">
        <v>25</v>
      </c>
      <c r="I406" s="5">
        <v>975</v>
      </c>
      <c r="J406" s="5">
        <v>935</v>
      </c>
      <c r="K406" s="6">
        <f t="shared" si="24"/>
        <v>24375</v>
      </c>
      <c r="L406" s="6">
        <f t="shared" si="25"/>
        <v>23375</v>
      </c>
      <c r="M406" s="6">
        <f t="shared" si="26"/>
        <v>-1000</v>
      </c>
      <c r="N406" s="6" t="str">
        <f t="shared" si="27"/>
        <v>loss</v>
      </c>
    </row>
    <row r="407" spans="1:14" ht="15.6" thickTop="1" thickBot="1" x14ac:dyDescent="0.35">
      <c r="A407" s="4">
        <v>45694</v>
      </c>
      <c r="B407" s="4" t="s">
        <v>238</v>
      </c>
      <c r="C407" s="5" t="s">
        <v>245</v>
      </c>
      <c r="D407" s="5" t="s">
        <v>45</v>
      </c>
      <c r="E407" s="5" t="s">
        <v>117</v>
      </c>
      <c r="F407" s="5" t="s">
        <v>22</v>
      </c>
      <c r="G407" s="5" t="s">
        <v>27</v>
      </c>
      <c r="H407" s="5">
        <v>24</v>
      </c>
      <c r="I407" s="5">
        <v>642</v>
      </c>
      <c r="J407" s="5">
        <v>996</v>
      </c>
      <c r="K407" s="6">
        <f t="shared" si="24"/>
        <v>15408</v>
      </c>
      <c r="L407" s="6">
        <f t="shared" si="25"/>
        <v>23904</v>
      </c>
      <c r="M407" s="6">
        <f t="shared" si="26"/>
        <v>8496</v>
      </c>
      <c r="N407" s="6" t="str">
        <f t="shared" si="27"/>
        <v>profit</v>
      </c>
    </row>
    <row r="408" spans="1:14" ht="15.6" thickTop="1" thickBot="1" x14ac:dyDescent="0.35">
      <c r="A408" s="4">
        <v>45458</v>
      </c>
      <c r="B408" s="4" t="s">
        <v>13</v>
      </c>
      <c r="C408" s="5" t="s">
        <v>113</v>
      </c>
      <c r="D408" s="5" t="s">
        <v>15</v>
      </c>
      <c r="E408" s="5" t="s">
        <v>16</v>
      </c>
      <c r="F408" s="5" t="s">
        <v>24</v>
      </c>
      <c r="G408" s="5" t="s">
        <v>18</v>
      </c>
      <c r="H408" s="5">
        <v>14</v>
      </c>
      <c r="I408" s="5">
        <v>603</v>
      </c>
      <c r="J408" s="5">
        <v>1104</v>
      </c>
      <c r="K408" s="6">
        <f t="shared" si="24"/>
        <v>8442</v>
      </c>
      <c r="L408" s="6">
        <f t="shared" si="25"/>
        <v>15456</v>
      </c>
      <c r="M408" s="6">
        <f t="shared" si="26"/>
        <v>7014</v>
      </c>
      <c r="N408" s="6" t="str">
        <f t="shared" si="27"/>
        <v>profit</v>
      </c>
    </row>
    <row r="409" spans="1:14" ht="15.6" thickTop="1" thickBot="1" x14ac:dyDescent="0.35">
      <c r="A409" s="4">
        <v>45695</v>
      </c>
      <c r="B409" s="4" t="s">
        <v>238</v>
      </c>
      <c r="C409" s="5" t="s">
        <v>247</v>
      </c>
      <c r="D409" s="5" t="s">
        <v>45</v>
      </c>
      <c r="E409" s="5" t="s">
        <v>117</v>
      </c>
      <c r="F409" s="5" t="s">
        <v>24</v>
      </c>
      <c r="G409" s="5" t="s">
        <v>27</v>
      </c>
      <c r="H409" s="5">
        <v>29</v>
      </c>
      <c r="I409" s="5">
        <v>598</v>
      </c>
      <c r="J409" s="5">
        <v>923</v>
      </c>
      <c r="K409" s="6">
        <f t="shared" si="24"/>
        <v>17342</v>
      </c>
      <c r="L409" s="6">
        <f t="shared" si="25"/>
        <v>26767</v>
      </c>
      <c r="M409" s="6">
        <f t="shared" si="26"/>
        <v>9425</v>
      </c>
      <c r="N409" s="6" t="str">
        <f t="shared" si="27"/>
        <v>profit</v>
      </c>
    </row>
    <row r="410" spans="1:14" ht="15.6" thickTop="1" thickBot="1" x14ac:dyDescent="0.35">
      <c r="A410" s="4">
        <v>45696</v>
      </c>
      <c r="B410" s="4" t="s">
        <v>238</v>
      </c>
      <c r="C410" s="5" t="s">
        <v>248</v>
      </c>
      <c r="D410" s="5" t="s">
        <v>45</v>
      </c>
      <c r="E410" s="5" t="s">
        <v>117</v>
      </c>
      <c r="F410" s="5" t="s">
        <v>24</v>
      </c>
      <c r="G410" s="5" t="s">
        <v>27</v>
      </c>
      <c r="H410" s="5">
        <v>22</v>
      </c>
      <c r="I410" s="5">
        <v>719</v>
      </c>
      <c r="J410" s="5">
        <v>1079</v>
      </c>
      <c r="K410" s="6">
        <f t="shared" si="24"/>
        <v>15818</v>
      </c>
      <c r="L410" s="6">
        <f t="shared" si="25"/>
        <v>23738</v>
      </c>
      <c r="M410" s="6">
        <f t="shared" si="26"/>
        <v>7920</v>
      </c>
      <c r="N410" s="6" t="str">
        <f t="shared" si="27"/>
        <v>profit</v>
      </c>
    </row>
    <row r="411" spans="1:14" ht="15.6" thickTop="1" thickBot="1" x14ac:dyDescent="0.35">
      <c r="A411" s="4">
        <v>45697</v>
      </c>
      <c r="B411" s="4" t="s">
        <v>238</v>
      </c>
      <c r="C411" s="5" t="s">
        <v>249</v>
      </c>
      <c r="D411" s="5" t="s">
        <v>45</v>
      </c>
      <c r="E411" s="5" t="s">
        <v>117</v>
      </c>
      <c r="F411" s="5" t="s">
        <v>26</v>
      </c>
      <c r="G411" s="5" t="s">
        <v>18</v>
      </c>
      <c r="H411" s="5">
        <v>30</v>
      </c>
      <c r="I411" s="5">
        <v>716</v>
      </c>
      <c r="J411" s="5">
        <v>956</v>
      </c>
      <c r="K411" s="6">
        <f t="shared" si="24"/>
        <v>21480</v>
      </c>
      <c r="L411" s="6">
        <f t="shared" si="25"/>
        <v>28680</v>
      </c>
      <c r="M411" s="6">
        <f t="shared" si="26"/>
        <v>7200</v>
      </c>
      <c r="N411" s="6" t="str">
        <f t="shared" si="27"/>
        <v>profit</v>
      </c>
    </row>
    <row r="412" spans="1:14" ht="15.6" thickTop="1" thickBot="1" x14ac:dyDescent="0.35">
      <c r="A412" s="4">
        <v>45699</v>
      </c>
      <c r="B412" s="4" t="s">
        <v>238</v>
      </c>
      <c r="C412" s="5" t="s">
        <v>250</v>
      </c>
      <c r="D412" s="5" t="s">
        <v>45</v>
      </c>
      <c r="E412" s="5" t="s">
        <v>117</v>
      </c>
      <c r="F412" s="5" t="s">
        <v>34</v>
      </c>
      <c r="G412" s="5" t="s">
        <v>18</v>
      </c>
      <c r="H412" s="5">
        <v>29</v>
      </c>
      <c r="I412" s="5">
        <v>623</v>
      </c>
      <c r="J412" s="5">
        <v>919</v>
      </c>
      <c r="K412" s="6">
        <f t="shared" si="24"/>
        <v>18067</v>
      </c>
      <c r="L412" s="6">
        <f t="shared" si="25"/>
        <v>26651</v>
      </c>
      <c r="M412" s="6">
        <f t="shared" si="26"/>
        <v>8584</v>
      </c>
      <c r="N412" s="6" t="str">
        <f t="shared" si="27"/>
        <v>profit</v>
      </c>
    </row>
    <row r="413" spans="1:14" ht="15.6" thickTop="1" thickBot="1" x14ac:dyDescent="0.35">
      <c r="A413" s="4">
        <v>45383</v>
      </c>
      <c r="B413" s="4" t="s">
        <v>30</v>
      </c>
      <c r="C413" s="5" t="s">
        <v>130</v>
      </c>
      <c r="D413" s="5" t="s">
        <v>45</v>
      </c>
      <c r="E413" s="5" t="s">
        <v>46</v>
      </c>
      <c r="F413" s="5" t="s">
        <v>70</v>
      </c>
      <c r="G413" s="5" t="s">
        <v>27</v>
      </c>
      <c r="H413" s="5">
        <v>21</v>
      </c>
      <c r="I413" s="5">
        <v>553</v>
      </c>
      <c r="J413" s="5">
        <v>1459</v>
      </c>
      <c r="K413" s="6">
        <f t="shared" si="24"/>
        <v>11613</v>
      </c>
      <c r="L413" s="6">
        <f t="shared" si="25"/>
        <v>30639</v>
      </c>
      <c r="M413" s="6">
        <f t="shared" si="26"/>
        <v>19026</v>
      </c>
      <c r="N413" s="6" t="str">
        <f t="shared" si="27"/>
        <v>profit</v>
      </c>
    </row>
    <row r="414" spans="1:14" ht="15.6" thickTop="1" thickBot="1" x14ac:dyDescent="0.35">
      <c r="A414" s="4">
        <v>45464</v>
      </c>
      <c r="B414" s="4" t="s">
        <v>13</v>
      </c>
      <c r="C414" s="5" t="s">
        <v>114</v>
      </c>
      <c r="D414" s="5" t="s">
        <v>32</v>
      </c>
      <c r="E414" s="5" t="s">
        <v>98</v>
      </c>
      <c r="F414" s="5" t="s">
        <v>43</v>
      </c>
      <c r="G414" s="5" t="s">
        <v>18</v>
      </c>
      <c r="H414" s="5">
        <v>77</v>
      </c>
      <c r="I414" s="5">
        <v>923</v>
      </c>
      <c r="J414" s="5">
        <v>1132</v>
      </c>
      <c r="K414" s="6">
        <f t="shared" si="24"/>
        <v>71071</v>
      </c>
      <c r="L414" s="6">
        <f t="shared" si="25"/>
        <v>87164</v>
      </c>
      <c r="M414" s="6">
        <f t="shared" si="26"/>
        <v>16093</v>
      </c>
      <c r="N414" s="6" t="str">
        <f t="shared" si="27"/>
        <v>profit</v>
      </c>
    </row>
    <row r="415" spans="1:14" ht="15.6" thickTop="1" thickBot="1" x14ac:dyDescent="0.35">
      <c r="A415" s="4">
        <v>45384</v>
      </c>
      <c r="B415" s="4" t="s">
        <v>30</v>
      </c>
      <c r="C415" s="5" t="s">
        <v>131</v>
      </c>
      <c r="D415" s="5" t="s">
        <v>45</v>
      </c>
      <c r="E415" s="5" t="s">
        <v>132</v>
      </c>
      <c r="F415" s="5" t="s">
        <v>43</v>
      </c>
      <c r="G415" s="5" t="s">
        <v>27</v>
      </c>
      <c r="H415" s="5">
        <v>30</v>
      </c>
      <c r="I415" s="5">
        <v>719</v>
      </c>
      <c r="J415" s="5">
        <v>1162</v>
      </c>
      <c r="K415" s="6">
        <f t="shared" si="24"/>
        <v>21570</v>
      </c>
      <c r="L415" s="6">
        <f t="shared" si="25"/>
        <v>34860</v>
      </c>
      <c r="M415" s="6">
        <f t="shared" si="26"/>
        <v>13290</v>
      </c>
      <c r="N415" s="6" t="str">
        <f t="shared" si="27"/>
        <v>profit</v>
      </c>
    </row>
    <row r="416" spans="1:14" ht="15.6" thickTop="1" thickBot="1" x14ac:dyDescent="0.35">
      <c r="A416" s="4">
        <v>45385</v>
      </c>
      <c r="B416" s="4" t="s">
        <v>30</v>
      </c>
      <c r="C416" s="5" t="s">
        <v>133</v>
      </c>
      <c r="D416" s="5" t="s">
        <v>45</v>
      </c>
      <c r="E416" s="5" t="s">
        <v>132</v>
      </c>
      <c r="F416" s="5" t="s">
        <v>24</v>
      </c>
      <c r="G416" s="5" t="s">
        <v>27</v>
      </c>
      <c r="H416" s="5">
        <v>25</v>
      </c>
      <c r="I416" s="5">
        <v>980</v>
      </c>
      <c r="J416" s="5">
        <v>926</v>
      </c>
      <c r="K416" s="6">
        <f t="shared" si="24"/>
        <v>24500</v>
      </c>
      <c r="L416" s="6">
        <f t="shared" si="25"/>
        <v>23150</v>
      </c>
      <c r="M416" s="6">
        <f t="shared" si="26"/>
        <v>-1350</v>
      </c>
      <c r="N416" s="6" t="str">
        <f t="shared" si="27"/>
        <v>loss</v>
      </c>
    </row>
    <row r="417" spans="1:14" ht="15.6" thickTop="1" thickBot="1" x14ac:dyDescent="0.35">
      <c r="A417" s="4">
        <v>45386</v>
      </c>
      <c r="B417" s="4" t="s">
        <v>30</v>
      </c>
      <c r="C417" s="5" t="s">
        <v>135</v>
      </c>
      <c r="D417" s="5" t="s">
        <v>45</v>
      </c>
      <c r="E417" s="5" t="s">
        <v>132</v>
      </c>
      <c r="F417" s="5" t="s">
        <v>63</v>
      </c>
      <c r="G417" s="5" t="s">
        <v>27</v>
      </c>
      <c r="H417" s="5">
        <v>22</v>
      </c>
      <c r="I417" s="5">
        <v>718</v>
      </c>
      <c r="J417" s="5">
        <v>1335</v>
      </c>
      <c r="K417" s="6">
        <f t="shared" si="24"/>
        <v>15796</v>
      </c>
      <c r="L417" s="6">
        <f t="shared" si="25"/>
        <v>29370</v>
      </c>
      <c r="M417" s="6">
        <f t="shared" si="26"/>
        <v>13574</v>
      </c>
      <c r="N417" s="6" t="str">
        <f t="shared" si="27"/>
        <v>profit</v>
      </c>
    </row>
    <row r="418" spans="1:14" ht="15.6" thickTop="1" thickBot="1" x14ac:dyDescent="0.35">
      <c r="A418" s="4">
        <v>45391</v>
      </c>
      <c r="B418" s="4" t="s">
        <v>30</v>
      </c>
      <c r="C418" s="5" t="s">
        <v>136</v>
      </c>
      <c r="D418" s="5" t="s">
        <v>45</v>
      </c>
      <c r="E418" s="5" t="s">
        <v>46</v>
      </c>
      <c r="F418" s="5" t="s">
        <v>59</v>
      </c>
      <c r="G418" s="5" t="s">
        <v>18</v>
      </c>
      <c r="H418" s="5">
        <v>30</v>
      </c>
      <c r="I418" s="5">
        <v>520</v>
      </c>
      <c r="J418" s="5">
        <v>1251</v>
      </c>
      <c r="K418" s="6">
        <f t="shared" si="24"/>
        <v>15600</v>
      </c>
      <c r="L418" s="6">
        <f t="shared" si="25"/>
        <v>37530</v>
      </c>
      <c r="M418" s="6">
        <f t="shared" si="26"/>
        <v>21930</v>
      </c>
      <c r="N418" s="6" t="str">
        <f t="shared" si="27"/>
        <v>profit</v>
      </c>
    </row>
    <row r="419" spans="1:14" ht="15.6" thickTop="1" thickBot="1" x14ac:dyDescent="0.35">
      <c r="A419" s="4">
        <v>45392</v>
      </c>
      <c r="B419" s="4" t="s">
        <v>30</v>
      </c>
      <c r="C419" s="5" t="s">
        <v>137</v>
      </c>
      <c r="D419" s="5" t="s">
        <v>45</v>
      </c>
      <c r="E419" s="5" t="s">
        <v>46</v>
      </c>
      <c r="F419" s="5" t="s">
        <v>34</v>
      </c>
      <c r="G419" s="5" t="s">
        <v>18</v>
      </c>
      <c r="H419" s="5">
        <v>26</v>
      </c>
      <c r="I419" s="5">
        <v>808</v>
      </c>
      <c r="J419" s="5">
        <v>1135</v>
      </c>
      <c r="K419" s="6">
        <f t="shared" si="24"/>
        <v>21008</v>
      </c>
      <c r="L419" s="6">
        <f t="shared" si="25"/>
        <v>29510</v>
      </c>
      <c r="M419" s="6">
        <f t="shared" si="26"/>
        <v>8502</v>
      </c>
      <c r="N419" s="6" t="str">
        <f t="shared" si="27"/>
        <v>profit</v>
      </c>
    </row>
    <row r="420" spans="1:14" ht="15.6" thickTop="1" thickBot="1" x14ac:dyDescent="0.35">
      <c r="A420" s="4">
        <v>45393</v>
      </c>
      <c r="B420" s="4" t="s">
        <v>30</v>
      </c>
      <c r="C420" s="5" t="s">
        <v>138</v>
      </c>
      <c r="D420" s="5" t="s">
        <v>45</v>
      </c>
      <c r="E420" s="5" t="s">
        <v>46</v>
      </c>
      <c r="F420" s="5" t="s">
        <v>38</v>
      </c>
      <c r="G420" s="5" t="s">
        <v>18</v>
      </c>
      <c r="H420" s="5">
        <v>23</v>
      </c>
      <c r="I420" s="5">
        <v>504</v>
      </c>
      <c r="J420" s="5">
        <v>1328</v>
      </c>
      <c r="K420" s="6">
        <f t="shared" si="24"/>
        <v>11592</v>
      </c>
      <c r="L420" s="6">
        <f t="shared" si="25"/>
        <v>30544</v>
      </c>
      <c r="M420" s="6">
        <f t="shared" si="26"/>
        <v>18952</v>
      </c>
      <c r="N420" s="6" t="str">
        <f t="shared" si="27"/>
        <v>profit</v>
      </c>
    </row>
    <row r="421" spans="1:14" ht="15.6" thickTop="1" thickBot="1" x14ac:dyDescent="0.35">
      <c r="A421" s="4">
        <v>45394</v>
      </c>
      <c r="B421" s="4" t="s">
        <v>30</v>
      </c>
      <c r="C421" s="5" t="s">
        <v>140</v>
      </c>
      <c r="D421" s="5" t="s">
        <v>45</v>
      </c>
      <c r="E421" s="5" t="s">
        <v>46</v>
      </c>
      <c r="F421" s="5" t="s">
        <v>38</v>
      </c>
      <c r="G421" s="5" t="s">
        <v>18</v>
      </c>
      <c r="H421" s="5">
        <v>28</v>
      </c>
      <c r="I421" s="5">
        <v>918</v>
      </c>
      <c r="J421" s="5">
        <v>808</v>
      </c>
      <c r="K421" s="6">
        <f t="shared" si="24"/>
        <v>25704</v>
      </c>
      <c r="L421" s="6">
        <f t="shared" si="25"/>
        <v>22624</v>
      </c>
      <c r="M421" s="6">
        <f t="shared" si="26"/>
        <v>-3080</v>
      </c>
      <c r="N421" s="6" t="str">
        <f t="shared" si="27"/>
        <v>loss</v>
      </c>
    </row>
    <row r="422" spans="1:14" ht="15.6" thickTop="1" thickBot="1" x14ac:dyDescent="0.35">
      <c r="A422" s="4">
        <v>45396</v>
      </c>
      <c r="B422" s="4" t="s">
        <v>30</v>
      </c>
      <c r="C422" s="5" t="s">
        <v>141</v>
      </c>
      <c r="D422" s="5" t="s">
        <v>45</v>
      </c>
      <c r="E422" s="5" t="s">
        <v>46</v>
      </c>
      <c r="F422" s="5" t="s">
        <v>26</v>
      </c>
      <c r="G422" s="5" t="s">
        <v>18</v>
      </c>
      <c r="H422" s="5">
        <v>27</v>
      </c>
      <c r="I422" s="5">
        <v>966</v>
      </c>
      <c r="J422" s="5">
        <v>850</v>
      </c>
      <c r="K422" s="6">
        <f t="shared" si="24"/>
        <v>26082</v>
      </c>
      <c r="L422" s="6">
        <f t="shared" si="25"/>
        <v>22950</v>
      </c>
      <c r="M422" s="6">
        <f t="shared" si="26"/>
        <v>-3132</v>
      </c>
      <c r="N422" s="6" t="str">
        <f t="shared" si="27"/>
        <v>loss</v>
      </c>
    </row>
    <row r="423" spans="1:14" ht="15.6" thickTop="1" thickBot="1" x14ac:dyDescent="0.35">
      <c r="A423" s="4">
        <v>45404</v>
      </c>
      <c r="B423" s="4" t="s">
        <v>30</v>
      </c>
      <c r="C423" s="5" t="s">
        <v>143</v>
      </c>
      <c r="D423" s="5" t="s">
        <v>45</v>
      </c>
      <c r="E423" s="5" t="s">
        <v>62</v>
      </c>
      <c r="F423" s="5" t="s">
        <v>38</v>
      </c>
      <c r="G423" s="5" t="s">
        <v>27</v>
      </c>
      <c r="H423" s="5">
        <v>20</v>
      </c>
      <c r="I423" s="5">
        <v>664</v>
      </c>
      <c r="J423" s="5">
        <v>924</v>
      </c>
      <c r="K423" s="6">
        <f t="shared" si="24"/>
        <v>13280</v>
      </c>
      <c r="L423" s="6">
        <f t="shared" si="25"/>
        <v>18480</v>
      </c>
      <c r="M423" s="6">
        <f t="shared" si="26"/>
        <v>5200</v>
      </c>
      <c r="N423" s="6" t="str">
        <f t="shared" si="27"/>
        <v>profit</v>
      </c>
    </row>
    <row r="424" spans="1:14" ht="15.6" thickTop="1" thickBot="1" x14ac:dyDescent="0.35">
      <c r="A424" s="4">
        <v>45406</v>
      </c>
      <c r="B424" s="4" t="s">
        <v>30</v>
      </c>
      <c r="C424" s="5" t="s">
        <v>145</v>
      </c>
      <c r="D424" s="5" t="s">
        <v>45</v>
      </c>
      <c r="E424" s="5" t="s">
        <v>62</v>
      </c>
      <c r="F424" s="5" t="s">
        <v>63</v>
      </c>
      <c r="G424" s="5" t="s">
        <v>27</v>
      </c>
      <c r="H424" s="5">
        <v>26</v>
      </c>
      <c r="I424" s="5">
        <v>608</v>
      </c>
      <c r="J424" s="5">
        <v>1125</v>
      </c>
      <c r="K424" s="6">
        <f t="shared" si="24"/>
        <v>15808</v>
      </c>
      <c r="L424" s="6">
        <f t="shared" si="25"/>
        <v>29250</v>
      </c>
      <c r="M424" s="6">
        <f t="shared" si="26"/>
        <v>13442</v>
      </c>
      <c r="N424" s="6" t="str">
        <f t="shared" si="27"/>
        <v>profit</v>
      </c>
    </row>
    <row r="425" spans="1:14" ht="15.6" thickTop="1" thickBot="1" x14ac:dyDescent="0.35">
      <c r="A425" s="4">
        <v>45475</v>
      </c>
      <c r="B425" s="4" t="s">
        <v>39</v>
      </c>
      <c r="C425" s="5" t="s">
        <v>115</v>
      </c>
      <c r="D425" s="5" t="s">
        <v>15</v>
      </c>
      <c r="E425" s="5" t="s">
        <v>36</v>
      </c>
      <c r="F425" s="5" t="s">
        <v>43</v>
      </c>
      <c r="G425" s="5" t="s">
        <v>18</v>
      </c>
      <c r="H425" s="5">
        <v>19</v>
      </c>
      <c r="I425" s="5">
        <v>860</v>
      </c>
      <c r="J425" s="5">
        <v>1234</v>
      </c>
      <c r="K425" s="6">
        <f t="shared" si="24"/>
        <v>16340</v>
      </c>
      <c r="L425" s="6">
        <f t="shared" si="25"/>
        <v>23446</v>
      </c>
      <c r="M425" s="6">
        <f t="shared" si="26"/>
        <v>7106</v>
      </c>
      <c r="N425" s="6" t="str">
        <f t="shared" si="27"/>
        <v>profit</v>
      </c>
    </row>
    <row r="426" spans="1:14" ht="15.6" thickTop="1" thickBot="1" x14ac:dyDescent="0.35">
      <c r="A426" s="4">
        <v>45408</v>
      </c>
      <c r="B426" s="4" t="s">
        <v>30</v>
      </c>
      <c r="C426" s="5" t="s">
        <v>147</v>
      </c>
      <c r="D426" s="5" t="s">
        <v>45</v>
      </c>
      <c r="E426" s="5" t="s">
        <v>62</v>
      </c>
      <c r="F426" s="5" t="s">
        <v>38</v>
      </c>
      <c r="G426" s="5" t="s">
        <v>18</v>
      </c>
      <c r="H426" s="5">
        <v>24</v>
      </c>
      <c r="I426" s="5">
        <v>826</v>
      </c>
      <c r="J426" s="5">
        <v>975</v>
      </c>
      <c r="K426" s="6">
        <f t="shared" si="24"/>
        <v>19824</v>
      </c>
      <c r="L426" s="6">
        <f t="shared" si="25"/>
        <v>23400</v>
      </c>
      <c r="M426" s="6">
        <f t="shared" si="26"/>
        <v>3576</v>
      </c>
      <c r="N426" s="6" t="str">
        <f t="shared" si="27"/>
        <v>profit</v>
      </c>
    </row>
    <row r="427" spans="1:14" ht="15.6" thickTop="1" thickBot="1" x14ac:dyDescent="0.35">
      <c r="A427" s="4">
        <v>45409</v>
      </c>
      <c r="B427" s="4" t="s">
        <v>30</v>
      </c>
      <c r="C427" s="5" t="s">
        <v>148</v>
      </c>
      <c r="D427" s="5" t="s">
        <v>45</v>
      </c>
      <c r="E427" s="5" t="s">
        <v>62</v>
      </c>
      <c r="F427" s="5" t="s">
        <v>29</v>
      </c>
      <c r="G427" s="5" t="s">
        <v>18</v>
      </c>
      <c r="H427" s="5">
        <v>24</v>
      </c>
      <c r="I427" s="5">
        <v>877</v>
      </c>
      <c r="J427" s="5">
        <v>762</v>
      </c>
      <c r="K427" s="6">
        <f t="shared" si="24"/>
        <v>21048</v>
      </c>
      <c r="L427" s="6">
        <f t="shared" si="25"/>
        <v>18288</v>
      </c>
      <c r="M427" s="6">
        <f t="shared" si="26"/>
        <v>-2760</v>
      </c>
      <c r="N427" s="6" t="str">
        <f t="shared" si="27"/>
        <v>loss</v>
      </c>
    </row>
    <row r="428" spans="1:14" ht="15.6" thickTop="1" thickBot="1" x14ac:dyDescent="0.35">
      <c r="A428" s="4">
        <v>45410</v>
      </c>
      <c r="B428" s="4" t="s">
        <v>30</v>
      </c>
      <c r="C428" s="5" t="s">
        <v>149</v>
      </c>
      <c r="D428" s="5" t="s">
        <v>45</v>
      </c>
      <c r="E428" s="5" t="s">
        <v>62</v>
      </c>
      <c r="F428" s="5" t="s">
        <v>112</v>
      </c>
      <c r="G428" s="5" t="s">
        <v>18</v>
      </c>
      <c r="H428" s="5">
        <v>23</v>
      </c>
      <c r="I428" s="5">
        <v>736</v>
      </c>
      <c r="J428" s="5">
        <v>872</v>
      </c>
      <c r="K428" s="6">
        <f t="shared" si="24"/>
        <v>16928</v>
      </c>
      <c r="L428" s="6">
        <f t="shared" si="25"/>
        <v>20056</v>
      </c>
      <c r="M428" s="6">
        <f t="shared" si="26"/>
        <v>3128</v>
      </c>
      <c r="N428" s="6" t="str">
        <f t="shared" si="27"/>
        <v>profit</v>
      </c>
    </row>
    <row r="429" spans="1:14" ht="15.6" thickTop="1" thickBot="1" x14ac:dyDescent="0.35">
      <c r="A429" s="4">
        <v>45411</v>
      </c>
      <c r="B429" s="4" t="s">
        <v>30</v>
      </c>
      <c r="C429" s="5" t="s">
        <v>150</v>
      </c>
      <c r="D429" s="5" t="s">
        <v>45</v>
      </c>
      <c r="E429" s="5" t="s">
        <v>62</v>
      </c>
      <c r="F429" s="5" t="s">
        <v>43</v>
      </c>
      <c r="G429" s="5" t="s">
        <v>18</v>
      </c>
      <c r="H429" s="5">
        <v>27</v>
      </c>
      <c r="I429" s="5">
        <v>828</v>
      </c>
      <c r="J429" s="5">
        <v>1008</v>
      </c>
      <c r="K429" s="6">
        <f t="shared" si="24"/>
        <v>22356</v>
      </c>
      <c r="L429" s="6">
        <f t="shared" si="25"/>
        <v>27216</v>
      </c>
      <c r="M429" s="6">
        <f t="shared" si="26"/>
        <v>4860</v>
      </c>
      <c r="N429" s="6" t="str">
        <f t="shared" si="27"/>
        <v>profit</v>
      </c>
    </row>
    <row r="430" spans="1:14" ht="15.6" thickTop="1" thickBot="1" x14ac:dyDescent="0.35">
      <c r="A430" s="4">
        <v>45412</v>
      </c>
      <c r="B430" s="4" t="s">
        <v>30</v>
      </c>
      <c r="C430" s="5" t="s">
        <v>151</v>
      </c>
      <c r="D430" s="5" t="s">
        <v>45</v>
      </c>
      <c r="E430" s="5" t="s">
        <v>62</v>
      </c>
      <c r="F430" s="5" t="s">
        <v>152</v>
      </c>
      <c r="G430" s="5" t="s">
        <v>18</v>
      </c>
      <c r="H430" s="5">
        <v>28</v>
      </c>
      <c r="I430" s="5">
        <v>901</v>
      </c>
      <c r="J430" s="5">
        <v>1260</v>
      </c>
      <c r="K430" s="6">
        <f t="shared" si="24"/>
        <v>25228</v>
      </c>
      <c r="L430" s="6">
        <f t="shared" si="25"/>
        <v>35280</v>
      </c>
      <c r="M430" s="6">
        <f t="shared" si="26"/>
        <v>10052</v>
      </c>
      <c r="N430" s="6" t="str">
        <f t="shared" si="27"/>
        <v>profit</v>
      </c>
    </row>
    <row r="431" spans="1:14" ht="15.6" thickTop="1" thickBot="1" x14ac:dyDescent="0.35">
      <c r="A431" s="4">
        <v>45413</v>
      </c>
      <c r="B431" s="4" t="s">
        <v>96</v>
      </c>
      <c r="C431" s="5" t="s">
        <v>153</v>
      </c>
      <c r="D431" s="5" t="s">
        <v>45</v>
      </c>
      <c r="E431" s="5" t="s">
        <v>62</v>
      </c>
      <c r="F431" s="5" t="s">
        <v>154</v>
      </c>
      <c r="G431" s="5" t="s">
        <v>18</v>
      </c>
      <c r="H431" s="5">
        <v>28</v>
      </c>
      <c r="I431" s="5">
        <v>796</v>
      </c>
      <c r="J431" s="5">
        <v>1407</v>
      </c>
      <c r="K431" s="6">
        <f t="shared" si="24"/>
        <v>22288</v>
      </c>
      <c r="L431" s="6">
        <f t="shared" si="25"/>
        <v>39396</v>
      </c>
      <c r="M431" s="6">
        <f t="shared" si="26"/>
        <v>17108</v>
      </c>
      <c r="N431" s="6" t="str">
        <f t="shared" si="27"/>
        <v>profit</v>
      </c>
    </row>
    <row r="432" spans="1:14" ht="15.6" thickTop="1" thickBot="1" x14ac:dyDescent="0.35">
      <c r="A432" s="4">
        <v>45414</v>
      </c>
      <c r="B432" s="4" t="s">
        <v>96</v>
      </c>
      <c r="C432" s="5" t="s">
        <v>155</v>
      </c>
      <c r="D432" s="5" t="s">
        <v>45</v>
      </c>
      <c r="E432" s="5" t="s">
        <v>62</v>
      </c>
      <c r="F432" s="5" t="s">
        <v>17</v>
      </c>
      <c r="G432" s="5" t="s">
        <v>27</v>
      </c>
      <c r="H432" s="5">
        <v>27</v>
      </c>
      <c r="I432" s="5">
        <v>794</v>
      </c>
      <c r="J432" s="5">
        <v>905</v>
      </c>
      <c r="K432" s="6">
        <f t="shared" si="24"/>
        <v>21438</v>
      </c>
      <c r="L432" s="6">
        <f t="shared" si="25"/>
        <v>24435</v>
      </c>
      <c r="M432" s="6">
        <f t="shared" si="26"/>
        <v>2997</v>
      </c>
      <c r="N432" s="6" t="str">
        <f t="shared" si="27"/>
        <v>profit</v>
      </c>
    </row>
    <row r="433" spans="1:14" ht="15.6" thickTop="1" thickBot="1" x14ac:dyDescent="0.35">
      <c r="A433" s="4">
        <v>45415</v>
      </c>
      <c r="B433" s="4" t="s">
        <v>96</v>
      </c>
      <c r="C433" s="5" t="s">
        <v>156</v>
      </c>
      <c r="D433" s="5" t="s">
        <v>45</v>
      </c>
      <c r="E433" s="5" t="s">
        <v>62</v>
      </c>
      <c r="F433" s="5" t="s">
        <v>20</v>
      </c>
      <c r="G433" s="5" t="s">
        <v>27</v>
      </c>
      <c r="H433" s="5">
        <v>20</v>
      </c>
      <c r="I433" s="5">
        <v>812</v>
      </c>
      <c r="J433" s="5">
        <v>1248</v>
      </c>
      <c r="K433" s="6">
        <f t="shared" si="24"/>
        <v>16240</v>
      </c>
      <c r="L433" s="6">
        <f t="shared" si="25"/>
        <v>24960</v>
      </c>
      <c r="M433" s="6">
        <f t="shared" si="26"/>
        <v>8720</v>
      </c>
      <c r="N433" s="6" t="str">
        <f t="shared" si="27"/>
        <v>profit</v>
      </c>
    </row>
    <row r="434" spans="1:14" ht="15.6" thickTop="1" thickBot="1" x14ac:dyDescent="0.35">
      <c r="A434" s="4">
        <v>45416</v>
      </c>
      <c r="B434" s="4" t="s">
        <v>96</v>
      </c>
      <c r="C434" s="5" t="s">
        <v>157</v>
      </c>
      <c r="D434" s="5" t="s">
        <v>45</v>
      </c>
      <c r="E434" s="5" t="s">
        <v>62</v>
      </c>
      <c r="F434" s="5" t="s">
        <v>22</v>
      </c>
      <c r="G434" s="5" t="s">
        <v>27</v>
      </c>
      <c r="H434" s="5">
        <v>20</v>
      </c>
      <c r="I434" s="5">
        <v>908</v>
      </c>
      <c r="J434" s="5">
        <v>1130</v>
      </c>
      <c r="K434" s="6">
        <f t="shared" si="24"/>
        <v>18160</v>
      </c>
      <c r="L434" s="6">
        <f t="shared" si="25"/>
        <v>22600</v>
      </c>
      <c r="M434" s="6">
        <f t="shared" si="26"/>
        <v>4440</v>
      </c>
      <c r="N434" s="6" t="str">
        <f t="shared" si="27"/>
        <v>profit</v>
      </c>
    </row>
    <row r="435" spans="1:14" ht="15.6" thickTop="1" thickBot="1" x14ac:dyDescent="0.35">
      <c r="A435" s="4">
        <v>45417</v>
      </c>
      <c r="B435" s="4" t="s">
        <v>96</v>
      </c>
      <c r="C435" s="5" t="s">
        <v>158</v>
      </c>
      <c r="D435" s="5" t="s">
        <v>45</v>
      </c>
      <c r="E435" s="5" t="s">
        <v>62</v>
      </c>
      <c r="F435" s="5" t="s">
        <v>24</v>
      </c>
      <c r="G435" s="5" t="s">
        <v>27</v>
      </c>
      <c r="H435" s="5">
        <v>23</v>
      </c>
      <c r="I435" s="5">
        <v>846</v>
      </c>
      <c r="J435" s="5">
        <v>1143</v>
      </c>
      <c r="K435" s="6">
        <f t="shared" si="24"/>
        <v>19458</v>
      </c>
      <c r="L435" s="6">
        <f t="shared" si="25"/>
        <v>26289</v>
      </c>
      <c r="M435" s="6">
        <f t="shared" si="26"/>
        <v>6831</v>
      </c>
      <c r="N435" s="6" t="str">
        <f t="shared" si="27"/>
        <v>profit</v>
      </c>
    </row>
    <row r="436" spans="1:14" ht="15.6" thickTop="1" thickBot="1" x14ac:dyDescent="0.35">
      <c r="A436" s="4">
        <v>45418</v>
      </c>
      <c r="B436" s="4" t="s">
        <v>96</v>
      </c>
      <c r="C436" s="5" t="s">
        <v>159</v>
      </c>
      <c r="D436" s="5" t="s">
        <v>45</v>
      </c>
      <c r="E436" s="5" t="s">
        <v>62</v>
      </c>
      <c r="F436" s="5" t="s">
        <v>24</v>
      </c>
      <c r="G436" s="5" t="s">
        <v>18</v>
      </c>
      <c r="H436" s="5">
        <v>25</v>
      </c>
      <c r="I436" s="5">
        <v>627</v>
      </c>
      <c r="J436" s="5">
        <v>1071</v>
      </c>
      <c r="K436" s="6">
        <f t="shared" si="24"/>
        <v>15675</v>
      </c>
      <c r="L436" s="6">
        <f t="shared" si="25"/>
        <v>26775</v>
      </c>
      <c r="M436" s="6">
        <f t="shared" si="26"/>
        <v>11100</v>
      </c>
      <c r="N436" s="6" t="str">
        <f t="shared" si="27"/>
        <v>profit</v>
      </c>
    </row>
    <row r="437" spans="1:14" ht="15.6" thickTop="1" thickBot="1" x14ac:dyDescent="0.35">
      <c r="A437" s="4">
        <v>45419</v>
      </c>
      <c r="B437" s="4" t="s">
        <v>96</v>
      </c>
      <c r="C437" s="5" t="s">
        <v>163</v>
      </c>
      <c r="D437" s="5" t="s">
        <v>45</v>
      </c>
      <c r="E437" s="5" t="s">
        <v>117</v>
      </c>
      <c r="F437" s="5" t="s">
        <v>26</v>
      </c>
      <c r="G437" s="5" t="s">
        <v>18</v>
      </c>
      <c r="H437" s="5">
        <v>27</v>
      </c>
      <c r="I437" s="5">
        <v>817</v>
      </c>
      <c r="J437" s="5">
        <v>977</v>
      </c>
      <c r="K437" s="6">
        <f t="shared" si="24"/>
        <v>22059</v>
      </c>
      <c r="L437" s="6">
        <f t="shared" si="25"/>
        <v>26379</v>
      </c>
      <c r="M437" s="6">
        <f t="shared" si="26"/>
        <v>4320</v>
      </c>
      <c r="N437" s="6" t="str">
        <f t="shared" si="27"/>
        <v>profit</v>
      </c>
    </row>
    <row r="438" spans="1:14" ht="15.6" thickTop="1" thickBot="1" x14ac:dyDescent="0.35">
      <c r="A438" s="4">
        <v>45488</v>
      </c>
      <c r="B438" s="4" t="s">
        <v>39</v>
      </c>
      <c r="C438" s="5" t="s">
        <v>116</v>
      </c>
      <c r="D438" s="5" t="s">
        <v>45</v>
      </c>
      <c r="E438" s="5" t="s">
        <v>117</v>
      </c>
      <c r="F438" s="5" t="s">
        <v>38</v>
      </c>
      <c r="G438" s="5" t="s">
        <v>18</v>
      </c>
      <c r="H438" s="5">
        <v>29</v>
      </c>
      <c r="I438" s="5">
        <v>929</v>
      </c>
      <c r="J438" s="5">
        <v>1429</v>
      </c>
      <c r="K438" s="6">
        <f t="shared" si="24"/>
        <v>26941</v>
      </c>
      <c r="L438" s="6">
        <f t="shared" si="25"/>
        <v>41441</v>
      </c>
      <c r="M438" s="6">
        <f t="shared" si="26"/>
        <v>14500</v>
      </c>
      <c r="N438" s="6" t="str">
        <f t="shared" si="27"/>
        <v>profit</v>
      </c>
    </row>
    <row r="439" spans="1:14" ht="15.6" thickTop="1" thickBot="1" x14ac:dyDescent="0.35">
      <c r="A439" s="4">
        <v>45420</v>
      </c>
      <c r="B439" s="4" t="s">
        <v>96</v>
      </c>
      <c r="C439" s="5" t="s">
        <v>164</v>
      </c>
      <c r="D439" s="5" t="s">
        <v>45</v>
      </c>
      <c r="E439" s="5" t="s">
        <v>117</v>
      </c>
      <c r="F439" s="5" t="s">
        <v>29</v>
      </c>
      <c r="G439" s="5" t="s">
        <v>18</v>
      </c>
      <c r="H439" s="5">
        <v>27</v>
      </c>
      <c r="I439" s="5">
        <v>675</v>
      </c>
      <c r="J439" s="5">
        <v>1138</v>
      </c>
      <c r="K439" s="6">
        <f t="shared" si="24"/>
        <v>18225</v>
      </c>
      <c r="L439" s="6">
        <f t="shared" si="25"/>
        <v>30726</v>
      </c>
      <c r="M439" s="6">
        <f t="shared" si="26"/>
        <v>12501</v>
      </c>
      <c r="N439" s="6" t="str">
        <f t="shared" si="27"/>
        <v>profit</v>
      </c>
    </row>
    <row r="440" spans="1:14" ht="15.6" thickTop="1" thickBot="1" x14ac:dyDescent="0.35">
      <c r="A440" s="4">
        <v>45421</v>
      </c>
      <c r="B440" s="4" t="s">
        <v>96</v>
      </c>
      <c r="C440" s="5" t="s">
        <v>166</v>
      </c>
      <c r="D440" s="5" t="s">
        <v>45</v>
      </c>
      <c r="E440" s="5" t="s">
        <v>117</v>
      </c>
      <c r="F440" s="5" t="s">
        <v>24</v>
      </c>
      <c r="G440" s="5" t="s">
        <v>18</v>
      </c>
      <c r="H440" s="5">
        <v>22</v>
      </c>
      <c r="I440" s="5">
        <v>695</v>
      </c>
      <c r="J440" s="5">
        <v>830</v>
      </c>
      <c r="K440" s="6">
        <f t="shared" si="24"/>
        <v>15290</v>
      </c>
      <c r="L440" s="6">
        <f t="shared" si="25"/>
        <v>18260</v>
      </c>
      <c r="M440" s="6">
        <f t="shared" si="26"/>
        <v>2970</v>
      </c>
      <c r="N440" s="6" t="str">
        <f t="shared" si="27"/>
        <v>profit</v>
      </c>
    </row>
    <row r="441" spans="1:14" ht="15.6" thickTop="1" thickBot="1" x14ac:dyDescent="0.35">
      <c r="A441" s="4">
        <v>45422</v>
      </c>
      <c r="B441" s="4" t="s">
        <v>96</v>
      </c>
      <c r="C441" s="5" t="s">
        <v>167</v>
      </c>
      <c r="D441" s="5" t="s">
        <v>45</v>
      </c>
      <c r="E441" s="5" t="s">
        <v>117</v>
      </c>
      <c r="F441" s="5" t="s">
        <v>75</v>
      </c>
      <c r="G441" s="5" t="s">
        <v>18</v>
      </c>
      <c r="H441" s="5">
        <v>21</v>
      </c>
      <c r="I441" s="5">
        <v>781</v>
      </c>
      <c r="J441" s="5">
        <v>816</v>
      </c>
      <c r="K441" s="6">
        <f t="shared" si="24"/>
        <v>16401</v>
      </c>
      <c r="L441" s="6">
        <f t="shared" si="25"/>
        <v>17136</v>
      </c>
      <c r="M441" s="6">
        <f t="shared" si="26"/>
        <v>735</v>
      </c>
      <c r="N441" s="6" t="str">
        <f t="shared" si="27"/>
        <v>profit</v>
      </c>
    </row>
    <row r="442" spans="1:14" ht="15.6" thickTop="1" thickBot="1" x14ac:dyDescent="0.35">
      <c r="A442" s="4">
        <v>45423</v>
      </c>
      <c r="B442" s="4" t="s">
        <v>96</v>
      </c>
      <c r="C442" s="5" t="s">
        <v>168</v>
      </c>
      <c r="D442" s="5" t="s">
        <v>45</v>
      </c>
      <c r="E442" s="5" t="s">
        <v>117</v>
      </c>
      <c r="F442" s="5" t="s">
        <v>70</v>
      </c>
      <c r="G442" s="5" t="s">
        <v>18</v>
      </c>
      <c r="H442" s="5">
        <v>25</v>
      </c>
      <c r="I442" s="5">
        <v>517</v>
      </c>
      <c r="J442" s="5">
        <v>939</v>
      </c>
      <c r="K442" s="6">
        <f t="shared" si="24"/>
        <v>12925</v>
      </c>
      <c r="L442" s="6">
        <f t="shared" si="25"/>
        <v>23475</v>
      </c>
      <c r="M442" s="6">
        <f t="shared" si="26"/>
        <v>10550</v>
      </c>
      <c r="N442" s="6" t="str">
        <f t="shared" si="27"/>
        <v>profit</v>
      </c>
    </row>
    <row r="443" spans="1:14" ht="15.6" thickTop="1" thickBot="1" x14ac:dyDescent="0.35">
      <c r="A443" s="4">
        <v>45424</v>
      </c>
      <c r="B443" s="4" t="s">
        <v>96</v>
      </c>
      <c r="C443" s="5" t="s">
        <v>169</v>
      </c>
      <c r="D443" s="5" t="s">
        <v>45</v>
      </c>
      <c r="E443" s="5" t="s">
        <v>117</v>
      </c>
      <c r="F443" s="5" t="s">
        <v>43</v>
      </c>
      <c r="G443" s="5" t="s">
        <v>18</v>
      </c>
      <c r="H443" s="5">
        <v>24</v>
      </c>
      <c r="I443" s="5">
        <v>730</v>
      </c>
      <c r="J443" s="5">
        <v>886</v>
      </c>
      <c r="K443" s="6">
        <f t="shared" si="24"/>
        <v>17520</v>
      </c>
      <c r="L443" s="6">
        <f t="shared" si="25"/>
        <v>21264</v>
      </c>
      <c r="M443" s="6">
        <f t="shared" si="26"/>
        <v>3744</v>
      </c>
      <c r="N443" s="6" t="str">
        <f t="shared" si="27"/>
        <v>profit</v>
      </c>
    </row>
    <row r="444" spans="1:14" ht="15.6" thickTop="1" thickBot="1" x14ac:dyDescent="0.35">
      <c r="A444" s="4">
        <v>45425</v>
      </c>
      <c r="B444" s="4" t="s">
        <v>96</v>
      </c>
      <c r="C444" s="5" t="s">
        <v>171</v>
      </c>
      <c r="D444" s="5" t="s">
        <v>45</v>
      </c>
      <c r="E444" s="5" t="s">
        <v>117</v>
      </c>
      <c r="F444" s="5" t="s">
        <v>24</v>
      </c>
      <c r="G444" s="5" t="s">
        <v>18</v>
      </c>
      <c r="H444" s="5">
        <v>23</v>
      </c>
      <c r="I444" s="5">
        <v>811</v>
      </c>
      <c r="J444" s="5">
        <v>1142</v>
      </c>
      <c r="K444" s="6">
        <f t="shared" si="24"/>
        <v>18653</v>
      </c>
      <c r="L444" s="6">
        <f t="shared" si="25"/>
        <v>26266</v>
      </c>
      <c r="M444" s="6">
        <f t="shared" si="26"/>
        <v>7613</v>
      </c>
      <c r="N444" s="6" t="str">
        <f t="shared" si="27"/>
        <v>profit</v>
      </c>
    </row>
    <row r="445" spans="1:14" ht="15.6" thickTop="1" thickBot="1" x14ac:dyDescent="0.35">
      <c r="A445" s="4">
        <v>45426</v>
      </c>
      <c r="B445" s="4" t="s">
        <v>96</v>
      </c>
      <c r="C445" s="5" t="s">
        <v>172</v>
      </c>
      <c r="D445" s="5" t="s">
        <v>45</v>
      </c>
      <c r="E445" s="5" t="s">
        <v>117</v>
      </c>
      <c r="F445" s="5" t="s">
        <v>63</v>
      </c>
      <c r="G445" s="5" t="s">
        <v>18</v>
      </c>
      <c r="H445" s="5">
        <v>21</v>
      </c>
      <c r="I445" s="5">
        <v>967</v>
      </c>
      <c r="J445" s="5">
        <v>888</v>
      </c>
      <c r="K445" s="6">
        <f t="shared" si="24"/>
        <v>20307</v>
      </c>
      <c r="L445" s="6">
        <f t="shared" si="25"/>
        <v>18648</v>
      </c>
      <c r="M445" s="6">
        <f t="shared" si="26"/>
        <v>-1659</v>
      </c>
      <c r="N445" s="6" t="str">
        <f t="shared" si="27"/>
        <v>loss</v>
      </c>
    </row>
    <row r="446" spans="1:14" ht="15.6" thickTop="1" thickBot="1" x14ac:dyDescent="0.35">
      <c r="A446" s="4">
        <v>45427</v>
      </c>
      <c r="B446" s="4" t="s">
        <v>96</v>
      </c>
      <c r="C446" s="5" t="s">
        <v>173</v>
      </c>
      <c r="D446" s="5" t="s">
        <v>45</v>
      </c>
      <c r="E446" s="5" t="s">
        <v>117</v>
      </c>
      <c r="F446" s="5" t="s">
        <v>75</v>
      </c>
      <c r="G446" s="5" t="s">
        <v>18</v>
      </c>
      <c r="H446" s="5">
        <v>29</v>
      </c>
      <c r="I446" s="5">
        <v>655</v>
      </c>
      <c r="J446" s="5">
        <v>950</v>
      </c>
      <c r="K446" s="6">
        <f t="shared" si="24"/>
        <v>18995</v>
      </c>
      <c r="L446" s="6">
        <f t="shared" si="25"/>
        <v>27550</v>
      </c>
      <c r="M446" s="6">
        <f t="shared" si="26"/>
        <v>8555</v>
      </c>
      <c r="N446" s="6" t="str">
        <f t="shared" si="27"/>
        <v>profit</v>
      </c>
    </row>
    <row r="447" spans="1:14" ht="15.6" thickTop="1" thickBot="1" x14ac:dyDescent="0.35">
      <c r="A447" s="4">
        <v>45428</v>
      </c>
      <c r="B447" s="4" t="s">
        <v>96</v>
      </c>
      <c r="C447" s="5" t="s">
        <v>175</v>
      </c>
      <c r="D447" s="5" t="s">
        <v>45</v>
      </c>
      <c r="E447" s="5" t="s">
        <v>117</v>
      </c>
      <c r="F447" s="5" t="s">
        <v>77</v>
      </c>
      <c r="G447" s="5" t="s">
        <v>27</v>
      </c>
      <c r="H447" s="5">
        <v>30</v>
      </c>
      <c r="I447" s="5">
        <v>616</v>
      </c>
      <c r="J447" s="5">
        <v>804</v>
      </c>
      <c r="K447" s="6">
        <f t="shared" si="24"/>
        <v>18480</v>
      </c>
      <c r="L447" s="6">
        <f t="shared" si="25"/>
        <v>24120</v>
      </c>
      <c r="M447" s="6">
        <f t="shared" si="26"/>
        <v>5640</v>
      </c>
      <c r="N447" s="6" t="str">
        <f t="shared" si="27"/>
        <v>profit</v>
      </c>
    </row>
    <row r="448" spans="1:14" ht="15.6" thickTop="1" thickBot="1" x14ac:dyDescent="0.35">
      <c r="A448" s="4">
        <v>45429</v>
      </c>
      <c r="B448" s="4" t="s">
        <v>96</v>
      </c>
      <c r="C448" s="5" t="s">
        <v>177</v>
      </c>
      <c r="D448" s="5" t="s">
        <v>45</v>
      </c>
      <c r="E448" s="5" t="s">
        <v>117</v>
      </c>
      <c r="F448" s="5" t="s">
        <v>34</v>
      </c>
      <c r="G448" s="5" t="s">
        <v>27</v>
      </c>
      <c r="H448" s="5">
        <v>30</v>
      </c>
      <c r="I448" s="5">
        <v>709</v>
      </c>
      <c r="J448" s="5">
        <v>1209</v>
      </c>
      <c r="K448" s="6">
        <f t="shared" si="24"/>
        <v>21270</v>
      </c>
      <c r="L448" s="6">
        <f t="shared" si="25"/>
        <v>36270</v>
      </c>
      <c r="M448" s="6">
        <f t="shared" si="26"/>
        <v>15000</v>
      </c>
      <c r="N448" s="6" t="str">
        <f t="shared" si="27"/>
        <v>profit</v>
      </c>
    </row>
    <row r="449" spans="1:14" ht="15.6" thickTop="1" thickBot="1" x14ac:dyDescent="0.35">
      <c r="A449" s="4">
        <v>45430</v>
      </c>
      <c r="B449" s="4" t="s">
        <v>96</v>
      </c>
      <c r="C449" s="5" t="s">
        <v>178</v>
      </c>
      <c r="D449" s="5" t="s">
        <v>45</v>
      </c>
      <c r="E449" s="5" t="s">
        <v>117</v>
      </c>
      <c r="F449" s="5" t="s">
        <v>43</v>
      </c>
      <c r="G449" s="5" t="s">
        <v>27</v>
      </c>
      <c r="H449" s="5">
        <v>23</v>
      </c>
      <c r="I449" s="5">
        <v>875</v>
      </c>
      <c r="J449" s="5">
        <v>843</v>
      </c>
      <c r="K449" s="6">
        <f t="shared" si="24"/>
        <v>20125</v>
      </c>
      <c r="L449" s="6">
        <f t="shared" si="25"/>
        <v>19389</v>
      </c>
      <c r="M449" s="6">
        <f t="shared" si="26"/>
        <v>-736</v>
      </c>
      <c r="N449" s="6" t="str">
        <f t="shared" si="27"/>
        <v>loss</v>
      </c>
    </row>
    <row r="450" spans="1:14" ht="15.6" thickTop="1" thickBot="1" x14ac:dyDescent="0.35">
      <c r="A450" s="4">
        <v>45484</v>
      </c>
      <c r="B450" s="4" t="s">
        <v>39</v>
      </c>
      <c r="C450" s="5" t="s">
        <v>179</v>
      </c>
      <c r="D450" s="5" t="s">
        <v>45</v>
      </c>
      <c r="E450" s="5" t="s">
        <v>117</v>
      </c>
      <c r="F450" s="5" t="s">
        <v>38</v>
      </c>
      <c r="G450" s="5" t="s">
        <v>27</v>
      </c>
      <c r="H450" s="5">
        <v>26</v>
      </c>
      <c r="I450" s="5">
        <v>766</v>
      </c>
      <c r="J450" s="5">
        <v>836</v>
      </c>
      <c r="K450" s="6">
        <f t="shared" ref="K450:K513" si="28">H450*I450</f>
        <v>19916</v>
      </c>
      <c r="L450" s="6">
        <f t="shared" ref="L450:L513" si="29">H450*J450</f>
        <v>21736</v>
      </c>
      <c r="M450" s="6">
        <f t="shared" ref="M450:M513" si="30">L450-K450</f>
        <v>1820</v>
      </c>
      <c r="N450" s="6" t="str">
        <f t="shared" ref="N450:N513" si="31">IF(M450&gt;0,"profit","loss")</f>
        <v>profit</v>
      </c>
    </row>
    <row r="451" spans="1:14" ht="15.6" thickTop="1" thickBot="1" x14ac:dyDescent="0.35">
      <c r="A451" s="4">
        <v>45485</v>
      </c>
      <c r="B451" s="4" t="s">
        <v>39</v>
      </c>
      <c r="C451" s="5" t="s">
        <v>180</v>
      </c>
      <c r="D451" s="5" t="s">
        <v>45</v>
      </c>
      <c r="E451" s="5" t="s">
        <v>117</v>
      </c>
      <c r="F451" s="5" t="s">
        <v>63</v>
      </c>
      <c r="G451" s="5" t="s">
        <v>27</v>
      </c>
      <c r="H451" s="5">
        <v>23</v>
      </c>
      <c r="I451" s="5">
        <v>589</v>
      </c>
      <c r="J451" s="5">
        <v>982</v>
      </c>
      <c r="K451" s="6">
        <f t="shared" si="28"/>
        <v>13547</v>
      </c>
      <c r="L451" s="6">
        <f t="shared" si="29"/>
        <v>22586</v>
      </c>
      <c r="M451" s="6">
        <f t="shared" si="30"/>
        <v>9039</v>
      </c>
      <c r="N451" s="6" t="str">
        <f t="shared" si="31"/>
        <v>profit</v>
      </c>
    </row>
    <row r="452" spans="1:14" ht="15.6" thickTop="1" thickBot="1" x14ac:dyDescent="0.35">
      <c r="A452" s="4">
        <v>45486</v>
      </c>
      <c r="B452" s="4" t="s">
        <v>39</v>
      </c>
      <c r="C452" s="5" t="s">
        <v>181</v>
      </c>
      <c r="D452" s="5" t="s">
        <v>45</v>
      </c>
      <c r="E452" s="5" t="s">
        <v>117</v>
      </c>
      <c r="F452" s="5" t="s">
        <v>63</v>
      </c>
      <c r="G452" s="5" t="s">
        <v>27</v>
      </c>
      <c r="H452" s="5">
        <v>24</v>
      </c>
      <c r="I452" s="5">
        <v>718</v>
      </c>
      <c r="J452" s="5">
        <v>1218</v>
      </c>
      <c r="K452" s="6">
        <f t="shared" si="28"/>
        <v>17232</v>
      </c>
      <c r="L452" s="6">
        <f t="shared" si="29"/>
        <v>29232</v>
      </c>
      <c r="M452" s="6">
        <f t="shared" si="30"/>
        <v>12000</v>
      </c>
      <c r="N452" s="6" t="str">
        <f t="shared" si="31"/>
        <v>profit</v>
      </c>
    </row>
    <row r="453" spans="1:14" ht="15.6" thickTop="1" thickBot="1" x14ac:dyDescent="0.35">
      <c r="A453" s="4">
        <v>45487</v>
      </c>
      <c r="B453" s="4" t="s">
        <v>39</v>
      </c>
      <c r="C453" s="5" t="s">
        <v>182</v>
      </c>
      <c r="D453" s="5" t="s">
        <v>45</v>
      </c>
      <c r="E453" s="5" t="s">
        <v>117</v>
      </c>
      <c r="F453" s="5" t="s">
        <v>59</v>
      </c>
      <c r="G453" s="5" t="s">
        <v>27</v>
      </c>
      <c r="H453" s="5">
        <v>22</v>
      </c>
      <c r="I453" s="5">
        <v>877</v>
      </c>
      <c r="J453" s="5">
        <v>1120</v>
      </c>
      <c r="K453" s="6">
        <f t="shared" si="28"/>
        <v>19294</v>
      </c>
      <c r="L453" s="6">
        <f t="shared" si="29"/>
        <v>24640</v>
      </c>
      <c r="M453" s="6">
        <f t="shared" si="30"/>
        <v>5346</v>
      </c>
      <c r="N453" s="6" t="str">
        <f t="shared" si="31"/>
        <v>profit</v>
      </c>
    </row>
    <row r="454" spans="1:14" ht="15.6" thickTop="1" thickBot="1" x14ac:dyDescent="0.35">
      <c r="A454" s="4">
        <v>45489</v>
      </c>
      <c r="B454" s="4" t="s">
        <v>39</v>
      </c>
      <c r="C454" s="5" t="s">
        <v>183</v>
      </c>
      <c r="D454" s="5" t="s">
        <v>45</v>
      </c>
      <c r="E454" s="5" t="s">
        <v>117</v>
      </c>
      <c r="F454" s="5" t="s">
        <v>29</v>
      </c>
      <c r="G454" s="5" t="s">
        <v>18</v>
      </c>
      <c r="H454" s="5">
        <v>23</v>
      </c>
      <c r="I454" s="5">
        <v>641</v>
      </c>
      <c r="J454" s="5">
        <v>1445</v>
      </c>
      <c r="K454" s="6">
        <f t="shared" si="28"/>
        <v>14743</v>
      </c>
      <c r="L454" s="6">
        <f t="shared" si="29"/>
        <v>33235</v>
      </c>
      <c r="M454" s="6">
        <f t="shared" si="30"/>
        <v>18492</v>
      </c>
      <c r="N454" s="6" t="str">
        <f t="shared" si="31"/>
        <v>profit</v>
      </c>
    </row>
    <row r="455" spans="1:14" ht="15.6" thickTop="1" thickBot="1" x14ac:dyDescent="0.35">
      <c r="A455" s="4">
        <v>45490</v>
      </c>
      <c r="B455" s="4" t="s">
        <v>39</v>
      </c>
      <c r="C455" s="5" t="s">
        <v>184</v>
      </c>
      <c r="D455" s="5" t="s">
        <v>45</v>
      </c>
      <c r="E455" s="5" t="s">
        <v>117</v>
      </c>
      <c r="F455" s="5" t="s">
        <v>112</v>
      </c>
      <c r="G455" s="5" t="s">
        <v>18</v>
      </c>
      <c r="H455" s="5">
        <v>30</v>
      </c>
      <c r="I455" s="5">
        <v>916</v>
      </c>
      <c r="J455" s="5">
        <v>1497</v>
      </c>
      <c r="K455" s="6">
        <f t="shared" si="28"/>
        <v>27480</v>
      </c>
      <c r="L455" s="6">
        <f t="shared" si="29"/>
        <v>44910</v>
      </c>
      <c r="M455" s="6">
        <f t="shared" si="30"/>
        <v>17430</v>
      </c>
      <c r="N455" s="6" t="str">
        <f t="shared" si="31"/>
        <v>profit</v>
      </c>
    </row>
    <row r="456" spans="1:14" ht="15.6" thickTop="1" thickBot="1" x14ac:dyDescent="0.35">
      <c r="A456" s="4">
        <v>45491</v>
      </c>
      <c r="B456" s="4" t="s">
        <v>39</v>
      </c>
      <c r="C456" s="5" t="s">
        <v>185</v>
      </c>
      <c r="D456" s="5" t="s">
        <v>45</v>
      </c>
      <c r="E456" s="5" t="s">
        <v>117</v>
      </c>
      <c r="F456" s="5" t="s">
        <v>43</v>
      </c>
      <c r="G456" s="5" t="s">
        <v>18</v>
      </c>
      <c r="H456" s="5">
        <v>28</v>
      </c>
      <c r="I456" s="5">
        <v>588</v>
      </c>
      <c r="J456" s="5">
        <v>784</v>
      </c>
      <c r="K456" s="6">
        <f t="shared" si="28"/>
        <v>16464</v>
      </c>
      <c r="L456" s="6">
        <f t="shared" si="29"/>
        <v>21952</v>
      </c>
      <c r="M456" s="6">
        <f t="shared" si="30"/>
        <v>5488</v>
      </c>
      <c r="N456" s="6" t="str">
        <f t="shared" si="31"/>
        <v>profit</v>
      </c>
    </row>
    <row r="457" spans="1:14" ht="15.6" thickTop="1" thickBot="1" x14ac:dyDescent="0.35">
      <c r="A457" s="4">
        <v>45507</v>
      </c>
      <c r="B457" s="4" t="s">
        <v>56</v>
      </c>
      <c r="C457" s="5" t="s">
        <v>118</v>
      </c>
      <c r="D457" s="5" t="s">
        <v>32</v>
      </c>
      <c r="E457" s="5" t="s">
        <v>119</v>
      </c>
      <c r="F457" s="5" t="s">
        <v>75</v>
      </c>
      <c r="G457" s="5" t="s">
        <v>27</v>
      </c>
      <c r="H457" s="5">
        <v>60</v>
      </c>
      <c r="I457" s="5">
        <v>642</v>
      </c>
      <c r="J457" s="5">
        <v>1497</v>
      </c>
      <c r="K457" s="6">
        <f t="shared" si="28"/>
        <v>38520</v>
      </c>
      <c r="L457" s="6">
        <f t="shared" si="29"/>
        <v>89820</v>
      </c>
      <c r="M457" s="6">
        <f t="shared" si="30"/>
        <v>51300</v>
      </c>
      <c r="N457" s="6" t="str">
        <f t="shared" si="31"/>
        <v>profit</v>
      </c>
    </row>
    <row r="458" spans="1:14" ht="15.6" thickTop="1" thickBot="1" x14ac:dyDescent="0.35">
      <c r="A458" s="4">
        <v>45492</v>
      </c>
      <c r="B458" s="4" t="s">
        <v>39</v>
      </c>
      <c r="C458" s="5" t="s">
        <v>187</v>
      </c>
      <c r="D458" s="5" t="s">
        <v>45</v>
      </c>
      <c r="E458" s="5" t="s">
        <v>117</v>
      </c>
      <c r="F458" s="5" t="s">
        <v>152</v>
      </c>
      <c r="G458" s="5" t="s">
        <v>18</v>
      </c>
      <c r="H458" s="5">
        <v>26</v>
      </c>
      <c r="I458" s="5">
        <v>969</v>
      </c>
      <c r="J458" s="5">
        <v>1087</v>
      </c>
      <c r="K458" s="6">
        <f t="shared" si="28"/>
        <v>25194</v>
      </c>
      <c r="L458" s="6">
        <f t="shared" si="29"/>
        <v>28262</v>
      </c>
      <c r="M458" s="6">
        <f t="shared" si="30"/>
        <v>3068</v>
      </c>
      <c r="N458" s="6" t="str">
        <f t="shared" si="31"/>
        <v>profit</v>
      </c>
    </row>
    <row r="459" spans="1:14" ht="15.6" thickTop="1" thickBot="1" x14ac:dyDescent="0.35">
      <c r="A459" s="4">
        <v>45493</v>
      </c>
      <c r="B459" s="4" t="s">
        <v>39</v>
      </c>
      <c r="C459" s="5" t="s">
        <v>188</v>
      </c>
      <c r="D459" s="5" t="s">
        <v>45</v>
      </c>
      <c r="E459" s="5" t="s">
        <v>117</v>
      </c>
      <c r="F459" s="5" t="s">
        <v>154</v>
      </c>
      <c r="G459" s="5" t="s">
        <v>18</v>
      </c>
      <c r="H459" s="5">
        <v>25</v>
      </c>
      <c r="I459" s="5">
        <v>839</v>
      </c>
      <c r="J459" s="5">
        <v>1233</v>
      </c>
      <c r="K459" s="6">
        <f t="shared" si="28"/>
        <v>20975</v>
      </c>
      <c r="L459" s="6">
        <f t="shared" si="29"/>
        <v>30825</v>
      </c>
      <c r="M459" s="6">
        <f t="shared" si="30"/>
        <v>9850</v>
      </c>
      <c r="N459" s="6" t="str">
        <f t="shared" si="31"/>
        <v>profit</v>
      </c>
    </row>
    <row r="460" spans="1:14" ht="15.6" thickTop="1" thickBot="1" x14ac:dyDescent="0.35">
      <c r="A460" s="4">
        <v>45494</v>
      </c>
      <c r="B460" s="4" t="s">
        <v>39</v>
      </c>
      <c r="C460" s="5" t="s">
        <v>191</v>
      </c>
      <c r="D460" s="5" t="s">
        <v>45</v>
      </c>
      <c r="E460" s="5" t="s">
        <v>117</v>
      </c>
      <c r="F460" s="5" t="s">
        <v>17</v>
      </c>
      <c r="G460" s="5" t="s">
        <v>18</v>
      </c>
      <c r="H460" s="5">
        <v>25</v>
      </c>
      <c r="I460" s="5">
        <v>536</v>
      </c>
      <c r="J460" s="5">
        <v>1407</v>
      </c>
      <c r="K460" s="6">
        <f t="shared" si="28"/>
        <v>13400</v>
      </c>
      <c r="L460" s="6">
        <f t="shared" si="29"/>
        <v>35175</v>
      </c>
      <c r="M460" s="6">
        <f t="shared" si="30"/>
        <v>21775</v>
      </c>
      <c r="N460" s="6" t="str">
        <f t="shared" si="31"/>
        <v>profit</v>
      </c>
    </row>
    <row r="461" spans="1:14" ht="15.6" thickTop="1" thickBot="1" x14ac:dyDescent="0.35">
      <c r="A461" s="4">
        <v>45517</v>
      </c>
      <c r="B461" s="4" t="s">
        <v>56</v>
      </c>
      <c r="C461" s="5" t="s">
        <v>192</v>
      </c>
      <c r="D461" s="5" t="s">
        <v>45</v>
      </c>
      <c r="E461" s="5" t="s">
        <v>117</v>
      </c>
      <c r="F461" s="5" t="s">
        <v>43</v>
      </c>
      <c r="G461" s="5" t="s">
        <v>27</v>
      </c>
      <c r="H461" s="5">
        <v>27</v>
      </c>
      <c r="I461" s="5">
        <v>966</v>
      </c>
      <c r="J461" s="5">
        <v>1255</v>
      </c>
      <c r="K461" s="6">
        <f t="shared" si="28"/>
        <v>26082</v>
      </c>
      <c r="L461" s="6">
        <f t="shared" si="29"/>
        <v>33885</v>
      </c>
      <c r="M461" s="6">
        <f t="shared" si="30"/>
        <v>7803</v>
      </c>
      <c r="N461" s="6" t="str">
        <f t="shared" si="31"/>
        <v>profit</v>
      </c>
    </row>
    <row r="462" spans="1:14" ht="15.6" thickTop="1" thickBot="1" x14ac:dyDescent="0.35">
      <c r="A462" s="4">
        <v>45512</v>
      </c>
      <c r="B462" s="4" t="s">
        <v>56</v>
      </c>
      <c r="C462" s="5" t="s">
        <v>120</v>
      </c>
      <c r="D462" s="5" t="s">
        <v>15</v>
      </c>
      <c r="E462" s="5" t="s">
        <v>36</v>
      </c>
      <c r="F462" s="5" t="s">
        <v>34</v>
      </c>
      <c r="G462" s="5" t="s">
        <v>18</v>
      </c>
      <c r="H462" s="5">
        <v>20</v>
      </c>
      <c r="I462" s="5">
        <v>525</v>
      </c>
      <c r="J462" s="5">
        <v>1122</v>
      </c>
      <c r="K462" s="6">
        <f t="shared" si="28"/>
        <v>10500</v>
      </c>
      <c r="L462" s="6">
        <f t="shared" si="29"/>
        <v>22440</v>
      </c>
      <c r="M462" s="6">
        <f t="shared" si="30"/>
        <v>11940</v>
      </c>
      <c r="N462" s="6" t="str">
        <f t="shared" si="31"/>
        <v>profit</v>
      </c>
    </row>
    <row r="463" spans="1:14" ht="15.6" thickTop="1" thickBot="1" x14ac:dyDescent="0.35">
      <c r="A463" s="4">
        <v>45518</v>
      </c>
      <c r="B463" s="4" t="s">
        <v>56</v>
      </c>
      <c r="C463" s="5" t="s">
        <v>193</v>
      </c>
      <c r="D463" s="5" t="s">
        <v>45</v>
      </c>
      <c r="E463" s="5" t="s">
        <v>117</v>
      </c>
      <c r="F463" s="5" t="s">
        <v>48</v>
      </c>
      <c r="G463" s="5" t="s">
        <v>27</v>
      </c>
      <c r="H463" s="5">
        <v>23</v>
      </c>
      <c r="I463" s="5">
        <v>694</v>
      </c>
      <c r="J463" s="5">
        <v>1309</v>
      </c>
      <c r="K463" s="6">
        <f t="shared" si="28"/>
        <v>15962</v>
      </c>
      <c r="L463" s="6">
        <f t="shared" si="29"/>
        <v>30107</v>
      </c>
      <c r="M463" s="6">
        <f t="shared" si="30"/>
        <v>14145</v>
      </c>
      <c r="N463" s="6" t="str">
        <f t="shared" si="31"/>
        <v>profit</v>
      </c>
    </row>
    <row r="464" spans="1:14" ht="15.6" thickTop="1" thickBot="1" x14ac:dyDescent="0.35">
      <c r="A464" s="4">
        <v>45519</v>
      </c>
      <c r="B464" s="4" t="s">
        <v>56</v>
      </c>
      <c r="C464" s="5" t="s">
        <v>194</v>
      </c>
      <c r="D464" s="5" t="s">
        <v>45</v>
      </c>
      <c r="E464" s="5" t="s">
        <v>117</v>
      </c>
      <c r="F464" s="5" t="s">
        <v>26</v>
      </c>
      <c r="G464" s="5" t="s">
        <v>18</v>
      </c>
      <c r="H464" s="5">
        <v>22</v>
      </c>
      <c r="I464" s="5">
        <v>749</v>
      </c>
      <c r="J464" s="5">
        <v>850</v>
      </c>
      <c r="K464" s="6">
        <f t="shared" si="28"/>
        <v>16478</v>
      </c>
      <c r="L464" s="6">
        <f t="shared" si="29"/>
        <v>18700</v>
      </c>
      <c r="M464" s="6">
        <f t="shared" si="30"/>
        <v>2222</v>
      </c>
      <c r="N464" s="6" t="str">
        <f t="shared" si="31"/>
        <v>profit</v>
      </c>
    </row>
    <row r="465" spans="1:14" ht="15.6" thickTop="1" thickBot="1" x14ac:dyDescent="0.35">
      <c r="A465" s="4">
        <v>45521</v>
      </c>
      <c r="B465" s="4" t="s">
        <v>56</v>
      </c>
      <c r="C465" s="5" t="s">
        <v>196</v>
      </c>
      <c r="D465" s="5" t="s">
        <v>45</v>
      </c>
      <c r="E465" s="5" t="s">
        <v>117</v>
      </c>
      <c r="F465" s="5" t="s">
        <v>53</v>
      </c>
      <c r="G465" s="5" t="s">
        <v>27</v>
      </c>
      <c r="H465" s="5">
        <v>24</v>
      </c>
      <c r="I465" s="5">
        <v>845</v>
      </c>
      <c r="J465" s="5">
        <v>1429</v>
      </c>
      <c r="K465" s="6">
        <f t="shared" si="28"/>
        <v>20280</v>
      </c>
      <c r="L465" s="6">
        <f t="shared" si="29"/>
        <v>34296</v>
      </c>
      <c r="M465" s="6">
        <f t="shared" si="30"/>
        <v>14016</v>
      </c>
      <c r="N465" s="6" t="str">
        <f t="shared" si="31"/>
        <v>profit</v>
      </c>
    </row>
    <row r="466" spans="1:14" ht="15.6" thickTop="1" thickBot="1" x14ac:dyDescent="0.35">
      <c r="A466" s="4">
        <v>45522</v>
      </c>
      <c r="B466" s="4" t="s">
        <v>56</v>
      </c>
      <c r="C466" s="5" t="s">
        <v>106</v>
      </c>
      <c r="D466" s="5" t="s">
        <v>45</v>
      </c>
      <c r="E466" s="5" t="s">
        <v>117</v>
      </c>
      <c r="F466" s="5" t="s">
        <v>34</v>
      </c>
      <c r="G466" s="5" t="s">
        <v>27</v>
      </c>
      <c r="H466" s="5">
        <v>29</v>
      </c>
      <c r="I466" s="5">
        <v>872</v>
      </c>
      <c r="J466" s="5">
        <v>1351</v>
      </c>
      <c r="K466" s="6">
        <f t="shared" si="28"/>
        <v>25288</v>
      </c>
      <c r="L466" s="6">
        <f t="shared" si="29"/>
        <v>39179</v>
      </c>
      <c r="M466" s="6">
        <f t="shared" si="30"/>
        <v>13891</v>
      </c>
      <c r="N466" s="6" t="str">
        <f t="shared" si="31"/>
        <v>profit</v>
      </c>
    </row>
    <row r="467" spans="1:14" ht="15.6" thickTop="1" thickBot="1" x14ac:dyDescent="0.35">
      <c r="A467" s="4">
        <v>45523</v>
      </c>
      <c r="B467" s="4" t="s">
        <v>56</v>
      </c>
      <c r="C467" s="5" t="s">
        <v>198</v>
      </c>
      <c r="D467" s="5" t="s">
        <v>45</v>
      </c>
      <c r="E467" s="5" t="s">
        <v>117</v>
      </c>
      <c r="F467" s="5" t="s">
        <v>38</v>
      </c>
      <c r="G467" s="5" t="s">
        <v>27</v>
      </c>
      <c r="H467" s="5">
        <v>27</v>
      </c>
      <c r="I467" s="5">
        <v>674</v>
      </c>
      <c r="J467" s="5">
        <v>1119</v>
      </c>
      <c r="K467" s="6">
        <f t="shared" si="28"/>
        <v>18198</v>
      </c>
      <c r="L467" s="6">
        <f t="shared" si="29"/>
        <v>30213</v>
      </c>
      <c r="M467" s="6">
        <f t="shared" si="30"/>
        <v>12015</v>
      </c>
      <c r="N467" s="6" t="str">
        <f t="shared" si="31"/>
        <v>profit</v>
      </c>
    </row>
    <row r="468" spans="1:14" ht="15.6" thickTop="1" thickBot="1" x14ac:dyDescent="0.35">
      <c r="A468" s="4">
        <v>45524</v>
      </c>
      <c r="B468" s="4" t="s">
        <v>56</v>
      </c>
      <c r="C468" s="5" t="s">
        <v>104</v>
      </c>
      <c r="D468" s="5" t="s">
        <v>45</v>
      </c>
      <c r="E468" s="5" t="s">
        <v>117</v>
      </c>
      <c r="F468" s="5" t="s">
        <v>38</v>
      </c>
      <c r="G468" s="5" t="s">
        <v>18</v>
      </c>
      <c r="H468" s="5">
        <v>27</v>
      </c>
      <c r="I468" s="5">
        <v>583</v>
      </c>
      <c r="J468" s="5">
        <v>1379</v>
      </c>
      <c r="K468" s="6">
        <f t="shared" si="28"/>
        <v>15741</v>
      </c>
      <c r="L468" s="6">
        <f t="shared" si="29"/>
        <v>37233</v>
      </c>
      <c r="M468" s="6">
        <f t="shared" si="30"/>
        <v>21492</v>
      </c>
      <c r="N468" s="6" t="str">
        <f t="shared" si="31"/>
        <v>profit</v>
      </c>
    </row>
    <row r="469" spans="1:14" ht="15.6" thickTop="1" thickBot="1" x14ac:dyDescent="0.35">
      <c r="A469" s="4">
        <v>45525</v>
      </c>
      <c r="B469" s="4" t="s">
        <v>56</v>
      </c>
      <c r="C469" s="5" t="s">
        <v>199</v>
      </c>
      <c r="D469" s="5" t="s">
        <v>45</v>
      </c>
      <c r="E469" s="5" t="s">
        <v>117</v>
      </c>
      <c r="F469" s="5" t="s">
        <v>63</v>
      </c>
      <c r="G469" s="5" t="s">
        <v>18</v>
      </c>
      <c r="H469" s="5">
        <v>21</v>
      </c>
      <c r="I469" s="5">
        <v>929</v>
      </c>
      <c r="J469" s="5">
        <v>910</v>
      </c>
      <c r="K469" s="6">
        <f t="shared" si="28"/>
        <v>19509</v>
      </c>
      <c r="L469" s="6">
        <f t="shared" si="29"/>
        <v>19110</v>
      </c>
      <c r="M469" s="6">
        <f t="shared" si="30"/>
        <v>-399</v>
      </c>
      <c r="N469" s="6" t="str">
        <f t="shared" si="31"/>
        <v>loss</v>
      </c>
    </row>
    <row r="470" spans="1:14" ht="15.6" thickTop="1" thickBot="1" x14ac:dyDescent="0.35">
      <c r="A470" s="4">
        <v>45520</v>
      </c>
      <c r="B470" s="4" t="s">
        <v>56</v>
      </c>
      <c r="C470" s="5" t="s">
        <v>121</v>
      </c>
      <c r="D470" s="5" t="s">
        <v>45</v>
      </c>
      <c r="E470" s="5" t="s">
        <v>117</v>
      </c>
      <c r="F470" s="5" t="s">
        <v>51</v>
      </c>
      <c r="G470" s="5" t="s">
        <v>27</v>
      </c>
      <c r="H470" s="5">
        <v>23</v>
      </c>
      <c r="I470" s="5">
        <v>884</v>
      </c>
      <c r="J470" s="5">
        <v>1392</v>
      </c>
      <c r="K470" s="6">
        <f t="shared" si="28"/>
        <v>20332</v>
      </c>
      <c r="L470" s="6">
        <f t="shared" si="29"/>
        <v>32016</v>
      </c>
      <c r="M470" s="6">
        <f t="shared" si="30"/>
        <v>11684</v>
      </c>
      <c r="N470" s="6" t="str">
        <f t="shared" si="31"/>
        <v>profit</v>
      </c>
    </row>
    <row r="471" spans="1:14" ht="15.6" thickTop="1" thickBot="1" x14ac:dyDescent="0.35">
      <c r="A471" s="4">
        <v>45527</v>
      </c>
      <c r="B471" s="4" t="s">
        <v>56</v>
      </c>
      <c r="C471" s="5" t="s">
        <v>200</v>
      </c>
      <c r="D471" s="5" t="s">
        <v>45</v>
      </c>
      <c r="E471" s="5" t="s">
        <v>117</v>
      </c>
      <c r="F471" s="5" t="s">
        <v>59</v>
      </c>
      <c r="G471" s="5" t="s">
        <v>18</v>
      </c>
      <c r="H471" s="5">
        <v>28</v>
      </c>
      <c r="I471" s="5">
        <v>873</v>
      </c>
      <c r="J471" s="5">
        <v>809</v>
      </c>
      <c r="K471" s="6">
        <f t="shared" si="28"/>
        <v>24444</v>
      </c>
      <c r="L471" s="6">
        <f t="shared" si="29"/>
        <v>22652</v>
      </c>
      <c r="M471" s="6">
        <f t="shared" si="30"/>
        <v>-1792</v>
      </c>
      <c r="N471" s="6" t="str">
        <f t="shared" si="31"/>
        <v>loss</v>
      </c>
    </row>
    <row r="472" spans="1:14" ht="15.6" thickTop="1" thickBot="1" x14ac:dyDescent="0.35">
      <c r="A472" s="4">
        <v>45589</v>
      </c>
      <c r="B472" s="4" t="s">
        <v>84</v>
      </c>
      <c r="C472" s="5" t="s">
        <v>202</v>
      </c>
      <c r="D472" s="5" t="s">
        <v>45</v>
      </c>
      <c r="E472" s="5" t="s">
        <v>132</v>
      </c>
      <c r="F472" s="5" t="s">
        <v>59</v>
      </c>
      <c r="G472" s="5" t="s">
        <v>18</v>
      </c>
      <c r="H472" s="5">
        <v>21</v>
      </c>
      <c r="I472" s="5">
        <v>541</v>
      </c>
      <c r="J472" s="5">
        <v>1339</v>
      </c>
      <c r="K472" s="6">
        <f t="shared" si="28"/>
        <v>11361</v>
      </c>
      <c r="L472" s="6">
        <f t="shared" si="29"/>
        <v>28119</v>
      </c>
      <c r="M472" s="6">
        <f t="shared" si="30"/>
        <v>16758</v>
      </c>
      <c r="N472" s="6" t="str">
        <f t="shared" si="31"/>
        <v>profit</v>
      </c>
    </row>
    <row r="473" spans="1:14" ht="15.6" thickTop="1" thickBot="1" x14ac:dyDescent="0.35">
      <c r="A473" s="4">
        <v>45591</v>
      </c>
      <c r="B473" s="4" t="s">
        <v>84</v>
      </c>
      <c r="C473" s="5" t="s">
        <v>203</v>
      </c>
      <c r="D473" s="5" t="s">
        <v>45</v>
      </c>
      <c r="E473" s="5" t="s">
        <v>132</v>
      </c>
      <c r="F473" s="5" t="s">
        <v>29</v>
      </c>
      <c r="G473" s="5" t="s">
        <v>27</v>
      </c>
      <c r="H473" s="5">
        <v>22</v>
      </c>
      <c r="I473" s="5">
        <v>725</v>
      </c>
      <c r="J473" s="5">
        <v>1268</v>
      </c>
      <c r="K473" s="6">
        <f t="shared" si="28"/>
        <v>15950</v>
      </c>
      <c r="L473" s="6">
        <f t="shared" si="29"/>
        <v>27896</v>
      </c>
      <c r="M473" s="6">
        <f t="shared" si="30"/>
        <v>11946</v>
      </c>
      <c r="N473" s="6" t="str">
        <f t="shared" si="31"/>
        <v>profit</v>
      </c>
    </row>
    <row r="474" spans="1:14" ht="15.6" thickTop="1" thickBot="1" x14ac:dyDescent="0.35">
      <c r="A474" s="4">
        <v>45596</v>
      </c>
      <c r="B474" s="4" t="s">
        <v>84</v>
      </c>
      <c r="C474" s="5" t="s">
        <v>204</v>
      </c>
      <c r="D474" s="5" t="s">
        <v>45</v>
      </c>
      <c r="E474" s="5" t="s">
        <v>46</v>
      </c>
      <c r="F474" s="5" t="s">
        <v>17</v>
      </c>
      <c r="G474" s="5" t="s">
        <v>27</v>
      </c>
      <c r="H474" s="5">
        <v>21</v>
      </c>
      <c r="I474" s="5">
        <v>596</v>
      </c>
      <c r="J474" s="5">
        <v>838</v>
      </c>
      <c r="K474" s="6">
        <f t="shared" si="28"/>
        <v>12516</v>
      </c>
      <c r="L474" s="6">
        <f t="shared" si="29"/>
        <v>17598</v>
      </c>
      <c r="M474" s="6">
        <f t="shared" si="30"/>
        <v>5082</v>
      </c>
      <c r="N474" s="6" t="str">
        <f t="shared" si="31"/>
        <v>profit</v>
      </c>
    </row>
    <row r="475" spans="1:14" ht="15.6" thickTop="1" thickBot="1" x14ac:dyDescent="0.35">
      <c r="A475" s="4">
        <v>45597</v>
      </c>
      <c r="B475" s="4" t="s">
        <v>160</v>
      </c>
      <c r="C475" s="5" t="s">
        <v>206</v>
      </c>
      <c r="D475" s="5" t="s">
        <v>45</v>
      </c>
      <c r="E475" s="5" t="s">
        <v>46</v>
      </c>
      <c r="F475" s="5" t="s">
        <v>20</v>
      </c>
      <c r="G475" s="5" t="s">
        <v>27</v>
      </c>
      <c r="H475" s="5">
        <v>30</v>
      </c>
      <c r="I475" s="5">
        <v>910</v>
      </c>
      <c r="J475" s="5">
        <v>1290</v>
      </c>
      <c r="K475" s="6">
        <f t="shared" si="28"/>
        <v>27300</v>
      </c>
      <c r="L475" s="6">
        <f t="shared" si="29"/>
        <v>38700</v>
      </c>
      <c r="M475" s="6">
        <f t="shared" si="30"/>
        <v>11400</v>
      </c>
      <c r="N475" s="6" t="str">
        <f t="shared" si="31"/>
        <v>profit</v>
      </c>
    </row>
    <row r="476" spans="1:14" ht="15.6" thickTop="1" thickBot="1" x14ac:dyDescent="0.35">
      <c r="A476" s="4">
        <v>45526</v>
      </c>
      <c r="B476" s="4" t="s">
        <v>56</v>
      </c>
      <c r="C476" s="5" t="s">
        <v>122</v>
      </c>
      <c r="D476" s="5" t="s">
        <v>45</v>
      </c>
      <c r="E476" s="5" t="s">
        <v>117</v>
      </c>
      <c r="F476" s="5" t="s">
        <v>63</v>
      </c>
      <c r="G476" s="5" t="s">
        <v>18</v>
      </c>
      <c r="H476" s="5">
        <v>20</v>
      </c>
      <c r="I476" s="5">
        <v>997</v>
      </c>
      <c r="J476" s="5">
        <v>784</v>
      </c>
      <c r="K476" s="6">
        <f t="shared" si="28"/>
        <v>19940</v>
      </c>
      <c r="L476" s="6">
        <f t="shared" si="29"/>
        <v>15680</v>
      </c>
      <c r="M476" s="6">
        <f t="shared" si="30"/>
        <v>-4260</v>
      </c>
      <c r="N476" s="6" t="str">
        <f t="shared" si="31"/>
        <v>loss</v>
      </c>
    </row>
    <row r="477" spans="1:14" ht="15.6" thickTop="1" thickBot="1" x14ac:dyDescent="0.35">
      <c r="A477" s="4">
        <v>45598</v>
      </c>
      <c r="B477" s="4" t="s">
        <v>160</v>
      </c>
      <c r="C477" s="5" t="s">
        <v>208</v>
      </c>
      <c r="D477" s="5" t="s">
        <v>45</v>
      </c>
      <c r="E477" s="5" t="s">
        <v>46</v>
      </c>
      <c r="F477" s="5" t="s">
        <v>22</v>
      </c>
      <c r="G477" s="5" t="s">
        <v>27</v>
      </c>
      <c r="H477" s="5">
        <v>25</v>
      </c>
      <c r="I477" s="5">
        <v>532</v>
      </c>
      <c r="J477" s="5">
        <v>1358</v>
      </c>
      <c r="K477" s="6">
        <f t="shared" si="28"/>
        <v>13300</v>
      </c>
      <c r="L477" s="6">
        <f t="shared" si="29"/>
        <v>33950</v>
      </c>
      <c r="M477" s="6">
        <f t="shared" si="30"/>
        <v>20650</v>
      </c>
      <c r="N477" s="6" t="str">
        <f t="shared" si="31"/>
        <v>profit</v>
      </c>
    </row>
    <row r="478" spans="1:14" ht="15.6" thickTop="1" thickBot="1" x14ac:dyDescent="0.35">
      <c r="A478" s="4">
        <v>45599</v>
      </c>
      <c r="B478" s="4" t="s">
        <v>160</v>
      </c>
      <c r="C478" s="5" t="s">
        <v>209</v>
      </c>
      <c r="D478" s="5" t="s">
        <v>45</v>
      </c>
      <c r="E478" s="5" t="s">
        <v>46</v>
      </c>
      <c r="F478" s="5" t="s">
        <v>24</v>
      </c>
      <c r="G478" s="5" t="s">
        <v>18</v>
      </c>
      <c r="H478" s="5">
        <v>29</v>
      </c>
      <c r="I478" s="5">
        <v>813</v>
      </c>
      <c r="J478" s="5">
        <v>1241</v>
      </c>
      <c r="K478" s="6">
        <f t="shared" si="28"/>
        <v>23577</v>
      </c>
      <c r="L478" s="6">
        <f t="shared" si="29"/>
        <v>35989</v>
      </c>
      <c r="M478" s="6">
        <f t="shared" si="30"/>
        <v>12412</v>
      </c>
      <c r="N478" s="6" t="str">
        <f t="shared" si="31"/>
        <v>profit</v>
      </c>
    </row>
    <row r="479" spans="1:14" ht="15.6" thickTop="1" thickBot="1" x14ac:dyDescent="0.35">
      <c r="A479" s="4">
        <v>45600</v>
      </c>
      <c r="B479" s="4" t="s">
        <v>160</v>
      </c>
      <c r="C479" s="5" t="s">
        <v>210</v>
      </c>
      <c r="D479" s="5" t="s">
        <v>45</v>
      </c>
      <c r="E479" s="5" t="s">
        <v>46</v>
      </c>
      <c r="F479" s="5" t="s">
        <v>24</v>
      </c>
      <c r="G479" s="5" t="s">
        <v>18</v>
      </c>
      <c r="H479" s="5">
        <v>28</v>
      </c>
      <c r="I479" s="5">
        <v>858</v>
      </c>
      <c r="J479" s="5">
        <v>1127</v>
      </c>
      <c r="K479" s="6">
        <f t="shared" si="28"/>
        <v>24024</v>
      </c>
      <c r="L479" s="6">
        <f t="shared" si="29"/>
        <v>31556</v>
      </c>
      <c r="M479" s="6">
        <f t="shared" si="30"/>
        <v>7532</v>
      </c>
      <c r="N479" s="6" t="str">
        <f t="shared" si="31"/>
        <v>profit</v>
      </c>
    </row>
    <row r="480" spans="1:14" ht="15.6" thickTop="1" thickBot="1" x14ac:dyDescent="0.35">
      <c r="A480" s="4">
        <v>45601</v>
      </c>
      <c r="B480" s="4" t="s">
        <v>160</v>
      </c>
      <c r="C480" s="5" t="s">
        <v>211</v>
      </c>
      <c r="D480" s="5" t="s">
        <v>45</v>
      </c>
      <c r="E480" s="5" t="s">
        <v>46</v>
      </c>
      <c r="F480" s="5" t="s">
        <v>26</v>
      </c>
      <c r="G480" s="5" t="s">
        <v>18</v>
      </c>
      <c r="H480" s="5">
        <v>24</v>
      </c>
      <c r="I480" s="5">
        <v>641</v>
      </c>
      <c r="J480" s="5">
        <v>1337</v>
      </c>
      <c r="K480" s="6">
        <f t="shared" si="28"/>
        <v>15384</v>
      </c>
      <c r="L480" s="6">
        <f t="shared" si="29"/>
        <v>32088</v>
      </c>
      <c r="M480" s="6">
        <f t="shared" si="30"/>
        <v>16704</v>
      </c>
      <c r="N480" s="6" t="str">
        <f t="shared" si="31"/>
        <v>profit</v>
      </c>
    </row>
    <row r="481" spans="1:14" ht="15.6" thickTop="1" thickBot="1" x14ac:dyDescent="0.35">
      <c r="A481" s="4">
        <v>45609</v>
      </c>
      <c r="B481" s="4" t="s">
        <v>160</v>
      </c>
      <c r="C481" s="5" t="s">
        <v>213</v>
      </c>
      <c r="D481" s="5" t="s">
        <v>45</v>
      </c>
      <c r="E481" s="5" t="s">
        <v>62</v>
      </c>
      <c r="F481" s="5" t="s">
        <v>75</v>
      </c>
      <c r="G481" s="5" t="s">
        <v>27</v>
      </c>
      <c r="H481" s="5">
        <v>25</v>
      </c>
      <c r="I481" s="5">
        <v>709</v>
      </c>
      <c r="J481" s="5">
        <v>1386</v>
      </c>
      <c r="K481" s="6">
        <f t="shared" si="28"/>
        <v>17725</v>
      </c>
      <c r="L481" s="6">
        <f t="shared" si="29"/>
        <v>34650</v>
      </c>
      <c r="M481" s="6">
        <f t="shared" si="30"/>
        <v>16925</v>
      </c>
      <c r="N481" s="6" t="str">
        <f t="shared" si="31"/>
        <v>profit</v>
      </c>
    </row>
    <row r="482" spans="1:14" ht="15.6" thickTop="1" thickBot="1" x14ac:dyDescent="0.35">
      <c r="A482" s="4">
        <v>45611</v>
      </c>
      <c r="B482" s="4" t="s">
        <v>160</v>
      </c>
      <c r="C482" s="5" t="s">
        <v>214</v>
      </c>
      <c r="D482" s="5" t="s">
        <v>45</v>
      </c>
      <c r="E482" s="5" t="s">
        <v>62</v>
      </c>
      <c r="F482" s="5" t="s">
        <v>34</v>
      </c>
      <c r="G482" s="5" t="s">
        <v>27</v>
      </c>
      <c r="H482" s="5">
        <v>25</v>
      </c>
      <c r="I482" s="5">
        <v>802</v>
      </c>
      <c r="J482" s="5">
        <v>1126</v>
      </c>
      <c r="K482" s="6">
        <f t="shared" si="28"/>
        <v>20050</v>
      </c>
      <c r="L482" s="6">
        <f t="shared" si="29"/>
        <v>28150</v>
      </c>
      <c r="M482" s="6">
        <f t="shared" si="30"/>
        <v>8100</v>
      </c>
      <c r="N482" s="6" t="str">
        <f t="shared" si="31"/>
        <v>profit</v>
      </c>
    </row>
    <row r="483" spans="1:14" ht="15.6" thickTop="1" thickBot="1" x14ac:dyDescent="0.35">
      <c r="A483" s="4">
        <v>45612</v>
      </c>
      <c r="B483" s="4" t="s">
        <v>160</v>
      </c>
      <c r="C483" s="5" t="s">
        <v>215</v>
      </c>
      <c r="D483" s="5" t="s">
        <v>45</v>
      </c>
      <c r="E483" s="5" t="s">
        <v>62</v>
      </c>
      <c r="F483" s="5" t="s">
        <v>43</v>
      </c>
      <c r="G483" s="5" t="s">
        <v>27</v>
      </c>
      <c r="H483" s="5">
        <v>23</v>
      </c>
      <c r="I483" s="5">
        <v>893</v>
      </c>
      <c r="J483" s="5">
        <v>761</v>
      </c>
      <c r="K483" s="6">
        <f t="shared" si="28"/>
        <v>20539</v>
      </c>
      <c r="L483" s="6">
        <f t="shared" si="29"/>
        <v>17503</v>
      </c>
      <c r="M483" s="6">
        <f t="shared" si="30"/>
        <v>-3036</v>
      </c>
      <c r="N483" s="6" t="str">
        <f t="shared" si="31"/>
        <v>loss</v>
      </c>
    </row>
    <row r="484" spans="1:14" ht="15.6" thickTop="1" thickBot="1" x14ac:dyDescent="0.35">
      <c r="A484" s="4">
        <v>45613</v>
      </c>
      <c r="B484" s="4" t="s">
        <v>160</v>
      </c>
      <c r="C484" s="5" t="s">
        <v>216</v>
      </c>
      <c r="D484" s="5" t="s">
        <v>45</v>
      </c>
      <c r="E484" s="5" t="s">
        <v>62</v>
      </c>
      <c r="F484" s="5" t="s">
        <v>59</v>
      </c>
      <c r="G484" s="5" t="s">
        <v>27</v>
      </c>
      <c r="H484" s="5">
        <v>29</v>
      </c>
      <c r="I484" s="5">
        <v>852</v>
      </c>
      <c r="J484" s="5">
        <v>1452</v>
      </c>
      <c r="K484" s="6">
        <f t="shared" si="28"/>
        <v>24708</v>
      </c>
      <c r="L484" s="6">
        <f t="shared" si="29"/>
        <v>42108</v>
      </c>
      <c r="M484" s="6">
        <f t="shared" si="30"/>
        <v>17400</v>
      </c>
      <c r="N484" s="6" t="str">
        <f t="shared" si="31"/>
        <v>profit</v>
      </c>
    </row>
    <row r="485" spans="1:14" ht="15.6" thickTop="1" thickBot="1" x14ac:dyDescent="0.35">
      <c r="A485" s="4">
        <v>45535</v>
      </c>
      <c r="B485" s="4" t="s">
        <v>56</v>
      </c>
      <c r="C485" s="5" t="s">
        <v>123</v>
      </c>
      <c r="D485" s="5" t="s">
        <v>32</v>
      </c>
      <c r="E485" s="5" t="s">
        <v>98</v>
      </c>
      <c r="F485" s="5" t="s">
        <v>20</v>
      </c>
      <c r="G485" s="5" t="s">
        <v>27</v>
      </c>
      <c r="H485" s="5">
        <v>64</v>
      </c>
      <c r="I485" s="5">
        <v>580</v>
      </c>
      <c r="J485" s="5">
        <v>1164</v>
      </c>
      <c r="K485" s="6">
        <f t="shared" si="28"/>
        <v>37120</v>
      </c>
      <c r="L485" s="6">
        <f t="shared" si="29"/>
        <v>74496</v>
      </c>
      <c r="M485" s="6">
        <f t="shared" si="30"/>
        <v>37376</v>
      </c>
      <c r="N485" s="6" t="str">
        <f t="shared" si="31"/>
        <v>profit</v>
      </c>
    </row>
    <row r="486" spans="1:14" ht="15.6" thickTop="1" thickBot="1" x14ac:dyDescent="0.35">
      <c r="A486" s="4">
        <v>45615</v>
      </c>
      <c r="B486" s="4" t="s">
        <v>160</v>
      </c>
      <c r="C486" s="5" t="s">
        <v>217</v>
      </c>
      <c r="D486" s="5" t="s">
        <v>45</v>
      </c>
      <c r="E486" s="5" t="s">
        <v>62</v>
      </c>
      <c r="F486" s="5" t="s">
        <v>38</v>
      </c>
      <c r="G486" s="5" t="s">
        <v>18</v>
      </c>
      <c r="H486" s="5">
        <v>23</v>
      </c>
      <c r="I486" s="5">
        <v>747</v>
      </c>
      <c r="J486" s="5">
        <v>1340</v>
      </c>
      <c r="K486" s="6">
        <f t="shared" si="28"/>
        <v>17181</v>
      </c>
      <c r="L486" s="6">
        <f t="shared" si="29"/>
        <v>30820</v>
      </c>
      <c r="M486" s="6">
        <f t="shared" si="30"/>
        <v>13639</v>
      </c>
      <c r="N486" s="6" t="str">
        <f t="shared" si="31"/>
        <v>profit</v>
      </c>
    </row>
    <row r="487" spans="1:14" ht="15.6" thickTop="1" thickBot="1" x14ac:dyDescent="0.35">
      <c r="A487" s="4">
        <v>45617</v>
      </c>
      <c r="B487" s="4" t="s">
        <v>160</v>
      </c>
      <c r="C487" s="5" t="s">
        <v>218</v>
      </c>
      <c r="D487" s="5" t="s">
        <v>45</v>
      </c>
      <c r="E487" s="5" t="s">
        <v>62</v>
      </c>
      <c r="F487" s="5" t="s">
        <v>43</v>
      </c>
      <c r="G487" s="5" t="s">
        <v>27</v>
      </c>
      <c r="H487" s="5">
        <v>26</v>
      </c>
      <c r="I487" s="5">
        <v>625</v>
      </c>
      <c r="J487" s="5">
        <v>1298</v>
      </c>
      <c r="K487" s="6">
        <f t="shared" si="28"/>
        <v>16250</v>
      </c>
      <c r="L487" s="6">
        <f t="shared" si="29"/>
        <v>33748</v>
      </c>
      <c r="M487" s="6">
        <f t="shared" si="30"/>
        <v>17498</v>
      </c>
      <c r="N487" s="6" t="str">
        <f t="shared" si="31"/>
        <v>profit</v>
      </c>
    </row>
    <row r="488" spans="1:14" ht="15.6" thickTop="1" thickBot="1" x14ac:dyDescent="0.35">
      <c r="A488" s="4">
        <v>45618</v>
      </c>
      <c r="B488" s="4" t="s">
        <v>160</v>
      </c>
      <c r="C488" s="5" t="s">
        <v>220</v>
      </c>
      <c r="D488" s="5" t="s">
        <v>45</v>
      </c>
      <c r="E488" s="5" t="s">
        <v>62</v>
      </c>
      <c r="F488" s="5" t="s">
        <v>26</v>
      </c>
      <c r="G488" s="5" t="s">
        <v>27</v>
      </c>
      <c r="H488" s="5">
        <v>23</v>
      </c>
      <c r="I488" s="5">
        <v>706</v>
      </c>
      <c r="J488" s="5">
        <v>988</v>
      </c>
      <c r="K488" s="6">
        <f t="shared" si="28"/>
        <v>16238</v>
      </c>
      <c r="L488" s="6">
        <f t="shared" si="29"/>
        <v>22724</v>
      </c>
      <c r="M488" s="6">
        <f t="shared" si="30"/>
        <v>6486</v>
      </c>
      <c r="N488" s="6" t="str">
        <f t="shared" si="31"/>
        <v>profit</v>
      </c>
    </row>
    <row r="489" spans="1:14" ht="15.6" thickTop="1" thickBot="1" x14ac:dyDescent="0.35">
      <c r="A489" s="4">
        <v>45619</v>
      </c>
      <c r="B489" s="4" t="s">
        <v>160</v>
      </c>
      <c r="C489" s="5" t="s">
        <v>222</v>
      </c>
      <c r="D489" s="5" t="s">
        <v>45</v>
      </c>
      <c r="E489" s="5" t="s">
        <v>62</v>
      </c>
      <c r="F489" s="5" t="s">
        <v>43</v>
      </c>
      <c r="G489" s="5" t="s">
        <v>27</v>
      </c>
      <c r="H489" s="5">
        <v>28</v>
      </c>
      <c r="I489" s="5">
        <v>858</v>
      </c>
      <c r="J489" s="5">
        <v>1113</v>
      </c>
      <c r="K489" s="6">
        <f t="shared" si="28"/>
        <v>24024</v>
      </c>
      <c r="L489" s="6">
        <f t="shared" si="29"/>
        <v>31164</v>
      </c>
      <c r="M489" s="6">
        <f t="shared" si="30"/>
        <v>7140</v>
      </c>
      <c r="N489" s="6" t="str">
        <f t="shared" si="31"/>
        <v>profit</v>
      </c>
    </row>
    <row r="490" spans="1:14" ht="15.6" thickTop="1" thickBot="1" x14ac:dyDescent="0.35">
      <c r="A490" s="4">
        <v>45540</v>
      </c>
      <c r="B490" s="4" t="s">
        <v>68</v>
      </c>
      <c r="C490" s="5" t="s">
        <v>124</v>
      </c>
      <c r="D490" s="5" t="s">
        <v>32</v>
      </c>
      <c r="E490" s="5" t="s">
        <v>119</v>
      </c>
      <c r="F490" s="5" t="s">
        <v>29</v>
      </c>
      <c r="G490" s="5" t="s">
        <v>18</v>
      </c>
      <c r="H490" s="5">
        <v>52</v>
      </c>
      <c r="I490" s="5">
        <v>893</v>
      </c>
      <c r="J490" s="5">
        <v>1055</v>
      </c>
      <c r="K490" s="6">
        <f t="shared" si="28"/>
        <v>46436</v>
      </c>
      <c r="L490" s="6">
        <f t="shared" si="29"/>
        <v>54860</v>
      </c>
      <c r="M490" s="6">
        <f t="shared" si="30"/>
        <v>8424</v>
      </c>
      <c r="N490" s="6" t="str">
        <f t="shared" si="31"/>
        <v>profit</v>
      </c>
    </row>
    <row r="491" spans="1:14" ht="15.6" thickTop="1" thickBot="1" x14ac:dyDescent="0.35">
      <c r="A491" s="4">
        <v>45620</v>
      </c>
      <c r="B491" s="4" t="s">
        <v>160</v>
      </c>
      <c r="C491" s="5" t="s">
        <v>224</v>
      </c>
      <c r="D491" s="5" t="s">
        <v>45</v>
      </c>
      <c r="E491" s="5" t="s">
        <v>62</v>
      </c>
      <c r="F491" s="5" t="s">
        <v>48</v>
      </c>
      <c r="G491" s="5" t="s">
        <v>27</v>
      </c>
      <c r="H491" s="5">
        <v>24</v>
      </c>
      <c r="I491" s="5">
        <v>736</v>
      </c>
      <c r="J491" s="5">
        <v>1406</v>
      </c>
      <c r="K491" s="6">
        <f t="shared" si="28"/>
        <v>17664</v>
      </c>
      <c r="L491" s="6">
        <f t="shared" si="29"/>
        <v>33744</v>
      </c>
      <c r="M491" s="6">
        <f t="shared" si="30"/>
        <v>16080</v>
      </c>
      <c r="N491" s="6" t="str">
        <f t="shared" si="31"/>
        <v>profit</v>
      </c>
    </row>
    <row r="492" spans="1:14" ht="15.6" thickTop="1" thickBot="1" x14ac:dyDescent="0.35">
      <c r="A492" s="4">
        <v>45621</v>
      </c>
      <c r="B492" s="4" t="s">
        <v>160</v>
      </c>
      <c r="C492" s="5" t="s">
        <v>225</v>
      </c>
      <c r="D492" s="5" t="s">
        <v>45</v>
      </c>
      <c r="E492" s="5" t="s">
        <v>62</v>
      </c>
      <c r="F492" s="5" t="s">
        <v>26</v>
      </c>
      <c r="G492" s="5" t="s">
        <v>27</v>
      </c>
      <c r="H492" s="5">
        <v>20</v>
      </c>
      <c r="I492" s="5">
        <v>599</v>
      </c>
      <c r="J492" s="5">
        <v>1023</v>
      </c>
      <c r="K492" s="6">
        <f t="shared" si="28"/>
        <v>11980</v>
      </c>
      <c r="L492" s="6">
        <f t="shared" si="29"/>
        <v>20460</v>
      </c>
      <c r="M492" s="6">
        <f t="shared" si="30"/>
        <v>8480</v>
      </c>
      <c r="N492" s="6" t="str">
        <f t="shared" si="31"/>
        <v>profit</v>
      </c>
    </row>
    <row r="493" spans="1:14" ht="15.6" thickTop="1" thickBot="1" x14ac:dyDescent="0.35">
      <c r="A493" s="4">
        <v>45622</v>
      </c>
      <c r="B493" s="4" t="s">
        <v>160</v>
      </c>
      <c r="C493" s="5" t="s">
        <v>226</v>
      </c>
      <c r="D493" s="5" t="s">
        <v>45</v>
      </c>
      <c r="E493" s="5" t="s">
        <v>62</v>
      </c>
      <c r="F493" s="5" t="s">
        <v>51</v>
      </c>
      <c r="G493" s="5" t="s">
        <v>18</v>
      </c>
      <c r="H493" s="5">
        <v>22</v>
      </c>
      <c r="I493" s="5">
        <v>524</v>
      </c>
      <c r="J493" s="5">
        <v>1147</v>
      </c>
      <c r="K493" s="6">
        <f t="shared" si="28"/>
        <v>11528</v>
      </c>
      <c r="L493" s="6">
        <f t="shared" si="29"/>
        <v>25234</v>
      </c>
      <c r="M493" s="6">
        <f t="shared" si="30"/>
        <v>13706</v>
      </c>
      <c r="N493" s="6" t="str">
        <f t="shared" si="31"/>
        <v>profit</v>
      </c>
    </row>
    <row r="494" spans="1:14" ht="15.6" thickTop="1" thickBot="1" x14ac:dyDescent="0.35">
      <c r="A494" s="4">
        <v>45623</v>
      </c>
      <c r="B494" s="4" t="s">
        <v>160</v>
      </c>
      <c r="C494" s="5" t="s">
        <v>227</v>
      </c>
      <c r="D494" s="5" t="s">
        <v>45</v>
      </c>
      <c r="E494" s="5" t="s">
        <v>62</v>
      </c>
      <c r="F494" s="5" t="s">
        <v>53</v>
      </c>
      <c r="G494" s="5" t="s">
        <v>18</v>
      </c>
      <c r="H494" s="5">
        <v>27</v>
      </c>
      <c r="I494" s="5">
        <v>744</v>
      </c>
      <c r="J494" s="5">
        <v>1253</v>
      </c>
      <c r="K494" s="6">
        <f t="shared" si="28"/>
        <v>20088</v>
      </c>
      <c r="L494" s="6">
        <f t="shared" si="29"/>
        <v>33831</v>
      </c>
      <c r="M494" s="6">
        <f t="shared" si="30"/>
        <v>13743</v>
      </c>
      <c r="N494" s="6" t="str">
        <f t="shared" si="31"/>
        <v>profit</v>
      </c>
    </row>
    <row r="495" spans="1:14" ht="15.6" thickTop="1" thickBot="1" x14ac:dyDescent="0.35">
      <c r="A495" s="4">
        <v>45624</v>
      </c>
      <c r="B495" s="4" t="s">
        <v>160</v>
      </c>
      <c r="C495" s="5" t="s">
        <v>228</v>
      </c>
      <c r="D495" s="5" t="s">
        <v>45</v>
      </c>
      <c r="E495" s="5" t="s">
        <v>117</v>
      </c>
      <c r="F495" s="5" t="s">
        <v>34</v>
      </c>
      <c r="G495" s="5" t="s">
        <v>18</v>
      </c>
      <c r="H495" s="5">
        <v>27</v>
      </c>
      <c r="I495" s="5">
        <v>826</v>
      </c>
      <c r="J495" s="5">
        <v>917</v>
      </c>
      <c r="K495" s="6">
        <f t="shared" si="28"/>
        <v>22302</v>
      </c>
      <c r="L495" s="6">
        <f t="shared" si="29"/>
        <v>24759</v>
      </c>
      <c r="M495" s="6">
        <f t="shared" si="30"/>
        <v>2457</v>
      </c>
      <c r="N495" s="6" t="str">
        <f t="shared" si="31"/>
        <v>profit</v>
      </c>
    </row>
    <row r="496" spans="1:14" ht="15.6" thickTop="1" thickBot="1" x14ac:dyDescent="0.35">
      <c r="A496" s="4">
        <v>45625</v>
      </c>
      <c r="B496" s="4" t="s">
        <v>160</v>
      </c>
      <c r="C496" s="5" t="s">
        <v>229</v>
      </c>
      <c r="D496" s="5" t="s">
        <v>45</v>
      </c>
      <c r="E496" s="5" t="s">
        <v>117</v>
      </c>
      <c r="F496" s="5" t="s">
        <v>38</v>
      </c>
      <c r="G496" s="5" t="s">
        <v>18</v>
      </c>
      <c r="H496" s="5">
        <v>27</v>
      </c>
      <c r="I496" s="5">
        <v>573</v>
      </c>
      <c r="J496" s="5">
        <v>1266</v>
      </c>
      <c r="K496" s="6">
        <f t="shared" si="28"/>
        <v>15471</v>
      </c>
      <c r="L496" s="6">
        <f t="shared" si="29"/>
        <v>34182</v>
      </c>
      <c r="M496" s="6">
        <f t="shared" si="30"/>
        <v>18711</v>
      </c>
      <c r="N496" s="6" t="str">
        <f t="shared" si="31"/>
        <v>profit</v>
      </c>
    </row>
    <row r="497" spans="1:14" ht="15.6" thickTop="1" thickBot="1" x14ac:dyDescent="0.35">
      <c r="A497" s="4">
        <v>45627</v>
      </c>
      <c r="B497" s="4" t="s">
        <v>189</v>
      </c>
      <c r="C497" s="5" t="s">
        <v>231</v>
      </c>
      <c r="D497" s="5" t="s">
        <v>45</v>
      </c>
      <c r="E497" s="5" t="s">
        <v>117</v>
      </c>
      <c r="F497" s="5" t="s">
        <v>63</v>
      </c>
      <c r="G497" s="5" t="s">
        <v>18</v>
      </c>
      <c r="H497" s="5">
        <v>28</v>
      </c>
      <c r="I497" s="5">
        <v>798</v>
      </c>
      <c r="J497" s="5">
        <v>1131</v>
      </c>
      <c r="K497" s="6">
        <f t="shared" si="28"/>
        <v>22344</v>
      </c>
      <c r="L497" s="6">
        <f t="shared" si="29"/>
        <v>31668</v>
      </c>
      <c r="M497" s="6">
        <f t="shared" si="30"/>
        <v>9324</v>
      </c>
      <c r="N497" s="6" t="str">
        <f t="shared" si="31"/>
        <v>profit</v>
      </c>
    </row>
    <row r="498" spans="1:14" ht="15.6" thickTop="1" thickBot="1" x14ac:dyDescent="0.35">
      <c r="A498" s="4">
        <v>45628</v>
      </c>
      <c r="B498" s="4" t="s">
        <v>189</v>
      </c>
      <c r="C498" s="5" t="s">
        <v>232</v>
      </c>
      <c r="D498" s="5" t="s">
        <v>45</v>
      </c>
      <c r="E498" s="5" t="s">
        <v>117</v>
      </c>
      <c r="F498" s="5" t="s">
        <v>63</v>
      </c>
      <c r="G498" s="5" t="s">
        <v>18</v>
      </c>
      <c r="H498" s="5">
        <v>25</v>
      </c>
      <c r="I498" s="5">
        <v>982</v>
      </c>
      <c r="J498" s="5">
        <v>1479</v>
      </c>
      <c r="K498" s="6">
        <f t="shared" si="28"/>
        <v>24550</v>
      </c>
      <c r="L498" s="6">
        <f t="shared" si="29"/>
        <v>36975</v>
      </c>
      <c r="M498" s="6">
        <f t="shared" si="30"/>
        <v>12425</v>
      </c>
      <c r="N498" s="6" t="str">
        <f t="shared" si="31"/>
        <v>profit</v>
      </c>
    </row>
    <row r="499" spans="1:14" ht="15.6" thickTop="1" thickBot="1" x14ac:dyDescent="0.35">
      <c r="A499" s="4">
        <v>45549</v>
      </c>
      <c r="B499" s="4" t="s">
        <v>68</v>
      </c>
      <c r="C499" s="5" t="s">
        <v>125</v>
      </c>
      <c r="D499" s="5" t="s">
        <v>15</v>
      </c>
      <c r="E499" s="5" t="s">
        <v>36</v>
      </c>
      <c r="F499" s="5" t="s">
        <v>34</v>
      </c>
      <c r="G499" s="5" t="s">
        <v>18</v>
      </c>
      <c r="H499" s="5">
        <v>19</v>
      </c>
      <c r="I499" s="5">
        <v>938</v>
      </c>
      <c r="J499" s="5">
        <v>1348</v>
      </c>
      <c r="K499" s="6">
        <f t="shared" si="28"/>
        <v>17822</v>
      </c>
      <c r="L499" s="6">
        <f t="shared" si="29"/>
        <v>25612</v>
      </c>
      <c r="M499" s="6">
        <f t="shared" si="30"/>
        <v>7790</v>
      </c>
      <c r="N499" s="6" t="str">
        <f t="shared" si="31"/>
        <v>profit</v>
      </c>
    </row>
    <row r="500" spans="1:14" ht="15.6" thickTop="1" thickBot="1" x14ac:dyDescent="0.35">
      <c r="A500" s="4">
        <v>45630</v>
      </c>
      <c r="B500" s="4" t="s">
        <v>189</v>
      </c>
      <c r="C500" s="5" t="s">
        <v>233</v>
      </c>
      <c r="D500" s="5" t="s">
        <v>45</v>
      </c>
      <c r="E500" s="5" t="s">
        <v>117</v>
      </c>
      <c r="F500" s="5" t="s">
        <v>38</v>
      </c>
      <c r="G500" s="5" t="s">
        <v>27</v>
      </c>
      <c r="H500" s="5">
        <v>29</v>
      </c>
      <c r="I500" s="5">
        <v>841</v>
      </c>
      <c r="J500" s="5">
        <v>854</v>
      </c>
      <c r="K500" s="6">
        <f t="shared" si="28"/>
        <v>24389</v>
      </c>
      <c r="L500" s="6">
        <f t="shared" si="29"/>
        <v>24766</v>
      </c>
      <c r="M500" s="6">
        <f t="shared" si="30"/>
        <v>377</v>
      </c>
      <c r="N500" s="6" t="str">
        <f t="shared" si="31"/>
        <v>profit</v>
      </c>
    </row>
    <row r="501" spans="1:14" ht="15.6" thickTop="1" thickBot="1" x14ac:dyDescent="0.35">
      <c r="A501" s="4">
        <v>45631</v>
      </c>
      <c r="B501" s="4" t="s">
        <v>189</v>
      </c>
      <c r="C501" s="5" t="s">
        <v>234</v>
      </c>
      <c r="D501" s="5" t="s">
        <v>45</v>
      </c>
      <c r="E501" s="5" t="s">
        <v>117</v>
      </c>
      <c r="F501" s="5" t="s">
        <v>29</v>
      </c>
      <c r="G501" s="5" t="s">
        <v>27</v>
      </c>
      <c r="H501" s="5">
        <v>21</v>
      </c>
      <c r="I501" s="5">
        <v>691</v>
      </c>
      <c r="J501" s="5">
        <v>1142</v>
      </c>
      <c r="K501" s="6">
        <f t="shared" si="28"/>
        <v>14511</v>
      </c>
      <c r="L501" s="6">
        <f t="shared" si="29"/>
        <v>23982</v>
      </c>
      <c r="M501" s="6">
        <f t="shared" si="30"/>
        <v>9471</v>
      </c>
      <c r="N501" s="6" t="str">
        <f t="shared" si="31"/>
        <v>profit</v>
      </c>
    </row>
    <row r="502" spans="1:14" ht="15.6" thickTop="1" thickBot="1" x14ac:dyDescent="0.35">
      <c r="A502" s="4">
        <v>45632</v>
      </c>
      <c r="B502" s="4" t="s">
        <v>189</v>
      </c>
      <c r="C502" s="5" t="s">
        <v>235</v>
      </c>
      <c r="D502" s="5" t="s">
        <v>45</v>
      </c>
      <c r="E502" s="5" t="s">
        <v>117</v>
      </c>
      <c r="F502" s="5" t="s">
        <v>112</v>
      </c>
      <c r="G502" s="5" t="s">
        <v>27</v>
      </c>
      <c r="H502" s="5">
        <v>24</v>
      </c>
      <c r="I502" s="5">
        <v>526</v>
      </c>
      <c r="J502" s="5">
        <v>808</v>
      </c>
      <c r="K502" s="6">
        <f t="shared" si="28"/>
        <v>12624</v>
      </c>
      <c r="L502" s="6">
        <f t="shared" si="29"/>
        <v>19392</v>
      </c>
      <c r="M502" s="6">
        <f t="shared" si="30"/>
        <v>6768</v>
      </c>
      <c r="N502" s="6" t="str">
        <f t="shared" si="31"/>
        <v>profit</v>
      </c>
    </row>
    <row r="503" spans="1:14" ht="15.6" thickTop="1" thickBot="1" x14ac:dyDescent="0.35">
      <c r="A503" s="4">
        <v>45633</v>
      </c>
      <c r="B503" s="4" t="s">
        <v>189</v>
      </c>
      <c r="C503" s="5" t="s">
        <v>236</v>
      </c>
      <c r="D503" s="5" t="s">
        <v>45</v>
      </c>
      <c r="E503" s="5" t="s">
        <v>117</v>
      </c>
      <c r="F503" s="5" t="s">
        <v>43</v>
      </c>
      <c r="G503" s="5" t="s">
        <v>18</v>
      </c>
      <c r="H503" s="5">
        <v>29</v>
      </c>
      <c r="I503" s="5">
        <v>932</v>
      </c>
      <c r="J503" s="5">
        <v>1316</v>
      </c>
      <c r="K503" s="6">
        <f t="shared" si="28"/>
        <v>27028</v>
      </c>
      <c r="L503" s="6">
        <f t="shared" si="29"/>
        <v>38164</v>
      </c>
      <c r="M503" s="6">
        <f t="shared" si="30"/>
        <v>11136</v>
      </c>
      <c r="N503" s="6" t="str">
        <f t="shared" si="31"/>
        <v>profit</v>
      </c>
    </row>
    <row r="504" spans="1:14" ht="15.6" thickTop="1" thickBot="1" x14ac:dyDescent="0.35">
      <c r="A504" s="4">
        <v>45554</v>
      </c>
      <c r="B504" s="4" t="s">
        <v>68</v>
      </c>
      <c r="C504" s="5" t="s">
        <v>126</v>
      </c>
      <c r="D504" s="5" t="s">
        <v>15</v>
      </c>
      <c r="E504" s="5" t="s">
        <v>36</v>
      </c>
      <c r="F504" s="5" t="s">
        <v>38</v>
      </c>
      <c r="G504" s="5" t="s">
        <v>27</v>
      </c>
      <c r="H504" s="5">
        <v>17</v>
      </c>
      <c r="I504" s="5">
        <v>614</v>
      </c>
      <c r="J504" s="5">
        <v>1273</v>
      </c>
      <c r="K504" s="6">
        <f t="shared" si="28"/>
        <v>10438</v>
      </c>
      <c r="L504" s="6">
        <f t="shared" si="29"/>
        <v>21641</v>
      </c>
      <c r="M504" s="6">
        <f t="shared" si="30"/>
        <v>11203</v>
      </c>
      <c r="N504" s="6" t="str">
        <f t="shared" si="31"/>
        <v>profit</v>
      </c>
    </row>
    <row r="505" spans="1:14" ht="15.6" thickTop="1" thickBot="1" x14ac:dyDescent="0.35">
      <c r="A505" s="4">
        <v>45635</v>
      </c>
      <c r="B505" s="4" t="s">
        <v>189</v>
      </c>
      <c r="C505" s="5" t="s">
        <v>237</v>
      </c>
      <c r="D505" s="5" t="s">
        <v>45</v>
      </c>
      <c r="E505" s="5" t="s">
        <v>117</v>
      </c>
      <c r="F505" s="5" t="s">
        <v>154</v>
      </c>
      <c r="G505" s="5" t="s">
        <v>27</v>
      </c>
      <c r="H505" s="5">
        <v>22</v>
      </c>
      <c r="I505" s="5">
        <v>603</v>
      </c>
      <c r="J505" s="5">
        <v>794</v>
      </c>
      <c r="K505" s="6">
        <f t="shared" si="28"/>
        <v>13266</v>
      </c>
      <c r="L505" s="6">
        <f t="shared" si="29"/>
        <v>17468</v>
      </c>
      <c r="M505" s="6">
        <f t="shared" si="30"/>
        <v>4202</v>
      </c>
      <c r="N505" s="6" t="str">
        <f t="shared" si="31"/>
        <v>profit</v>
      </c>
    </row>
    <row r="506" spans="1:14" ht="15.6" thickTop="1" thickBot="1" x14ac:dyDescent="0.35">
      <c r="A506" s="4">
        <v>45689</v>
      </c>
      <c r="B506" s="4" t="s">
        <v>238</v>
      </c>
      <c r="C506" s="5" t="s">
        <v>239</v>
      </c>
      <c r="D506" s="5" t="s">
        <v>45</v>
      </c>
      <c r="E506" s="5" t="s">
        <v>117</v>
      </c>
      <c r="F506" s="5" t="s">
        <v>43</v>
      </c>
      <c r="G506" s="5" t="s">
        <v>18</v>
      </c>
      <c r="H506" s="5">
        <v>30</v>
      </c>
      <c r="I506" s="5">
        <v>946</v>
      </c>
      <c r="J506" s="5">
        <v>1109</v>
      </c>
      <c r="K506" s="6">
        <f t="shared" si="28"/>
        <v>28380</v>
      </c>
      <c r="L506" s="6">
        <f t="shared" si="29"/>
        <v>33270</v>
      </c>
      <c r="M506" s="6">
        <f t="shared" si="30"/>
        <v>4890</v>
      </c>
      <c r="N506" s="6" t="str">
        <f t="shared" si="31"/>
        <v>profit</v>
      </c>
    </row>
    <row r="507" spans="1:14" ht="15.6" thickTop="1" thickBot="1" x14ac:dyDescent="0.35">
      <c r="A507" s="4">
        <v>45690</v>
      </c>
      <c r="B507" s="4" t="s">
        <v>238</v>
      </c>
      <c r="C507" s="5" t="s">
        <v>240</v>
      </c>
      <c r="D507" s="5" t="s">
        <v>45</v>
      </c>
      <c r="E507" s="5" t="s">
        <v>117</v>
      </c>
      <c r="F507" s="5" t="s">
        <v>152</v>
      </c>
      <c r="G507" s="5" t="s">
        <v>18</v>
      </c>
      <c r="H507" s="5">
        <v>24</v>
      </c>
      <c r="I507" s="5">
        <v>580</v>
      </c>
      <c r="J507" s="5">
        <v>809</v>
      </c>
      <c r="K507" s="6">
        <f t="shared" si="28"/>
        <v>13920</v>
      </c>
      <c r="L507" s="6">
        <f t="shared" si="29"/>
        <v>19416</v>
      </c>
      <c r="M507" s="6">
        <f t="shared" si="30"/>
        <v>5496</v>
      </c>
      <c r="N507" s="6" t="str">
        <f t="shared" si="31"/>
        <v>profit</v>
      </c>
    </row>
    <row r="508" spans="1:14" ht="15.6" thickTop="1" thickBot="1" x14ac:dyDescent="0.35">
      <c r="A508" s="4">
        <v>45691</v>
      </c>
      <c r="B508" s="4" t="s">
        <v>238</v>
      </c>
      <c r="C508" s="5" t="s">
        <v>241</v>
      </c>
      <c r="D508" s="5" t="s">
        <v>45</v>
      </c>
      <c r="E508" s="5" t="s">
        <v>117</v>
      </c>
      <c r="F508" s="5" t="s">
        <v>154</v>
      </c>
      <c r="G508" s="5" t="s">
        <v>18</v>
      </c>
      <c r="H508" s="5">
        <v>30</v>
      </c>
      <c r="I508" s="5">
        <v>732</v>
      </c>
      <c r="J508" s="5">
        <v>944</v>
      </c>
      <c r="K508" s="6">
        <f t="shared" si="28"/>
        <v>21960</v>
      </c>
      <c r="L508" s="6">
        <f t="shared" si="29"/>
        <v>28320</v>
      </c>
      <c r="M508" s="6">
        <f t="shared" si="30"/>
        <v>6360</v>
      </c>
      <c r="N508" s="6" t="str">
        <f t="shared" si="31"/>
        <v>profit</v>
      </c>
    </row>
    <row r="509" spans="1:14" ht="15.6" thickTop="1" thickBot="1" x14ac:dyDescent="0.35">
      <c r="A509" s="4">
        <v>45692</v>
      </c>
      <c r="B509" s="4" t="s">
        <v>238</v>
      </c>
      <c r="C509" s="5" t="s">
        <v>243</v>
      </c>
      <c r="D509" s="5" t="s">
        <v>45</v>
      </c>
      <c r="E509" s="5" t="s">
        <v>117</v>
      </c>
      <c r="F509" s="5" t="s">
        <v>17</v>
      </c>
      <c r="G509" s="5" t="s">
        <v>27</v>
      </c>
      <c r="H509" s="5">
        <v>20</v>
      </c>
      <c r="I509" s="5">
        <v>552</v>
      </c>
      <c r="J509" s="5">
        <v>1261</v>
      </c>
      <c r="K509" s="6">
        <f t="shared" si="28"/>
        <v>11040</v>
      </c>
      <c r="L509" s="6">
        <f t="shared" si="29"/>
        <v>25220</v>
      </c>
      <c r="M509" s="6">
        <f t="shared" si="30"/>
        <v>14180</v>
      </c>
      <c r="N509" s="6" t="str">
        <f t="shared" si="31"/>
        <v>profit</v>
      </c>
    </row>
    <row r="510" spans="1:14" ht="15.6" thickTop="1" thickBot="1" x14ac:dyDescent="0.35">
      <c r="A510" s="4">
        <v>45693</v>
      </c>
      <c r="B510" s="4" t="s">
        <v>238</v>
      </c>
      <c r="C510" s="5" t="s">
        <v>244</v>
      </c>
      <c r="D510" s="5" t="s">
        <v>45</v>
      </c>
      <c r="E510" s="5" t="s">
        <v>117</v>
      </c>
      <c r="F510" s="5" t="s">
        <v>20</v>
      </c>
      <c r="G510" s="5" t="s">
        <v>27</v>
      </c>
      <c r="H510" s="5">
        <v>21</v>
      </c>
      <c r="I510" s="5">
        <v>876</v>
      </c>
      <c r="J510" s="5">
        <v>1452</v>
      </c>
      <c r="K510" s="6">
        <f t="shared" si="28"/>
        <v>18396</v>
      </c>
      <c r="L510" s="6">
        <f t="shared" si="29"/>
        <v>30492</v>
      </c>
      <c r="M510" s="6">
        <f t="shared" si="30"/>
        <v>12096</v>
      </c>
      <c r="N510" s="6" t="str">
        <f t="shared" si="31"/>
        <v>profit</v>
      </c>
    </row>
    <row r="511" spans="1:14" ht="15.6" thickTop="1" thickBot="1" x14ac:dyDescent="0.35">
      <c r="A511" s="4">
        <v>45694</v>
      </c>
      <c r="B511" s="4" t="s">
        <v>238</v>
      </c>
      <c r="C511" s="5" t="s">
        <v>245</v>
      </c>
      <c r="D511" s="5" t="s">
        <v>45</v>
      </c>
      <c r="E511" s="5" t="s">
        <v>117</v>
      </c>
      <c r="F511" s="5" t="s">
        <v>22</v>
      </c>
      <c r="G511" s="5" t="s">
        <v>27</v>
      </c>
      <c r="H511" s="5">
        <v>27</v>
      </c>
      <c r="I511" s="5">
        <v>636</v>
      </c>
      <c r="J511" s="5">
        <v>1284</v>
      </c>
      <c r="K511" s="6">
        <f t="shared" si="28"/>
        <v>17172</v>
      </c>
      <c r="L511" s="6">
        <f t="shared" si="29"/>
        <v>34668</v>
      </c>
      <c r="M511" s="6">
        <f t="shared" si="30"/>
        <v>17496</v>
      </c>
      <c r="N511" s="6" t="str">
        <f t="shared" si="31"/>
        <v>profit</v>
      </c>
    </row>
    <row r="512" spans="1:14" ht="15.6" thickTop="1" thickBot="1" x14ac:dyDescent="0.35">
      <c r="A512" s="4">
        <v>45695</v>
      </c>
      <c r="B512" s="4" t="s">
        <v>238</v>
      </c>
      <c r="C512" s="5" t="s">
        <v>247</v>
      </c>
      <c r="D512" s="5" t="s">
        <v>45</v>
      </c>
      <c r="E512" s="5" t="s">
        <v>117</v>
      </c>
      <c r="F512" s="5" t="s">
        <v>24</v>
      </c>
      <c r="G512" s="5" t="s">
        <v>27</v>
      </c>
      <c r="H512" s="5">
        <v>21</v>
      </c>
      <c r="I512" s="5">
        <v>974</v>
      </c>
      <c r="J512" s="5">
        <v>1363</v>
      </c>
      <c r="K512" s="6">
        <f t="shared" si="28"/>
        <v>20454</v>
      </c>
      <c r="L512" s="6">
        <f t="shared" si="29"/>
        <v>28623</v>
      </c>
      <c r="M512" s="6">
        <f t="shared" si="30"/>
        <v>8169</v>
      </c>
      <c r="N512" s="6" t="str">
        <f t="shared" si="31"/>
        <v>profit</v>
      </c>
    </row>
    <row r="513" spans="1:14" ht="15.6" thickTop="1" thickBot="1" x14ac:dyDescent="0.35">
      <c r="A513" s="4">
        <v>45563</v>
      </c>
      <c r="B513" s="4" t="s">
        <v>68</v>
      </c>
      <c r="C513" s="5" t="s">
        <v>127</v>
      </c>
      <c r="D513" s="5" t="s">
        <v>15</v>
      </c>
      <c r="E513" s="5" t="s">
        <v>16</v>
      </c>
      <c r="F513" s="5" t="s">
        <v>38</v>
      </c>
      <c r="G513" s="5" t="s">
        <v>18</v>
      </c>
      <c r="H513" s="5">
        <v>10</v>
      </c>
      <c r="I513" s="5">
        <v>572</v>
      </c>
      <c r="J513" s="5">
        <v>801</v>
      </c>
      <c r="K513" s="6">
        <f t="shared" si="28"/>
        <v>5720</v>
      </c>
      <c r="L513" s="6">
        <f t="shared" si="29"/>
        <v>8010</v>
      </c>
      <c r="M513" s="6">
        <f t="shared" si="30"/>
        <v>2290</v>
      </c>
      <c r="N513" s="6" t="str">
        <f t="shared" si="31"/>
        <v>profit</v>
      </c>
    </row>
    <row r="514" spans="1:14" ht="15.6" thickTop="1" thickBot="1" x14ac:dyDescent="0.35">
      <c r="A514" s="4">
        <v>45696</v>
      </c>
      <c r="B514" s="4" t="s">
        <v>238</v>
      </c>
      <c r="C514" s="5" t="s">
        <v>248</v>
      </c>
      <c r="D514" s="5" t="s">
        <v>45</v>
      </c>
      <c r="E514" s="5" t="s">
        <v>117</v>
      </c>
      <c r="F514" s="5" t="s">
        <v>24</v>
      </c>
      <c r="G514" s="5" t="s">
        <v>27</v>
      </c>
      <c r="H514" s="5">
        <v>30</v>
      </c>
      <c r="I514" s="5">
        <v>518</v>
      </c>
      <c r="J514" s="5">
        <v>858</v>
      </c>
      <c r="K514" s="6">
        <f t="shared" ref="K514:K577" si="32">H514*I514</f>
        <v>15540</v>
      </c>
      <c r="L514" s="6">
        <f t="shared" ref="L514:L577" si="33">H514*J514</f>
        <v>25740</v>
      </c>
      <c r="M514" s="6">
        <f t="shared" ref="M514:M577" si="34">L514-K514</f>
        <v>10200</v>
      </c>
      <c r="N514" s="6" t="str">
        <f t="shared" ref="N514:N577" si="35">IF(M514&gt;0,"profit","loss")</f>
        <v>profit</v>
      </c>
    </row>
    <row r="515" spans="1:14" ht="15.6" thickTop="1" thickBot="1" x14ac:dyDescent="0.35">
      <c r="A515" s="4">
        <v>45565</v>
      </c>
      <c r="B515" s="4" t="s">
        <v>68</v>
      </c>
      <c r="C515" s="5" t="s">
        <v>128</v>
      </c>
      <c r="D515" s="5" t="s">
        <v>15</v>
      </c>
      <c r="E515" s="5" t="s">
        <v>16</v>
      </c>
      <c r="F515" s="5" t="s">
        <v>63</v>
      </c>
      <c r="G515" s="5" t="s">
        <v>18</v>
      </c>
      <c r="H515" s="5">
        <v>12</v>
      </c>
      <c r="I515" s="5">
        <v>674</v>
      </c>
      <c r="J515" s="5">
        <v>1265</v>
      </c>
      <c r="K515" s="6">
        <f t="shared" si="32"/>
        <v>8088</v>
      </c>
      <c r="L515" s="6">
        <f t="shared" si="33"/>
        <v>15180</v>
      </c>
      <c r="M515" s="6">
        <f t="shared" si="34"/>
        <v>7092</v>
      </c>
      <c r="N515" s="6" t="str">
        <f t="shared" si="35"/>
        <v>profit</v>
      </c>
    </row>
    <row r="516" spans="1:14" ht="15.6" thickTop="1" thickBot="1" x14ac:dyDescent="0.35">
      <c r="A516" s="4">
        <v>45697</v>
      </c>
      <c r="B516" s="4" t="s">
        <v>238</v>
      </c>
      <c r="C516" s="5" t="s">
        <v>249</v>
      </c>
      <c r="D516" s="5" t="s">
        <v>45</v>
      </c>
      <c r="E516" s="5" t="s">
        <v>117</v>
      </c>
      <c r="F516" s="5" t="s">
        <v>26</v>
      </c>
      <c r="G516" s="5" t="s">
        <v>18</v>
      </c>
      <c r="H516" s="5">
        <v>21</v>
      </c>
      <c r="I516" s="5">
        <v>531</v>
      </c>
      <c r="J516" s="5">
        <v>955</v>
      </c>
      <c r="K516" s="6">
        <f t="shared" si="32"/>
        <v>11151</v>
      </c>
      <c r="L516" s="6">
        <f t="shared" si="33"/>
        <v>20055</v>
      </c>
      <c r="M516" s="6">
        <f t="shared" si="34"/>
        <v>8904</v>
      </c>
      <c r="N516" s="6" t="str">
        <f t="shared" si="35"/>
        <v>profit</v>
      </c>
    </row>
    <row r="517" spans="1:14" ht="15.6" thickTop="1" thickBot="1" x14ac:dyDescent="0.35">
      <c r="A517" s="4">
        <v>45699</v>
      </c>
      <c r="B517" s="4" t="s">
        <v>238</v>
      </c>
      <c r="C517" s="5" t="s">
        <v>250</v>
      </c>
      <c r="D517" s="5" t="s">
        <v>45</v>
      </c>
      <c r="E517" s="5" t="s">
        <v>117</v>
      </c>
      <c r="F517" s="5" t="s">
        <v>34</v>
      </c>
      <c r="G517" s="5" t="s">
        <v>18</v>
      </c>
      <c r="H517" s="5">
        <v>26</v>
      </c>
      <c r="I517" s="5">
        <v>842</v>
      </c>
      <c r="J517" s="5">
        <v>1074</v>
      </c>
      <c r="K517" s="6">
        <f t="shared" si="32"/>
        <v>21892</v>
      </c>
      <c r="L517" s="6">
        <f t="shared" si="33"/>
        <v>27924</v>
      </c>
      <c r="M517" s="6">
        <f t="shared" si="34"/>
        <v>6032</v>
      </c>
      <c r="N517" s="6" t="str">
        <f t="shared" si="35"/>
        <v>profit</v>
      </c>
    </row>
    <row r="518" spans="1:14" ht="15.6" thickTop="1" thickBot="1" x14ac:dyDescent="0.35">
      <c r="A518" s="4">
        <v>45387</v>
      </c>
      <c r="B518" s="4" t="s">
        <v>30</v>
      </c>
      <c r="C518" s="5" t="s">
        <v>254</v>
      </c>
      <c r="D518" s="5" t="s">
        <v>32</v>
      </c>
      <c r="E518" s="5" t="s">
        <v>33</v>
      </c>
      <c r="F518" s="5" t="s">
        <v>75</v>
      </c>
      <c r="G518" s="5" t="s">
        <v>27</v>
      </c>
      <c r="H518" s="5">
        <v>95</v>
      </c>
      <c r="I518" s="5">
        <v>936</v>
      </c>
      <c r="J518" s="5">
        <v>1350</v>
      </c>
      <c r="K518" s="6">
        <f t="shared" si="32"/>
        <v>88920</v>
      </c>
      <c r="L518" s="6">
        <f t="shared" si="33"/>
        <v>128250</v>
      </c>
      <c r="M518" s="6">
        <f t="shared" si="34"/>
        <v>39330</v>
      </c>
      <c r="N518" s="6" t="str">
        <f t="shared" si="35"/>
        <v>profit</v>
      </c>
    </row>
    <row r="519" spans="1:14" ht="15.6" thickTop="1" thickBot="1" x14ac:dyDescent="0.35">
      <c r="A519" s="4">
        <v>45388</v>
      </c>
      <c r="B519" s="4" t="s">
        <v>30</v>
      </c>
      <c r="C519" s="5" t="s">
        <v>255</v>
      </c>
      <c r="D519" s="5" t="s">
        <v>32</v>
      </c>
      <c r="E519" s="5" t="s">
        <v>33</v>
      </c>
      <c r="F519" s="5" t="s">
        <v>77</v>
      </c>
      <c r="G519" s="5" t="s">
        <v>27</v>
      </c>
      <c r="H519" s="5">
        <v>84</v>
      </c>
      <c r="I519" s="5">
        <v>784</v>
      </c>
      <c r="J519" s="5">
        <v>965</v>
      </c>
      <c r="K519" s="6">
        <f t="shared" si="32"/>
        <v>65856</v>
      </c>
      <c r="L519" s="6">
        <f t="shared" si="33"/>
        <v>81060</v>
      </c>
      <c r="M519" s="6">
        <f t="shared" si="34"/>
        <v>15204</v>
      </c>
      <c r="N519" s="6" t="str">
        <f t="shared" si="35"/>
        <v>profit</v>
      </c>
    </row>
    <row r="520" spans="1:14" ht="15.6" thickTop="1" thickBot="1" x14ac:dyDescent="0.35">
      <c r="A520" s="4">
        <v>45390</v>
      </c>
      <c r="B520" s="4" t="s">
        <v>30</v>
      </c>
      <c r="C520" s="5" t="s">
        <v>256</v>
      </c>
      <c r="D520" s="5" t="s">
        <v>32</v>
      </c>
      <c r="E520" s="5" t="s">
        <v>33</v>
      </c>
      <c r="F520" s="5" t="s">
        <v>43</v>
      </c>
      <c r="G520" s="5" t="s">
        <v>27</v>
      </c>
      <c r="H520" s="5">
        <v>51</v>
      </c>
      <c r="I520" s="5">
        <v>847</v>
      </c>
      <c r="J520" s="5">
        <v>972</v>
      </c>
      <c r="K520" s="6">
        <f t="shared" si="32"/>
        <v>43197</v>
      </c>
      <c r="L520" s="6">
        <f t="shared" si="33"/>
        <v>49572</v>
      </c>
      <c r="M520" s="6">
        <f t="shared" si="34"/>
        <v>6375</v>
      </c>
      <c r="N520" s="6" t="str">
        <f t="shared" si="35"/>
        <v>profit</v>
      </c>
    </row>
    <row r="521" spans="1:14" ht="15.6" thickTop="1" thickBot="1" x14ac:dyDescent="0.35">
      <c r="A521" s="4">
        <v>45571</v>
      </c>
      <c r="B521" s="4" t="s">
        <v>84</v>
      </c>
      <c r="C521" s="5" t="s">
        <v>129</v>
      </c>
      <c r="D521" s="5" t="s">
        <v>32</v>
      </c>
      <c r="E521" s="5" t="s">
        <v>98</v>
      </c>
      <c r="F521" s="5" t="s">
        <v>43</v>
      </c>
      <c r="G521" s="5" t="s">
        <v>18</v>
      </c>
      <c r="H521" s="5">
        <v>52</v>
      </c>
      <c r="I521" s="5">
        <v>546</v>
      </c>
      <c r="J521" s="5">
        <v>1482</v>
      </c>
      <c r="K521" s="6">
        <f t="shared" si="32"/>
        <v>28392</v>
      </c>
      <c r="L521" s="6">
        <f t="shared" si="33"/>
        <v>77064</v>
      </c>
      <c r="M521" s="6">
        <f t="shared" si="34"/>
        <v>48672</v>
      </c>
      <c r="N521" s="6" t="str">
        <f t="shared" si="35"/>
        <v>profit</v>
      </c>
    </row>
    <row r="522" spans="1:14" ht="15.6" thickTop="1" thickBot="1" x14ac:dyDescent="0.35">
      <c r="A522" s="4">
        <v>45397</v>
      </c>
      <c r="B522" s="4" t="s">
        <v>30</v>
      </c>
      <c r="C522" s="5" t="s">
        <v>257</v>
      </c>
      <c r="D522" s="5" t="s">
        <v>32</v>
      </c>
      <c r="E522" s="5" t="s">
        <v>162</v>
      </c>
      <c r="F522" s="5" t="s">
        <v>43</v>
      </c>
      <c r="G522" s="5" t="s">
        <v>18</v>
      </c>
      <c r="H522" s="5">
        <v>68</v>
      </c>
      <c r="I522" s="5">
        <v>534</v>
      </c>
      <c r="J522" s="5">
        <v>1085</v>
      </c>
      <c r="K522" s="6">
        <f t="shared" si="32"/>
        <v>36312</v>
      </c>
      <c r="L522" s="6">
        <f t="shared" si="33"/>
        <v>73780</v>
      </c>
      <c r="M522" s="6">
        <f t="shared" si="34"/>
        <v>37468</v>
      </c>
      <c r="N522" s="6" t="str">
        <f t="shared" si="35"/>
        <v>profit</v>
      </c>
    </row>
    <row r="523" spans="1:14" ht="15.6" thickTop="1" thickBot="1" x14ac:dyDescent="0.35">
      <c r="A523" s="4">
        <v>45398</v>
      </c>
      <c r="B523" s="4" t="s">
        <v>30</v>
      </c>
      <c r="C523" s="5" t="s">
        <v>258</v>
      </c>
      <c r="D523" s="5" t="s">
        <v>32</v>
      </c>
      <c r="E523" s="5" t="s">
        <v>162</v>
      </c>
      <c r="F523" s="5" t="s">
        <v>48</v>
      </c>
      <c r="G523" s="5" t="s">
        <v>18</v>
      </c>
      <c r="H523" s="5">
        <v>68</v>
      </c>
      <c r="I523" s="5">
        <v>575</v>
      </c>
      <c r="J523" s="5">
        <v>1242</v>
      </c>
      <c r="K523" s="6">
        <f t="shared" si="32"/>
        <v>39100</v>
      </c>
      <c r="L523" s="6">
        <f t="shared" si="33"/>
        <v>84456</v>
      </c>
      <c r="M523" s="6">
        <f t="shared" si="34"/>
        <v>45356</v>
      </c>
      <c r="N523" s="6" t="str">
        <f t="shared" si="35"/>
        <v>profit</v>
      </c>
    </row>
    <row r="524" spans="1:14" ht="15.6" thickTop="1" thickBot="1" x14ac:dyDescent="0.35">
      <c r="A524" s="4">
        <v>45399</v>
      </c>
      <c r="B524" s="4" t="s">
        <v>30</v>
      </c>
      <c r="C524" s="5" t="s">
        <v>259</v>
      </c>
      <c r="D524" s="5" t="s">
        <v>32</v>
      </c>
      <c r="E524" s="5" t="s">
        <v>162</v>
      </c>
      <c r="F524" s="5" t="s">
        <v>26</v>
      </c>
      <c r="G524" s="5" t="s">
        <v>18</v>
      </c>
      <c r="H524" s="5">
        <v>79</v>
      </c>
      <c r="I524" s="5">
        <v>537</v>
      </c>
      <c r="J524" s="5">
        <v>850</v>
      </c>
      <c r="K524" s="6">
        <f t="shared" si="32"/>
        <v>42423</v>
      </c>
      <c r="L524" s="6">
        <f t="shared" si="33"/>
        <v>67150</v>
      </c>
      <c r="M524" s="6">
        <f t="shared" si="34"/>
        <v>24727</v>
      </c>
      <c r="N524" s="6" t="str">
        <f t="shared" si="35"/>
        <v>profit</v>
      </c>
    </row>
    <row r="525" spans="1:14" ht="15.6" thickTop="1" thickBot="1" x14ac:dyDescent="0.35">
      <c r="A525" s="4">
        <v>45400</v>
      </c>
      <c r="B525" s="4" t="s">
        <v>30</v>
      </c>
      <c r="C525" s="5" t="s">
        <v>260</v>
      </c>
      <c r="D525" s="5" t="s">
        <v>32</v>
      </c>
      <c r="E525" s="5" t="s">
        <v>162</v>
      </c>
      <c r="F525" s="5" t="s">
        <v>51</v>
      </c>
      <c r="G525" s="5" t="s">
        <v>18</v>
      </c>
      <c r="H525" s="5">
        <v>65</v>
      </c>
      <c r="I525" s="5">
        <v>935</v>
      </c>
      <c r="J525" s="5">
        <v>752</v>
      </c>
      <c r="K525" s="6">
        <f t="shared" si="32"/>
        <v>60775</v>
      </c>
      <c r="L525" s="6">
        <f t="shared" si="33"/>
        <v>48880</v>
      </c>
      <c r="M525" s="6">
        <f t="shared" si="34"/>
        <v>-11895</v>
      </c>
      <c r="N525" s="6" t="str">
        <f t="shared" si="35"/>
        <v>loss</v>
      </c>
    </row>
    <row r="526" spans="1:14" ht="15.6" thickTop="1" thickBot="1" x14ac:dyDescent="0.35">
      <c r="A526" s="4">
        <v>45401</v>
      </c>
      <c r="B526" s="4" t="s">
        <v>30</v>
      </c>
      <c r="C526" s="5" t="s">
        <v>261</v>
      </c>
      <c r="D526" s="5" t="s">
        <v>32</v>
      </c>
      <c r="E526" s="5" t="s">
        <v>162</v>
      </c>
      <c r="F526" s="5" t="s">
        <v>53</v>
      </c>
      <c r="G526" s="5" t="s">
        <v>18</v>
      </c>
      <c r="H526" s="5">
        <v>66</v>
      </c>
      <c r="I526" s="5">
        <v>709</v>
      </c>
      <c r="J526" s="5">
        <v>1021</v>
      </c>
      <c r="K526" s="6">
        <f t="shared" si="32"/>
        <v>46794</v>
      </c>
      <c r="L526" s="6">
        <f t="shared" si="33"/>
        <v>67386</v>
      </c>
      <c r="M526" s="6">
        <f t="shared" si="34"/>
        <v>20592</v>
      </c>
      <c r="N526" s="6" t="str">
        <f t="shared" si="35"/>
        <v>profit</v>
      </c>
    </row>
    <row r="527" spans="1:14" ht="15.6" thickTop="1" thickBot="1" x14ac:dyDescent="0.35">
      <c r="A527" s="4">
        <v>45402</v>
      </c>
      <c r="B527" s="4" t="s">
        <v>30</v>
      </c>
      <c r="C527" s="5" t="s">
        <v>262</v>
      </c>
      <c r="D527" s="5" t="s">
        <v>32</v>
      </c>
      <c r="E527" s="5" t="s">
        <v>162</v>
      </c>
      <c r="F527" s="5" t="s">
        <v>34</v>
      </c>
      <c r="G527" s="5" t="s">
        <v>27</v>
      </c>
      <c r="H527" s="5">
        <v>70</v>
      </c>
      <c r="I527" s="5">
        <v>751</v>
      </c>
      <c r="J527" s="5">
        <v>1485</v>
      </c>
      <c r="K527" s="6">
        <f t="shared" si="32"/>
        <v>52570</v>
      </c>
      <c r="L527" s="6">
        <f t="shared" si="33"/>
        <v>103950</v>
      </c>
      <c r="M527" s="6">
        <f t="shared" si="34"/>
        <v>51380</v>
      </c>
      <c r="N527" s="6" t="str">
        <f t="shared" si="35"/>
        <v>profit</v>
      </c>
    </row>
    <row r="528" spans="1:14" ht="15.6" thickTop="1" thickBot="1" x14ac:dyDescent="0.35">
      <c r="A528" s="4">
        <v>45578</v>
      </c>
      <c r="B528" s="4" t="s">
        <v>84</v>
      </c>
      <c r="C528" s="5" t="s">
        <v>134</v>
      </c>
      <c r="D528" s="5" t="s">
        <v>32</v>
      </c>
      <c r="E528" s="5" t="s">
        <v>119</v>
      </c>
      <c r="F528" s="5" t="s">
        <v>24</v>
      </c>
      <c r="G528" s="5" t="s">
        <v>27</v>
      </c>
      <c r="H528" s="5">
        <v>86</v>
      </c>
      <c r="I528" s="5">
        <v>717</v>
      </c>
      <c r="J528" s="5">
        <v>1445</v>
      </c>
      <c r="K528" s="6">
        <f t="shared" si="32"/>
        <v>61662</v>
      </c>
      <c r="L528" s="6">
        <f t="shared" si="33"/>
        <v>124270</v>
      </c>
      <c r="M528" s="6">
        <f t="shared" si="34"/>
        <v>62608</v>
      </c>
      <c r="N528" s="6" t="str">
        <f t="shared" si="35"/>
        <v>profit</v>
      </c>
    </row>
    <row r="529" spans="1:14" ht="15.6" thickTop="1" thickBot="1" x14ac:dyDescent="0.35">
      <c r="A529" s="4">
        <v>45403</v>
      </c>
      <c r="B529" s="4" t="s">
        <v>30</v>
      </c>
      <c r="C529" s="5" t="s">
        <v>263</v>
      </c>
      <c r="D529" s="5" t="s">
        <v>32</v>
      </c>
      <c r="E529" s="5" t="s">
        <v>162</v>
      </c>
      <c r="F529" s="5" t="s">
        <v>38</v>
      </c>
      <c r="G529" s="5" t="s">
        <v>27</v>
      </c>
      <c r="H529" s="5">
        <v>75</v>
      </c>
      <c r="I529" s="5">
        <v>686</v>
      </c>
      <c r="J529" s="5">
        <v>1254</v>
      </c>
      <c r="K529" s="6">
        <f t="shared" si="32"/>
        <v>51450</v>
      </c>
      <c r="L529" s="6">
        <f t="shared" si="33"/>
        <v>94050</v>
      </c>
      <c r="M529" s="6">
        <f t="shared" si="34"/>
        <v>42600</v>
      </c>
      <c r="N529" s="6" t="str">
        <f t="shared" si="35"/>
        <v>profit</v>
      </c>
    </row>
    <row r="530" spans="1:14" ht="15.6" thickTop="1" thickBot="1" x14ac:dyDescent="0.35">
      <c r="A530" s="4">
        <v>45431</v>
      </c>
      <c r="B530" s="4" t="s">
        <v>96</v>
      </c>
      <c r="C530" s="5" t="s">
        <v>264</v>
      </c>
      <c r="D530" s="5" t="s">
        <v>32</v>
      </c>
      <c r="E530" s="5" t="s">
        <v>98</v>
      </c>
      <c r="F530" s="5" t="s">
        <v>59</v>
      </c>
      <c r="G530" s="5" t="s">
        <v>27</v>
      </c>
      <c r="H530" s="5">
        <v>91</v>
      </c>
      <c r="I530" s="5">
        <v>518</v>
      </c>
      <c r="J530" s="5">
        <v>1465</v>
      </c>
      <c r="K530" s="6">
        <f t="shared" si="32"/>
        <v>47138</v>
      </c>
      <c r="L530" s="6">
        <f t="shared" si="33"/>
        <v>133315</v>
      </c>
      <c r="M530" s="6">
        <f t="shared" si="34"/>
        <v>86177</v>
      </c>
      <c r="N530" s="6" t="str">
        <f t="shared" si="35"/>
        <v>profit</v>
      </c>
    </row>
    <row r="531" spans="1:14" ht="15.6" thickTop="1" thickBot="1" x14ac:dyDescent="0.35">
      <c r="A531" s="4">
        <v>45433</v>
      </c>
      <c r="B531" s="4" t="s">
        <v>96</v>
      </c>
      <c r="C531" s="5" t="s">
        <v>265</v>
      </c>
      <c r="D531" s="5" t="s">
        <v>32</v>
      </c>
      <c r="E531" s="5" t="s">
        <v>98</v>
      </c>
      <c r="F531" s="5" t="s">
        <v>38</v>
      </c>
      <c r="G531" s="5" t="s">
        <v>18</v>
      </c>
      <c r="H531" s="5">
        <v>96</v>
      </c>
      <c r="I531" s="5">
        <v>791</v>
      </c>
      <c r="J531" s="5">
        <v>931</v>
      </c>
      <c r="K531" s="6">
        <f t="shared" si="32"/>
        <v>75936</v>
      </c>
      <c r="L531" s="6">
        <f t="shared" si="33"/>
        <v>89376</v>
      </c>
      <c r="M531" s="6">
        <f t="shared" si="34"/>
        <v>13440</v>
      </c>
      <c r="N531" s="6" t="str">
        <f t="shared" si="35"/>
        <v>profit</v>
      </c>
    </row>
    <row r="532" spans="1:14" ht="15.6" thickTop="1" thickBot="1" x14ac:dyDescent="0.35">
      <c r="A532" s="4">
        <v>45434</v>
      </c>
      <c r="B532" s="4" t="s">
        <v>96</v>
      </c>
      <c r="C532" s="5" t="s">
        <v>266</v>
      </c>
      <c r="D532" s="5" t="s">
        <v>32</v>
      </c>
      <c r="E532" s="5" t="s">
        <v>98</v>
      </c>
      <c r="F532" s="5" t="s">
        <v>38</v>
      </c>
      <c r="G532" s="5" t="s">
        <v>18</v>
      </c>
      <c r="H532" s="5">
        <v>69</v>
      </c>
      <c r="I532" s="5">
        <v>864</v>
      </c>
      <c r="J532" s="5">
        <v>935</v>
      </c>
      <c r="K532" s="6">
        <f t="shared" si="32"/>
        <v>59616</v>
      </c>
      <c r="L532" s="6">
        <f t="shared" si="33"/>
        <v>64515</v>
      </c>
      <c r="M532" s="6">
        <f t="shared" si="34"/>
        <v>4899</v>
      </c>
      <c r="N532" s="6" t="str">
        <f t="shared" si="35"/>
        <v>profit</v>
      </c>
    </row>
    <row r="533" spans="1:14" ht="15.6" thickTop="1" thickBot="1" x14ac:dyDescent="0.35">
      <c r="A533" s="4">
        <v>45583</v>
      </c>
      <c r="B533" s="4" t="s">
        <v>84</v>
      </c>
      <c r="C533" s="5" t="s">
        <v>139</v>
      </c>
      <c r="D533" s="5" t="s">
        <v>15</v>
      </c>
      <c r="E533" s="5" t="s">
        <v>36</v>
      </c>
      <c r="F533" s="5" t="s">
        <v>53</v>
      </c>
      <c r="G533" s="5" t="s">
        <v>18</v>
      </c>
      <c r="H533" s="5">
        <v>20</v>
      </c>
      <c r="I533" s="5">
        <v>784</v>
      </c>
      <c r="J533" s="5">
        <v>1320</v>
      </c>
      <c r="K533" s="6">
        <f t="shared" si="32"/>
        <v>15680</v>
      </c>
      <c r="L533" s="6">
        <f t="shared" si="33"/>
        <v>26400</v>
      </c>
      <c r="M533" s="6">
        <f t="shared" si="34"/>
        <v>10720</v>
      </c>
      <c r="N533" s="6" t="str">
        <f t="shared" si="35"/>
        <v>profit</v>
      </c>
    </row>
    <row r="534" spans="1:14" ht="15.6" thickTop="1" thickBot="1" x14ac:dyDescent="0.35">
      <c r="A534" s="4">
        <v>45435</v>
      </c>
      <c r="B534" s="4" t="s">
        <v>96</v>
      </c>
      <c r="C534" s="5" t="s">
        <v>267</v>
      </c>
      <c r="D534" s="5" t="s">
        <v>32</v>
      </c>
      <c r="E534" s="5" t="s">
        <v>98</v>
      </c>
      <c r="F534" s="5" t="s">
        <v>43</v>
      </c>
      <c r="G534" s="5" t="s">
        <v>18</v>
      </c>
      <c r="H534" s="5">
        <v>55</v>
      </c>
      <c r="I534" s="5">
        <v>782</v>
      </c>
      <c r="J534" s="5">
        <v>1335</v>
      </c>
      <c r="K534" s="6">
        <f t="shared" si="32"/>
        <v>43010</v>
      </c>
      <c r="L534" s="6">
        <f t="shared" si="33"/>
        <v>73425</v>
      </c>
      <c r="M534" s="6">
        <f t="shared" si="34"/>
        <v>30415</v>
      </c>
      <c r="N534" s="6" t="str">
        <f t="shared" si="35"/>
        <v>profit</v>
      </c>
    </row>
    <row r="535" spans="1:14" ht="15.6" thickTop="1" thickBot="1" x14ac:dyDescent="0.35">
      <c r="A535" s="4">
        <v>45436</v>
      </c>
      <c r="B535" s="4" t="s">
        <v>96</v>
      </c>
      <c r="C535" s="5" t="s">
        <v>268</v>
      </c>
      <c r="D535" s="5" t="s">
        <v>32</v>
      </c>
      <c r="E535" s="5" t="s">
        <v>98</v>
      </c>
      <c r="F535" s="5" t="s">
        <v>26</v>
      </c>
      <c r="G535" s="5" t="s">
        <v>18</v>
      </c>
      <c r="H535" s="5">
        <v>71</v>
      </c>
      <c r="I535" s="5">
        <v>653</v>
      </c>
      <c r="J535" s="5">
        <v>963</v>
      </c>
      <c r="K535" s="6">
        <f t="shared" si="32"/>
        <v>46363</v>
      </c>
      <c r="L535" s="6">
        <f t="shared" si="33"/>
        <v>68373</v>
      </c>
      <c r="M535" s="6">
        <f t="shared" si="34"/>
        <v>22010</v>
      </c>
      <c r="N535" s="6" t="str">
        <f t="shared" si="35"/>
        <v>profit</v>
      </c>
    </row>
    <row r="536" spans="1:14" ht="15.6" thickTop="1" thickBot="1" x14ac:dyDescent="0.35">
      <c r="A536" s="4">
        <v>45586</v>
      </c>
      <c r="B536" s="4" t="s">
        <v>84</v>
      </c>
      <c r="C536" s="5" t="s">
        <v>142</v>
      </c>
      <c r="D536" s="5" t="s">
        <v>15</v>
      </c>
      <c r="E536" s="5" t="s">
        <v>36</v>
      </c>
      <c r="F536" s="5" t="s">
        <v>38</v>
      </c>
      <c r="G536" s="5" t="s">
        <v>18</v>
      </c>
      <c r="H536" s="5">
        <v>19</v>
      </c>
      <c r="I536" s="5">
        <v>664</v>
      </c>
      <c r="J536" s="5">
        <v>1091</v>
      </c>
      <c r="K536" s="6">
        <f t="shared" si="32"/>
        <v>12616</v>
      </c>
      <c r="L536" s="6">
        <f t="shared" si="33"/>
        <v>20729</v>
      </c>
      <c r="M536" s="6">
        <f t="shared" si="34"/>
        <v>8113</v>
      </c>
      <c r="N536" s="6" t="str">
        <f t="shared" si="35"/>
        <v>profit</v>
      </c>
    </row>
    <row r="537" spans="1:14" ht="15.6" thickTop="1" thickBot="1" x14ac:dyDescent="0.35">
      <c r="A537" s="4">
        <v>45437</v>
      </c>
      <c r="B537" s="4" t="s">
        <v>96</v>
      </c>
      <c r="C537" s="5" t="s">
        <v>269</v>
      </c>
      <c r="D537" s="5" t="s">
        <v>32</v>
      </c>
      <c r="E537" s="5" t="s">
        <v>98</v>
      </c>
      <c r="F537" s="5" t="s">
        <v>43</v>
      </c>
      <c r="G537" s="5" t="s">
        <v>18</v>
      </c>
      <c r="H537" s="5">
        <v>88</v>
      </c>
      <c r="I537" s="5">
        <v>959</v>
      </c>
      <c r="J537" s="5">
        <v>985</v>
      </c>
      <c r="K537" s="6">
        <f t="shared" si="32"/>
        <v>84392</v>
      </c>
      <c r="L537" s="6">
        <f t="shared" si="33"/>
        <v>86680</v>
      </c>
      <c r="M537" s="6">
        <f t="shared" si="34"/>
        <v>2288</v>
      </c>
      <c r="N537" s="6" t="str">
        <f t="shared" si="35"/>
        <v>profit</v>
      </c>
    </row>
    <row r="538" spans="1:14" ht="15.6" thickTop="1" thickBot="1" x14ac:dyDescent="0.35">
      <c r="A538" s="4">
        <v>45588</v>
      </c>
      <c r="B538" s="4" t="s">
        <v>84</v>
      </c>
      <c r="C538" s="5" t="s">
        <v>144</v>
      </c>
      <c r="D538" s="5" t="s">
        <v>45</v>
      </c>
      <c r="E538" s="5" t="s">
        <v>46</v>
      </c>
      <c r="F538" s="5" t="s">
        <v>63</v>
      </c>
      <c r="G538" s="5" t="s">
        <v>18</v>
      </c>
      <c r="H538" s="5">
        <v>26</v>
      </c>
      <c r="I538" s="5">
        <v>674</v>
      </c>
      <c r="J538" s="5">
        <v>857</v>
      </c>
      <c r="K538" s="6">
        <f t="shared" si="32"/>
        <v>17524</v>
      </c>
      <c r="L538" s="6">
        <f t="shared" si="33"/>
        <v>22282</v>
      </c>
      <c r="M538" s="6">
        <f t="shared" si="34"/>
        <v>4758</v>
      </c>
      <c r="N538" s="6" t="str">
        <f t="shared" si="35"/>
        <v>profit</v>
      </c>
    </row>
    <row r="539" spans="1:14" ht="15.6" thickTop="1" thickBot="1" x14ac:dyDescent="0.35">
      <c r="A539" s="4">
        <v>45438</v>
      </c>
      <c r="B539" s="4" t="s">
        <v>96</v>
      </c>
      <c r="C539" s="5" t="s">
        <v>270</v>
      </c>
      <c r="D539" s="5" t="s">
        <v>32</v>
      </c>
      <c r="E539" s="5" t="s">
        <v>98</v>
      </c>
      <c r="F539" s="5" t="s">
        <v>48</v>
      </c>
      <c r="G539" s="5" t="s">
        <v>18</v>
      </c>
      <c r="H539" s="5">
        <v>72</v>
      </c>
      <c r="I539" s="5">
        <v>805</v>
      </c>
      <c r="J539" s="5">
        <v>826</v>
      </c>
      <c r="K539" s="6">
        <f t="shared" si="32"/>
        <v>57960</v>
      </c>
      <c r="L539" s="6">
        <f t="shared" si="33"/>
        <v>59472</v>
      </c>
      <c r="M539" s="6">
        <f t="shared" si="34"/>
        <v>1512</v>
      </c>
      <c r="N539" s="6" t="str">
        <f t="shared" si="35"/>
        <v>profit</v>
      </c>
    </row>
    <row r="540" spans="1:14" ht="15.6" thickTop="1" thickBot="1" x14ac:dyDescent="0.35">
      <c r="A540" s="4">
        <v>45590</v>
      </c>
      <c r="B540" s="4" t="s">
        <v>84</v>
      </c>
      <c r="C540" s="5" t="s">
        <v>146</v>
      </c>
      <c r="D540" s="5" t="s">
        <v>45</v>
      </c>
      <c r="E540" s="5" t="s">
        <v>132</v>
      </c>
      <c r="F540" s="5" t="s">
        <v>38</v>
      </c>
      <c r="G540" s="5" t="s">
        <v>27</v>
      </c>
      <c r="H540" s="5">
        <v>29</v>
      </c>
      <c r="I540" s="5">
        <v>774</v>
      </c>
      <c r="J540" s="5">
        <v>793</v>
      </c>
      <c r="K540" s="6">
        <f t="shared" si="32"/>
        <v>22446</v>
      </c>
      <c r="L540" s="6">
        <f t="shared" si="33"/>
        <v>22997</v>
      </c>
      <c r="M540" s="6">
        <f t="shared" si="34"/>
        <v>551</v>
      </c>
      <c r="N540" s="6" t="str">
        <f t="shared" si="35"/>
        <v>profit</v>
      </c>
    </row>
    <row r="541" spans="1:14" ht="15.6" thickTop="1" thickBot="1" x14ac:dyDescent="0.35">
      <c r="A541" s="4">
        <v>45439</v>
      </c>
      <c r="B541" s="4" t="s">
        <v>96</v>
      </c>
      <c r="C541" s="5" t="s">
        <v>271</v>
      </c>
      <c r="D541" s="5" t="s">
        <v>32</v>
      </c>
      <c r="E541" s="5" t="s">
        <v>98</v>
      </c>
      <c r="F541" s="5" t="s">
        <v>26</v>
      </c>
      <c r="G541" s="5" t="s">
        <v>18</v>
      </c>
      <c r="H541" s="5">
        <v>53</v>
      </c>
      <c r="I541" s="5">
        <v>665</v>
      </c>
      <c r="J541" s="5">
        <v>1206</v>
      </c>
      <c r="K541" s="6">
        <f t="shared" si="32"/>
        <v>35245</v>
      </c>
      <c r="L541" s="6">
        <f t="shared" si="33"/>
        <v>63918</v>
      </c>
      <c r="M541" s="6">
        <f t="shared" si="34"/>
        <v>28673</v>
      </c>
      <c r="N541" s="6" t="str">
        <f t="shared" si="35"/>
        <v>profit</v>
      </c>
    </row>
    <row r="542" spans="1:14" ht="15.6" thickTop="1" thickBot="1" x14ac:dyDescent="0.35">
      <c r="A542" s="4">
        <v>45440</v>
      </c>
      <c r="B542" s="4" t="s">
        <v>96</v>
      </c>
      <c r="C542" s="5" t="s">
        <v>272</v>
      </c>
      <c r="D542" s="5" t="s">
        <v>32</v>
      </c>
      <c r="E542" s="5" t="s">
        <v>98</v>
      </c>
      <c r="F542" s="5" t="s">
        <v>51</v>
      </c>
      <c r="G542" s="5" t="s">
        <v>27</v>
      </c>
      <c r="H542" s="5">
        <v>88</v>
      </c>
      <c r="I542" s="5">
        <v>607</v>
      </c>
      <c r="J542" s="5">
        <v>1268</v>
      </c>
      <c r="K542" s="6">
        <f t="shared" si="32"/>
        <v>53416</v>
      </c>
      <c r="L542" s="6">
        <f t="shared" si="33"/>
        <v>111584</v>
      </c>
      <c r="M542" s="6">
        <f t="shared" si="34"/>
        <v>58168</v>
      </c>
      <c r="N542" s="6" t="str">
        <f t="shared" si="35"/>
        <v>profit</v>
      </c>
    </row>
    <row r="543" spans="1:14" ht="15.6" thickTop="1" thickBot="1" x14ac:dyDescent="0.35">
      <c r="A543" s="4">
        <v>45442</v>
      </c>
      <c r="B543" s="4" t="s">
        <v>96</v>
      </c>
      <c r="C543" s="5" t="s">
        <v>273</v>
      </c>
      <c r="D543" s="5" t="s">
        <v>32</v>
      </c>
      <c r="E543" s="5" t="s">
        <v>98</v>
      </c>
      <c r="F543" s="5" t="s">
        <v>34</v>
      </c>
      <c r="G543" s="5" t="s">
        <v>27</v>
      </c>
      <c r="H543" s="5">
        <v>99</v>
      </c>
      <c r="I543" s="5">
        <v>657</v>
      </c>
      <c r="J543" s="5">
        <v>1033</v>
      </c>
      <c r="K543" s="6">
        <f t="shared" si="32"/>
        <v>65043</v>
      </c>
      <c r="L543" s="6">
        <f t="shared" si="33"/>
        <v>102267</v>
      </c>
      <c r="M543" s="6">
        <f t="shared" si="34"/>
        <v>37224</v>
      </c>
      <c r="N543" s="6" t="str">
        <f t="shared" si="35"/>
        <v>profit</v>
      </c>
    </row>
    <row r="544" spans="1:14" ht="15.6" thickTop="1" thickBot="1" x14ac:dyDescent="0.35">
      <c r="A544" s="4">
        <v>45443</v>
      </c>
      <c r="B544" s="4" t="s">
        <v>96</v>
      </c>
      <c r="C544" s="5" t="s">
        <v>274</v>
      </c>
      <c r="D544" s="5" t="s">
        <v>32</v>
      </c>
      <c r="E544" s="5" t="s">
        <v>119</v>
      </c>
      <c r="F544" s="5" t="s">
        <v>38</v>
      </c>
      <c r="G544" s="5" t="s">
        <v>27</v>
      </c>
      <c r="H544" s="5">
        <v>88</v>
      </c>
      <c r="I544" s="5">
        <v>977</v>
      </c>
      <c r="J544" s="5">
        <v>1402</v>
      </c>
      <c r="K544" s="6">
        <f t="shared" si="32"/>
        <v>85976</v>
      </c>
      <c r="L544" s="6">
        <f t="shared" si="33"/>
        <v>123376</v>
      </c>
      <c r="M544" s="6">
        <f t="shared" si="34"/>
        <v>37400</v>
      </c>
      <c r="N544" s="6" t="str">
        <f t="shared" si="35"/>
        <v>profit</v>
      </c>
    </row>
    <row r="545" spans="1:14" ht="15.6" thickTop="1" thickBot="1" x14ac:dyDescent="0.35">
      <c r="A545" s="4">
        <v>45444</v>
      </c>
      <c r="B545" s="4" t="s">
        <v>13</v>
      </c>
      <c r="C545" s="5" t="s">
        <v>275</v>
      </c>
      <c r="D545" s="5" t="s">
        <v>32</v>
      </c>
      <c r="E545" s="5" t="s">
        <v>119</v>
      </c>
      <c r="F545" s="5" t="s">
        <v>38</v>
      </c>
      <c r="G545" s="5" t="s">
        <v>18</v>
      </c>
      <c r="H545" s="5">
        <v>81</v>
      </c>
      <c r="I545" s="5">
        <v>528</v>
      </c>
      <c r="J545" s="5">
        <v>872</v>
      </c>
      <c r="K545" s="6">
        <f t="shared" si="32"/>
        <v>42768</v>
      </c>
      <c r="L545" s="6">
        <f t="shared" si="33"/>
        <v>70632</v>
      </c>
      <c r="M545" s="6">
        <f t="shared" si="34"/>
        <v>27864</v>
      </c>
      <c r="N545" s="6" t="str">
        <f t="shared" si="35"/>
        <v>profit</v>
      </c>
    </row>
    <row r="546" spans="1:14" ht="15.6" thickTop="1" thickBot="1" x14ac:dyDescent="0.35">
      <c r="A546" s="4">
        <v>45445</v>
      </c>
      <c r="B546" s="4" t="s">
        <v>13</v>
      </c>
      <c r="C546" s="5" t="s">
        <v>276</v>
      </c>
      <c r="D546" s="5" t="s">
        <v>32</v>
      </c>
      <c r="E546" s="5" t="s">
        <v>119</v>
      </c>
      <c r="F546" s="5" t="s">
        <v>63</v>
      </c>
      <c r="G546" s="5" t="s">
        <v>27</v>
      </c>
      <c r="H546" s="5">
        <v>74</v>
      </c>
      <c r="I546" s="5">
        <v>870</v>
      </c>
      <c r="J546" s="5">
        <v>1490</v>
      </c>
      <c r="K546" s="6">
        <f t="shared" si="32"/>
        <v>64380</v>
      </c>
      <c r="L546" s="6">
        <f t="shared" si="33"/>
        <v>110260</v>
      </c>
      <c r="M546" s="6">
        <f t="shared" si="34"/>
        <v>45880</v>
      </c>
      <c r="N546" s="6" t="str">
        <f t="shared" si="35"/>
        <v>profit</v>
      </c>
    </row>
    <row r="547" spans="1:14" ht="15.6" thickTop="1" thickBot="1" x14ac:dyDescent="0.35">
      <c r="A547" s="4">
        <v>45446</v>
      </c>
      <c r="B547" s="4" t="s">
        <v>13</v>
      </c>
      <c r="C547" s="5" t="s">
        <v>277</v>
      </c>
      <c r="D547" s="5" t="s">
        <v>32</v>
      </c>
      <c r="E547" s="5" t="s">
        <v>119</v>
      </c>
      <c r="F547" s="5" t="s">
        <v>63</v>
      </c>
      <c r="G547" s="5" t="s">
        <v>27</v>
      </c>
      <c r="H547" s="5">
        <v>83</v>
      </c>
      <c r="I547" s="5">
        <v>655</v>
      </c>
      <c r="J547" s="5">
        <v>1422</v>
      </c>
      <c r="K547" s="6">
        <f t="shared" si="32"/>
        <v>54365</v>
      </c>
      <c r="L547" s="6">
        <f t="shared" si="33"/>
        <v>118026</v>
      </c>
      <c r="M547" s="6">
        <f t="shared" si="34"/>
        <v>63661</v>
      </c>
      <c r="N547" s="6" t="str">
        <f t="shared" si="35"/>
        <v>profit</v>
      </c>
    </row>
    <row r="548" spans="1:14" ht="15.6" thickTop="1" thickBot="1" x14ac:dyDescent="0.35">
      <c r="A548" s="4">
        <v>45447</v>
      </c>
      <c r="B548" s="4" t="s">
        <v>13</v>
      </c>
      <c r="C548" s="5" t="s">
        <v>278</v>
      </c>
      <c r="D548" s="5" t="s">
        <v>32</v>
      </c>
      <c r="E548" s="5" t="s">
        <v>119</v>
      </c>
      <c r="F548" s="5" t="s">
        <v>59</v>
      </c>
      <c r="G548" s="5" t="s">
        <v>27</v>
      </c>
      <c r="H548" s="5">
        <v>99</v>
      </c>
      <c r="I548" s="5">
        <v>649</v>
      </c>
      <c r="J548" s="5">
        <v>1415</v>
      </c>
      <c r="K548" s="6">
        <f t="shared" si="32"/>
        <v>64251</v>
      </c>
      <c r="L548" s="6">
        <f t="shared" si="33"/>
        <v>140085</v>
      </c>
      <c r="M548" s="6">
        <f t="shared" si="34"/>
        <v>75834</v>
      </c>
      <c r="N548" s="6" t="str">
        <f t="shared" si="35"/>
        <v>profit</v>
      </c>
    </row>
    <row r="549" spans="1:14" ht="15.6" thickTop="1" thickBot="1" x14ac:dyDescent="0.35">
      <c r="A549" s="4">
        <v>45448</v>
      </c>
      <c r="B549" s="4" t="s">
        <v>13</v>
      </c>
      <c r="C549" s="5" t="s">
        <v>279</v>
      </c>
      <c r="D549" s="5" t="s">
        <v>32</v>
      </c>
      <c r="E549" s="5" t="s">
        <v>119</v>
      </c>
      <c r="F549" s="5" t="s">
        <v>38</v>
      </c>
      <c r="G549" s="5" t="s">
        <v>27</v>
      </c>
      <c r="H549" s="5">
        <v>97</v>
      </c>
      <c r="I549" s="5">
        <v>917</v>
      </c>
      <c r="J549" s="5">
        <v>844</v>
      </c>
      <c r="K549" s="6">
        <f t="shared" si="32"/>
        <v>88949</v>
      </c>
      <c r="L549" s="6">
        <f t="shared" si="33"/>
        <v>81868</v>
      </c>
      <c r="M549" s="6">
        <f t="shared" si="34"/>
        <v>-7081</v>
      </c>
      <c r="N549" s="6" t="str">
        <f t="shared" si="35"/>
        <v>loss</v>
      </c>
    </row>
    <row r="550" spans="1:14" ht="15.6" thickTop="1" thickBot="1" x14ac:dyDescent="0.35">
      <c r="A550" s="4">
        <v>45449</v>
      </c>
      <c r="B550" s="4" t="s">
        <v>13</v>
      </c>
      <c r="C550" s="5" t="s">
        <v>280</v>
      </c>
      <c r="D550" s="5" t="s">
        <v>32</v>
      </c>
      <c r="E550" s="5" t="s">
        <v>119</v>
      </c>
      <c r="F550" s="5" t="s">
        <v>29</v>
      </c>
      <c r="G550" s="5" t="s">
        <v>18</v>
      </c>
      <c r="H550" s="5">
        <v>57</v>
      </c>
      <c r="I550" s="5">
        <v>793</v>
      </c>
      <c r="J550" s="5">
        <v>761</v>
      </c>
      <c r="K550" s="6">
        <f t="shared" si="32"/>
        <v>45201</v>
      </c>
      <c r="L550" s="6">
        <f t="shared" si="33"/>
        <v>43377</v>
      </c>
      <c r="M550" s="6">
        <f t="shared" si="34"/>
        <v>-1824</v>
      </c>
      <c r="N550" s="6" t="str">
        <f t="shared" si="35"/>
        <v>loss</v>
      </c>
    </row>
    <row r="551" spans="1:14" ht="15.6" thickTop="1" thickBot="1" x14ac:dyDescent="0.35">
      <c r="A551" s="4">
        <v>45450</v>
      </c>
      <c r="B551" s="4" t="s">
        <v>13</v>
      </c>
      <c r="C551" s="5" t="s">
        <v>281</v>
      </c>
      <c r="D551" s="5" t="s">
        <v>32</v>
      </c>
      <c r="E551" s="5" t="s">
        <v>119</v>
      </c>
      <c r="F551" s="5" t="s">
        <v>112</v>
      </c>
      <c r="G551" s="5" t="s">
        <v>18</v>
      </c>
      <c r="H551" s="5">
        <v>84</v>
      </c>
      <c r="I551" s="5">
        <v>931</v>
      </c>
      <c r="J551" s="5">
        <v>1475</v>
      </c>
      <c r="K551" s="6">
        <f t="shared" si="32"/>
        <v>78204</v>
      </c>
      <c r="L551" s="6">
        <f t="shared" si="33"/>
        <v>123900</v>
      </c>
      <c r="M551" s="6">
        <f t="shared" si="34"/>
        <v>45696</v>
      </c>
      <c r="N551" s="6" t="str">
        <f t="shared" si="35"/>
        <v>profit</v>
      </c>
    </row>
    <row r="552" spans="1:14" ht="15.6" thickTop="1" thickBot="1" x14ac:dyDescent="0.35">
      <c r="A552" s="4">
        <v>45602</v>
      </c>
      <c r="B552" s="4" t="s">
        <v>160</v>
      </c>
      <c r="C552" s="5" t="s">
        <v>161</v>
      </c>
      <c r="D552" s="5" t="s">
        <v>32</v>
      </c>
      <c r="E552" s="5" t="s">
        <v>162</v>
      </c>
      <c r="F552" s="5" t="s">
        <v>29</v>
      </c>
      <c r="G552" s="5" t="s">
        <v>18</v>
      </c>
      <c r="H552" s="5">
        <v>74</v>
      </c>
      <c r="I552" s="5">
        <v>714</v>
      </c>
      <c r="J552" s="5">
        <v>1148</v>
      </c>
      <c r="K552" s="6">
        <f t="shared" si="32"/>
        <v>52836</v>
      </c>
      <c r="L552" s="6">
        <f t="shared" si="33"/>
        <v>84952</v>
      </c>
      <c r="M552" s="6">
        <f t="shared" si="34"/>
        <v>32116</v>
      </c>
      <c r="N552" s="6" t="str">
        <f t="shared" si="35"/>
        <v>profit</v>
      </c>
    </row>
    <row r="553" spans="1:14" ht="15.6" thickTop="1" thickBot="1" x14ac:dyDescent="0.35">
      <c r="A553" s="4">
        <v>45451</v>
      </c>
      <c r="B553" s="4" t="s">
        <v>13</v>
      </c>
      <c r="C553" s="5" t="s">
        <v>282</v>
      </c>
      <c r="D553" s="5" t="s">
        <v>32</v>
      </c>
      <c r="E553" s="5" t="s">
        <v>119</v>
      </c>
      <c r="F553" s="5" t="s">
        <v>43</v>
      </c>
      <c r="G553" s="5" t="s">
        <v>18</v>
      </c>
      <c r="H553" s="5">
        <v>76</v>
      </c>
      <c r="I553" s="5">
        <v>901</v>
      </c>
      <c r="J553" s="5">
        <v>1471</v>
      </c>
      <c r="K553" s="6">
        <f t="shared" si="32"/>
        <v>68476</v>
      </c>
      <c r="L553" s="6">
        <f t="shared" si="33"/>
        <v>111796</v>
      </c>
      <c r="M553" s="6">
        <f t="shared" si="34"/>
        <v>43320</v>
      </c>
      <c r="N553" s="6" t="str">
        <f t="shared" si="35"/>
        <v>profit</v>
      </c>
    </row>
    <row r="554" spans="1:14" ht="15.6" thickTop="1" thickBot="1" x14ac:dyDescent="0.35">
      <c r="A554" s="4">
        <v>45452</v>
      </c>
      <c r="B554" s="4" t="s">
        <v>13</v>
      </c>
      <c r="C554" s="5" t="s">
        <v>283</v>
      </c>
      <c r="D554" s="5" t="s">
        <v>32</v>
      </c>
      <c r="E554" s="5" t="s">
        <v>119</v>
      </c>
      <c r="F554" s="5" t="s">
        <v>152</v>
      </c>
      <c r="G554" s="5" t="s">
        <v>18</v>
      </c>
      <c r="H554" s="5">
        <v>93</v>
      </c>
      <c r="I554" s="5">
        <v>658</v>
      </c>
      <c r="J554" s="5">
        <v>1303</v>
      </c>
      <c r="K554" s="6">
        <f t="shared" si="32"/>
        <v>61194</v>
      </c>
      <c r="L554" s="6">
        <f t="shared" si="33"/>
        <v>121179</v>
      </c>
      <c r="M554" s="6">
        <f t="shared" si="34"/>
        <v>59985</v>
      </c>
      <c r="N554" s="6" t="str">
        <f t="shared" si="35"/>
        <v>profit</v>
      </c>
    </row>
    <row r="555" spans="1:14" ht="15.6" thickTop="1" thickBot="1" x14ac:dyDescent="0.35">
      <c r="A555" s="4">
        <v>45605</v>
      </c>
      <c r="B555" s="4" t="s">
        <v>160</v>
      </c>
      <c r="C555" s="5" t="s">
        <v>165</v>
      </c>
      <c r="D555" s="5" t="s">
        <v>32</v>
      </c>
      <c r="E555" s="5" t="s">
        <v>162</v>
      </c>
      <c r="F555" s="5" t="s">
        <v>70</v>
      </c>
      <c r="G555" s="5" t="s">
        <v>18</v>
      </c>
      <c r="H555" s="5">
        <v>73</v>
      </c>
      <c r="I555" s="5">
        <v>957</v>
      </c>
      <c r="J555" s="5">
        <v>814</v>
      </c>
      <c r="K555" s="6">
        <f t="shared" si="32"/>
        <v>69861</v>
      </c>
      <c r="L555" s="6">
        <f t="shared" si="33"/>
        <v>59422</v>
      </c>
      <c r="M555" s="6">
        <f t="shared" si="34"/>
        <v>-10439</v>
      </c>
      <c r="N555" s="6" t="str">
        <f t="shared" si="35"/>
        <v>loss</v>
      </c>
    </row>
    <row r="556" spans="1:14" ht="15.6" thickTop="1" thickBot="1" x14ac:dyDescent="0.35">
      <c r="A556" s="4">
        <v>45453</v>
      </c>
      <c r="B556" s="4" t="s">
        <v>13</v>
      </c>
      <c r="C556" s="5" t="s">
        <v>284</v>
      </c>
      <c r="D556" s="5" t="s">
        <v>32</v>
      </c>
      <c r="E556" s="5" t="s">
        <v>119</v>
      </c>
      <c r="F556" s="5" t="s">
        <v>154</v>
      </c>
      <c r="G556" s="5" t="s">
        <v>18</v>
      </c>
      <c r="H556" s="5">
        <v>68</v>
      </c>
      <c r="I556" s="5">
        <v>651</v>
      </c>
      <c r="J556" s="5">
        <v>1061</v>
      </c>
      <c r="K556" s="6">
        <f t="shared" si="32"/>
        <v>44268</v>
      </c>
      <c r="L556" s="6">
        <f t="shared" si="33"/>
        <v>72148</v>
      </c>
      <c r="M556" s="6">
        <f t="shared" si="34"/>
        <v>27880</v>
      </c>
      <c r="N556" s="6" t="str">
        <f t="shared" si="35"/>
        <v>profit</v>
      </c>
    </row>
    <row r="557" spans="1:14" ht="15.6" thickTop="1" thickBot="1" x14ac:dyDescent="0.35">
      <c r="A557" s="4">
        <v>45461</v>
      </c>
      <c r="B557" s="4" t="s">
        <v>13</v>
      </c>
      <c r="C557" s="5" t="s">
        <v>285</v>
      </c>
      <c r="D557" s="5" t="s">
        <v>32</v>
      </c>
      <c r="E557" s="5" t="s">
        <v>98</v>
      </c>
      <c r="F557" s="5" t="s">
        <v>24</v>
      </c>
      <c r="G557" s="5" t="s">
        <v>27</v>
      </c>
      <c r="H557" s="5">
        <v>98</v>
      </c>
      <c r="I557" s="5">
        <v>596</v>
      </c>
      <c r="J557" s="5">
        <v>1155</v>
      </c>
      <c r="K557" s="6">
        <f t="shared" si="32"/>
        <v>58408</v>
      </c>
      <c r="L557" s="6">
        <f t="shared" si="33"/>
        <v>113190</v>
      </c>
      <c r="M557" s="6">
        <f t="shared" si="34"/>
        <v>54782</v>
      </c>
      <c r="N557" s="6" t="str">
        <f t="shared" si="35"/>
        <v>profit</v>
      </c>
    </row>
    <row r="558" spans="1:14" ht="15.6" thickTop="1" thickBot="1" x14ac:dyDescent="0.35">
      <c r="A558" s="4">
        <v>45462</v>
      </c>
      <c r="B558" s="4" t="s">
        <v>13</v>
      </c>
      <c r="C558" s="5" t="s">
        <v>286</v>
      </c>
      <c r="D558" s="5" t="s">
        <v>32</v>
      </c>
      <c r="E558" s="5" t="s">
        <v>98</v>
      </c>
      <c r="F558" s="5" t="s">
        <v>75</v>
      </c>
      <c r="G558" s="5" t="s">
        <v>27</v>
      </c>
      <c r="H558" s="5">
        <v>84</v>
      </c>
      <c r="I558" s="5">
        <v>911</v>
      </c>
      <c r="J558" s="5">
        <v>1370</v>
      </c>
      <c r="K558" s="6">
        <f t="shared" si="32"/>
        <v>76524</v>
      </c>
      <c r="L558" s="6">
        <f t="shared" si="33"/>
        <v>115080</v>
      </c>
      <c r="M558" s="6">
        <f t="shared" si="34"/>
        <v>38556</v>
      </c>
      <c r="N558" s="6" t="str">
        <f t="shared" si="35"/>
        <v>profit</v>
      </c>
    </row>
    <row r="559" spans="1:14" ht="15.6" thickTop="1" thickBot="1" x14ac:dyDescent="0.35">
      <c r="A559" s="4">
        <v>45463</v>
      </c>
      <c r="B559" s="4" t="s">
        <v>13</v>
      </c>
      <c r="C559" s="5" t="s">
        <v>287</v>
      </c>
      <c r="D559" s="5" t="s">
        <v>32</v>
      </c>
      <c r="E559" s="5" t="s">
        <v>98</v>
      </c>
      <c r="F559" s="5" t="s">
        <v>70</v>
      </c>
      <c r="G559" s="5" t="s">
        <v>27</v>
      </c>
      <c r="H559" s="5">
        <v>81</v>
      </c>
      <c r="I559" s="5">
        <v>702</v>
      </c>
      <c r="J559" s="5">
        <v>1494</v>
      </c>
      <c r="K559" s="6">
        <f t="shared" si="32"/>
        <v>56862</v>
      </c>
      <c r="L559" s="6">
        <f t="shared" si="33"/>
        <v>121014</v>
      </c>
      <c r="M559" s="6">
        <f t="shared" si="34"/>
        <v>64152</v>
      </c>
      <c r="N559" s="6" t="str">
        <f t="shared" si="35"/>
        <v>profit</v>
      </c>
    </row>
    <row r="560" spans="1:14" ht="15.6" thickTop="1" thickBot="1" x14ac:dyDescent="0.35">
      <c r="A560" s="4">
        <v>45610</v>
      </c>
      <c r="B560" s="4" t="s">
        <v>160</v>
      </c>
      <c r="C560" s="5" t="s">
        <v>170</v>
      </c>
      <c r="D560" s="5" t="s">
        <v>45</v>
      </c>
      <c r="E560" s="5" t="s">
        <v>62</v>
      </c>
      <c r="F560" s="5" t="s">
        <v>77</v>
      </c>
      <c r="G560" s="5" t="s">
        <v>27</v>
      </c>
      <c r="H560" s="5">
        <v>24</v>
      </c>
      <c r="I560" s="5">
        <v>553</v>
      </c>
      <c r="J560" s="5">
        <v>964</v>
      </c>
      <c r="K560" s="6">
        <f t="shared" si="32"/>
        <v>13272</v>
      </c>
      <c r="L560" s="6">
        <f t="shared" si="33"/>
        <v>23136</v>
      </c>
      <c r="M560" s="6">
        <f t="shared" si="34"/>
        <v>9864</v>
      </c>
      <c r="N560" s="6" t="str">
        <f t="shared" si="35"/>
        <v>profit</v>
      </c>
    </row>
    <row r="561" spans="1:14" ht="15.6" thickTop="1" thickBot="1" x14ac:dyDescent="0.35">
      <c r="A561" s="4">
        <v>45465</v>
      </c>
      <c r="B561" s="4" t="s">
        <v>13</v>
      </c>
      <c r="C561" s="5" t="s">
        <v>288</v>
      </c>
      <c r="D561" s="5" t="s">
        <v>32</v>
      </c>
      <c r="E561" s="5" t="s">
        <v>98</v>
      </c>
      <c r="F561" s="5" t="s">
        <v>24</v>
      </c>
      <c r="G561" s="5" t="s">
        <v>18</v>
      </c>
      <c r="H561" s="5">
        <v>58</v>
      </c>
      <c r="I561" s="5">
        <v>510</v>
      </c>
      <c r="J561" s="5">
        <v>1456</v>
      </c>
      <c r="K561" s="6">
        <f t="shared" si="32"/>
        <v>29580</v>
      </c>
      <c r="L561" s="6">
        <f t="shared" si="33"/>
        <v>84448</v>
      </c>
      <c r="M561" s="6">
        <f t="shared" si="34"/>
        <v>54868</v>
      </c>
      <c r="N561" s="6" t="str">
        <f t="shared" si="35"/>
        <v>profit</v>
      </c>
    </row>
    <row r="562" spans="1:14" ht="15.6" thickTop="1" thickBot="1" x14ac:dyDescent="0.35">
      <c r="A562" s="4">
        <v>45466</v>
      </c>
      <c r="B562" s="4" t="s">
        <v>13</v>
      </c>
      <c r="C562" s="5" t="s">
        <v>289</v>
      </c>
      <c r="D562" s="5" t="s">
        <v>32</v>
      </c>
      <c r="E562" s="5" t="s">
        <v>119</v>
      </c>
      <c r="F562" s="5" t="s">
        <v>63</v>
      </c>
      <c r="G562" s="5" t="s">
        <v>18</v>
      </c>
      <c r="H562" s="5">
        <v>59</v>
      </c>
      <c r="I562" s="5">
        <v>506</v>
      </c>
      <c r="J562" s="5">
        <v>1498</v>
      </c>
      <c r="K562" s="6">
        <f t="shared" si="32"/>
        <v>29854</v>
      </c>
      <c r="L562" s="6">
        <f t="shared" si="33"/>
        <v>88382</v>
      </c>
      <c r="M562" s="6">
        <f t="shared" si="34"/>
        <v>58528</v>
      </c>
      <c r="N562" s="6" t="str">
        <f t="shared" si="35"/>
        <v>profit</v>
      </c>
    </row>
    <row r="563" spans="1:14" ht="15.6" thickTop="1" thickBot="1" x14ac:dyDescent="0.35">
      <c r="A563" s="4">
        <v>45467</v>
      </c>
      <c r="B563" s="4" t="s">
        <v>13</v>
      </c>
      <c r="C563" s="5" t="s">
        <v>290</v>
      </c>
      <c r="D563" s="5" t="s">
        <v>32</v>
      </c>
      <c r="E563" s="5" t="s">
        <v>119</v>
      </c>
      <c r="F563" s="5" t="s">
        <v>75</v>
      </c>
      <c r="G563" s="5" t="s">
        <v>27</v>
      </c>
      <c r="H563" s="5">
        <v>51</v>
      </c>
      <c r="I563" s="5">
        <v>868</v>
      </c>
      <c r="J563" s="5">
        <v>938</v>
      </c>
      <c r="K563" s="6">
        <f t="shared" si="32"/>
        <v>44268</v>
      </c>
      <c r="L563" s="6">
        <f t="shared" si="33"/>
        <v>47838</v>
      </c>
      <c r="M563" s="6">
        <f t="shared" si="34"/>
        <v>3570</v>
      </c>
      <c r="N563" s="6" t="str">
        <f t="shared" si="35"/>
        <v>profit</v>
      </c>
    </row>
    <row r="564" spans="1:14" ht="15.6" thickTop="1" thickBot="1" x14ac:dyDescent="0.35">
      <c r="A564" s="4">
        <v>45614</v>
      </c>
      <c r="B564" s="4" t="s">
        <v>160</v>
      </c>
      <c r="C564" s="5" t="s">
        <v>174</v>
      </c>
      <c r="D564" s="5" t="s">
        <v>45</v>
      </c>
      <c r="E564" s="5" t="s">
        <v>62</v>
      </c>
      <c r="F564" s="5" t="s">
        <v>34</v>
      </c>
      <c r="G564" s="5" t="s">
        <v>18</v>
      </c>
      <c r="H564" s="5">
        <v>22</v>
      </c>
      <c r="I564" s="5">
        <v>688</v>
      </c>
      <c r="J564" s="5">
        <v>985</v>
      </c>
      <c r="K564" s="6">
        <f t="shared" si="32"/>
        <v>15136</v>
      </c>
      <c r="L564" s="6">
        <f t="shared" si="33"/>
        <v>21670</v>
      </c>
      <c r="M564" s="6">
        <f t="shared" si="34"/>
        <v>6534</v>
      </c>
      <c r="N564" s="6" t="str">
        <f t="shared" si="35"/>
        <v>profit</v>
      </c>
    </row>
    <row r="565" spans="1:14" ht="15.6" thickTop="1" thickBot="1" x14ac:dyDescent="0.35">
      <c r="A565" s="4">
        <v>45468</v>
      </c>
      <c r="B565" s="4" t="s">
        <v>13</v>
      </c>
      <c r="C565" s="5" t="s">
        <v>291</v>
      </c>
      <c r="D565" s="5" t="s">
        <v>32</v>
      </c>
      <c r="E565" s="5" t="s">
        <v>119</v>
      </c>
      <c r="F565" s="5" t="s">
        <v>77</v>
      </c>
      <c r="G565" s="5" t="s">
        <v>27</v>
      </c>
      <c r="H565" s="5">
        <v>76</v>
      </c>
      <c r="I565" s="5">
        <v>602</v>
      </c>
      <c r="J565" s="5">
        <v>1356</v>
      </c>
      <c r="K565" s="6">
        <f t="shared" si="32"/>
        <v>45752</v>
      </c>
      <c r="L565" s="6">
        <f t="shared" si="33"/>
        <v>103056</v>
      </c>
      <c r="M565" s="6">
        <f t="shared" si="34"/>
        <v>57304</v>
      </c>
      <c r="N565" s="6" t="str">
        <f t="shared" si="35"/>
        <v>profit</v>
      </c>
    </row>
    <row r="566" spans="1:14" ht="15.6" thickTop="1" thickBot="1" x14ac:dyDescent="0.35">
      <c r="A566" s="4">
        <v>45616</v>
      </c>
      <c r="B566" s="4" t="s">
        <v>160</v>
      </c>
      <c r="C566" s="5" t="s">
        <v>176</v>
      </c>
      <c r="D566" s="5" t="s">
        <v>45</v>
      </c>
      <c r="E566" s="5" t="s">
        <v>62</v>
      </c>
      <c r="F566" s="5" t="s">
        <v>38</v>
      </c>
      <c r="G566" s="5" t="s">
        <v>18</v>
      </c>
      <c r="H566" s="5">
        <v>27</v>
      </c>
      <c r="I566" s="5">
        <v>933</v>
      </c>
      <c r="J566" s="5">
        <v>983</v>
      </c>
      <c r="K566" s="6">
        <f t="shared" si="32"/>
        <v>25191</v>
      </c>
      <c r="L566" s="6">
        <f t="shared" si="33"/>
        <v>26541</v>
      </c>
      <c r="M566" s="6">
        <f t="shared" si="34"/>
        <v>1350</v>
      </c>
      <c r="N566" s="6" t="str">
        <f t="shared" si="35"/>
        <v>profit</v>
      </c>
    </row>
    <row r="567" spans="1:14" ht="15.6" thickTop="1" thickBot="1" x14ac:dyDescent="0.35">
      <c r="A567" s="4">
        <v>45469</v>
      </c>
      <c r="B567" s="4" t="s">
        <v>13</v>
      </c>
      <c r="C567" s="5" t="s">
        <v>292</v>
      </c>
      <c r="D567" s="5" t="s">
        <v>32</v>
      </c>
      <c r="E567" s="5" t="s">
        <v>119</v>
      </c>
      <c r="F567" s="5" t="s">
        <v>34</v>
      </c>
      <c r="G567" s="5" t="s">
        <v>27</v>
      </c>
      <c r="H567" s="5">
        <v>55</v>
      </c>
      <c r="I567" s="5">
        <v>928</v>
      </c>
      <c r="J567" s="5">
        <v>1264</v>
      </c>
      <c r="K567" s="6">
        <f t="shared" si="32"/>
        <v>51040</v>
      </c>
      <c r="L567" s="6">
        <f t="shared" si="33"/>
        <v>69520</v>
      </c>
      <c r="M567" s="6">
        <f t="shared" si="34"/>
        <v>18480</v>
      </c>
      <c r="N567" s="6" t="str">
        <f t="shared" si="35"/>
        <v>profit</v>
      </c>
    </row>
    <row r="568" spans="1:14" ht="15.6" thickTop="1" thickBot="1" x14ac:dyDescent="0.35">
      <c r="A568" s="4">
        <v>45470</v>
      </c>
      <c r="B568" s="4" t="s">
        <v>13</v>
      </c>
      <c r="C568" s="5" t="s">
        <v>293</v>
      </c>
      <c r="D568" s="5" t="s">
        <v>32</v>
      </c>
      <c r="E568" s="5" t="s">
        <v>119</v>
      </c>
      <c r="F568" s="5" t="s">
        <v>43</v>
      </c>
      <c r="G568" s="5" t="s">
        <v>27</v>
      </c>
      <c r="H568" s="5">
        <v>74</v>
      </c>
      <c r="I568" s="5">
        <v>758</v>
      </c>
      <c r="J568" s="5">
        <v>765</v>
      </c>
      <c r="K568" s="6">
        <f t="shared" si="32"/>
        <v>56092</v>
      </c>
      <c r="L568" s="6">
        <f t="shared" si="33"/>
        <v>56610</v>
      </c>
      <c r="M568" s="6">
        <f t="shared" si="34"/>
        <v>518</v>
      </c>
      <c r="N568" s="6" t="str">
        <f t="shared" si="35"/>
        <v>profit</v>
      </c>
    </row>
    <row r="569" spans="1:14" ht="15.6" thickTop="1" thickBot="1" x14ac:dyDescent="0.35">
      <c r="A569" s="4">
        <v>45471</v>
      </c>
      <c r="B569" s="4" t="s">
        <v>13</v>
      </c>
      <c r="C569" s="5" t="s">
        <v>294</v>
      </c>
      <c r="D569" s="5" t="s">
        <v>32</v>
      </c>
      <c r="E569" s="5" t="s">
        <v>119</v>
      </c>
      <c r="F569" s="5" t="s">
        <v>59</v>
      </c>
      <c r="G569" s="5" t="s">
        <v>27</v>
      </c>
      <c r="H569" s="5">
        <v>88</v>
      </c>
      <c r="I569" s="5">
        <v>566</v>
      </c>
      <c r="J569" s="5">
        <v>1093</v>
      </c>
      <c r="K569" s="6">
        <f t="shared" si="32"/>
        <v>49808</v>
      </c>
      <c r="L569" s="6">
        <f t="shared" si="33"/>
        <v>96184</v>
      </c>
      <c r="M569" s="6">
        <f t="shared" si="34"/>
        <v>46376</v>
      </c>
      <c r="N569" s="6" t="str">
        <f t="shared" si="35"/>
        <v>profit</v>
      </c>
    </row>
    <row r="570" spans="1:14" ht="15.6" thickTop="1" thickBot="1" x14ac:dyDescent="0.35">
      <c r="A570" s="4">
        <v>45495</v>
      </c>
      <c r="B570" s="4" t="s">
        <v>39</v>
      </c>
      <c r="C570" s="5" t="s">
        <v>295</v>
      </c>
      <c r="D570" s="5" t="s">
        <v>32</v>
      </c>
      <c r="E570" s="5" t="s">
        <v>98</v>
      </c>
      <c r="F570" s="5" t="s">
        <v>20</v>
      </c>
      <c r="G570" s="5" t="s">
        <v>18</v>
      </c>
      <c r="H570" s="5">
        <v>58</v>
      </c>
      <c r="I570" s="5">
        <v>898</v>
      </c>
      <c r="J570" s="5">
        <v>1068</v>
      </c>
      <c r="K570" s="6">
        <f t="shared" si="32"/>
        <v>52084</v>
      </c>
      <c r="L570" s="6">
        <f t="shared" si="33"/>
        <v>61944</v>
      </c>
      <c r="M570" s="6">
        <f t="shared" si="34"/>
        <v>9860</v>
      </c>
      <c r="N570" s="6" t="str">
        <f t="shared" si="35"/>
        <v>profit</v>
      </c>
    </row>
    <row r="571" spans="1:14" ht="15.6" thickTop="1" thickBot="1" x14ac:dyDescent="0.35">
      <c r="A571" s="4">
        <v>45496</v>
      </c>
      <c r="B571" s="4" t="s">
        <v>39</v>
      </c>
      <c r="C571" s="5" t="s">
        <v>296</v>
      </c>
      <c r="D571" s="5" t="s">
        <v>32</v>
      </c>
      <c r="E571" s="5" t="s">
        <v>98</v>
      </c>
      <c r="F571" s="5" t="s">
        <v>22</v>
      </c>
      <c r="G571" s="5" t="s">
        <v>18</v>
      </c>
      <c r="H571" s="5">
        <v>83</v>
      </c>
      <c r="I571" s="5">
        <v>943</v>
      </c>
      <c r="J571" s="5">
        <v>867</v>
      </c>
      <c r="K571" s="6">
        <f t="shared" si="32"/>
        <v>78269</v>
      </c>
      <c r="L571" s="6">
        <f t="shared" si="33"/>
        <v>71961</v>
      </c>
      <c r="M571" s="6">
        <f t="shared" si="34"/>
        <v>-6308</v>
      </c>
      <c r="N571" s="6" t="str">
        <f t="shared" si="35"/>
        <v>loss</v>
      </c>
    </row>
    <row r="572" spans="1:14" ht="15.6" thickTop="1" thickBot="1" x14ac:dyDescent="0.35">
      <c r="A572" s="4">
        <v>45497</v>
      </c>
      <c r="B572" s="4" t="s">
        <v>39</v>
      </c>
      <c r="C572" s="5" t="s">
        <v>297</v>
      </c>
      <c r="D572" s="5" t="s">
        <v>32</v>
      </c>
      <c r="E572" s="5" t="s">
        <v>98</v>
      </c>
      <c r="F572" s="5" t="s">
        <v>24</v>
      </c>
      <c r="G572" s="5" t="s">
        <v>18</v>
      </c>
      <c r="H572" s="5">
        <v>85</v>
      </c>
      <c r="I572" s="5">
        <v>641</v>
      </c>
      <c r="J572" s="5">
        <v>892</v>
      </c>
      <c r="K572" s="6">
        <f t="shared" si="32"/>
        <v>54485</v>
      </c>
      <c r="L572" s="6">
        <f t="shared" si="33"/>
        <v>75820</v>
      </c>
      <c r="M572" s="6">
        <f t="shared" si="34"/>
        <v>21335</v>
      </c>
      <c r="N572" s="6" t="str">
        <f t="shared" si="35"/>
        <v>profit</v>
      </c>
    </row>
    <row r="573" spans="1:14" ht="15.6" thickTop="1" thickBot="1" x14ac:dyDescent="0.35">
      <c r="A573" s="4">
        <v>45498</v>
      </c>
      <c r="B573" s="4" t="s">
        <v>39</v>
      </c>
      <c r="C573" s="5" t="s">
        <v>298</v>
      </c>
      <c r="D573" s="5" t="s">
        <v>32</v>
      </c>
      <c r="E573" s="5" t="s">
        <v>98</v>
      </c>
      <c r="F573" s="5" t="s">
        <v>24</v>
      </c>
      <c r="G573" s="5" t="s">
        <v>18</v>
      </c>
      <c r="H573" s="5">
        <v>57</v>
      </c>
      <c r="I573" s="5">
        <v>784</v>
      </c>
      <c r="J573" s="5">
        <v>859</v>
      </c>
      <c r="K573" s="6">
        <f t="shared" si="32"/>
        <v>44688</v>
      </c>
      <c r="L573" s="6">
        <f t="shared" si="33"/>
        <v>48963</v>
      </c>
      <c r="M573" s="6">
        <f t="shared" si="34"/>
        <v>4275</v>
      </c>
      <c r="N573" s="6" t="str">
        <f t="shared" si="35"/>
        <v>profit</v>
      </c>
    </row>
    <row r="574" spans="1:14" ht="15.6" thickTop="1" thickBot="1" x14ac:dyDescent="0.35">
      <c r="A574" s="4">
        <v>45499</v>
      </c>
      <c r="B574" s="4" t="s">
        <v>39</v>
      </c>
      <c r="C574" s="5" t="s">
        <v>299</v>
      </c>
      <c r="D574" s="5" t="s">
        <v>32</v>
      </c>
      <c r="E574" s="5" t="s">
        <v>98</v>
      </c>
      <c r="F574" s="5" t="s">
        <v>26</v>
      </c>
      <c r="G574" s="5" t="s">
        <v>18</v>
      </c>
      <c r="H574" s="5">
        <v>98</v>
      </c>
      <c r="I574" s="5">
        <v>579</v>
      </c>
      <c r="J574" s="5">
        <v>1046</v>
      </c>
      <c r="K574" s="6">
        <f t="shared" si="32"/>
        <v>56742</v>
      </c>
      <c r="L574" s="6">
        <f t="shared" si="33"/>
        <v>102508</v>
      </c>
      <c r="M574" s="6">
        <f t="shared" si="34"/>
        <v>45766</v>
      </c>
      <c r="N574" s="6" t="str">
        <f t="shared" si="35"/>
        <v>profit</v>
      </c>
    </row>
    <row r="575" spans="1:14" ht="15.6" thickTop="1" thickBot="1" x14ac:dyDescent="0.35">
      <c r="A575" s="4">
        <v>45500</v>
      </c>
      <c r="B575" s="4" t="s">
        <v>39</v>
      </c>
      <c r="C575" s="5" t="s">
        <v>300</v>
      </c>
      <c r="D575" s="5" t="s">
        <v>32</v>
      </c>
      <c r="E575" s="5" t="s">
        <v>98</v>
      </c>
      <c r="F575" s="5" t="s">
        <v>29</v>
      </c>
      <c r="G575" s="5" t="s">
        <v>18</v>
      </c>
      <c r="H575" s="5">
        <v>98</v>
      </c>
      <c r="I575" s="5">
        <v>605</v>
      </c>
      <c r="J575" s="5">
        <v>1155</v>
      </c>
      <c r="K575" s="6">
        <f t="shared" si="32"/>
        <v>59290</v>
      </c>
      <c r="L575" s="6">
        <f t="shared" si="33"/>
        <v>113190</v>
      </c>
      <c r="M575" s="6">
        <f t="shared" si="34"/>
        <v>53900</v>
      </c>
      <c r="N575" s="6" t="str">
        <f t="shared" si="35"/>
        <v>profit</v>
      </c>
    </row>
    <row r="576" spans="1:14" ht="15.6" thickTop="1" thickBot="1" x14ac:dyDescent="0.35">
      <c r="A576" s="4">
        <v>45626</v>
      </c>
      <c r="B576" s="4" t="s">
        <v>160</v>
      </c>
      <c r="C576" s="5" t="s">
        <v>186</v>
      </c>
      <c r="D576" s="5" t="s">
        <v>45</v>
      </c>
      <c r="E576" s="5" t="s">
        <v>117</v>
      </c>
      <c r="F576" s="5" t="s">
        <v>38</v>
      </c>
      <c r="G576" s="5" t="s">
        <v>18</v>
      </c>
      <c r="H576" s="5">
        <v>20</v>
      </c>
      <c r="I576" s="5">
        <v>989</v>
      </c>
      <c r="J576" s="5">
        <v>1298</v>
      </c>
      <c r="K576" s="6">
        <f t="shared" si="32"/>
        <v>19780</v>
      </c>
      <c r="L576" s="6">
        <f t="shared" si="33"/>
        <v>25960</v>
      </c>
      <c r="M576" s="6">
        <f t="shared" si="34"/>
        <v>6180</v>
      </c>
      <c r="N576" s="6" t="str">
        <f t="shared" si="35"/>
        <v>profit</v>
      </c>
    </row>
    <row r="577" spans="1:14" ht="15.6" thickTop="1" thickBot="1" x14ac:dyDescent="0.35">
      <c r="A577" s="4">
        <v>45501</v>
      </c>
      <c r="B577" s="4" t="s">
        <v>39</v>
      </c>
      <c r="C577" s="5" t="s">
        <v>301</v>
      </c>
      <c r="D577" s="5" t="s">
        <v>32</v>
      </c>
      <c r="E577" s="5" t="s">
        <v>98</v>
      </c>
      <c r="F577" s="5" t="s">
        <v>24</v>
      </c>
      <c r="G577" s="5" t="s">
        <v>18</v>
      </c>
      <c r="H577" s="5">
        <v>63</v>
      </c>
      <c r="I577" s="5">
        <v>952</v>
      </c>
      <c r="J577" s="5">
        <v>824</v>
      </c>
      <c r="K577" s="6">
        <f t="shared" si="32"/>
        <v>59976</v>
      </c>
      <c r="L577" s="6">
        <f t="shared" si="33"/>
        <v>51912</v>
      </c>
      <c r="M577" s="6">
        <f t="shared" si="34"/>
        <v>-8064</v>
      </c>
      <c r="N577" s="6" t="str">
        <f t="shared" si="35"/>
        <v>loss</v>
      </c>
    </row>
    <row r="578" spans="1:14" ht="15.6" thickTop="1" thickBot="1" x14ac:dyDescent="0.35">
      <c r="A578" s="4">
        <v>45502</v>
      </c>
      <c r="B578" s="4" t="s">
        <v>39</v>
      </c>
      <c r="C578" s="5" t="s">
        <v>302</v>
      </c>
      <c r="D578" s="5" t="s">
        <v>32</v>
      </c>
      <c r="E578" s="5" t="s">
        <v>98</v>
      </c>
      <c r="F578" s="5" t="s">
        <v>75</v>
      </c>
      <c r="G578" s="5" t="s">
        <v>18</v>
      </c>
      <c r="H578" s="5">
        <v>91</v>
      </c>
      <c r="I578" s="5">
        <v>938</v>
      </c>
      <c r="J578" s="5">
        <v>1156</v>
      </c>
      <c r="K578" s="6">
        <f t="shared" ref="K578:K641" si="36">H578*I578</f>
        <v>85358</v>
      </c>
      <c r="L578" s="6">
        <f t="shared" ref="L578:L641" si="37">H578*J578</f>
        <v>105196</v>
      </c>
      <c r="M578" s="6">
        <f t="shared" ref="M578:M641" si="38">L578-K578</f>
        <v>19838</v>
      </c>
      <c r="N578" s="6" t="str">
        <f t="shared" ref="N578:N641" si="39">IF(M578&gt;0,"profit","loss")</f>
        <v>profit</v>
      </c>
    </row>
    <row r="579" spans="1:14" ht="15.6" thickTop="1" thickBot="1" x14ac:dyDescent="0.35">
      <c r="A579" s="4">
        <v>45629</v>
      </c>
      <c r="B579" s="4" t="s">
        <v>189</v>
      </c>
      <c r="C579" s="5" t="s">
        <v>190</v>
      </c>
      <c r="D579" s="5" t="s">
        <v>45</v>
      </c>
      <c r="E579" s="5" t="s">
        <v>117</v>
      </c>
      <c r="F579" s="5" t="s">
        <v>59</v>
      </c>
      <c r="G579" s="5" t="s">
        <v>27</v>
      </c>
      <c r="H579" s="5">
        <v>26</v>
      </c>
      <c r="I579" s="5">
        <v>870</v>
      </c>
      <c r="J579" s="5">
        <v>1123</v>
      </c>
      <c r="K579" s="6">
        <f t="shared" si="36"/>
        <v>22620</v>
      </c>
      <c r="L579" s="6">
        <f t="shared" si="37"/>
        <v>29198</v>
      </c>
      <c r="M579" s="6">
        <f t="shared" si="38"/>
        <v>6578</v>
      </c>
      <c r="N579" s="6" t="str">
        <f t="shared" si="39"/>
        <v>profit</v>
      </c>
    </row>
    <row r="580" spans="1:14" ht="15.6" thickTop="1" thickBot="1" x14ac:dyDescent="0.35">
      <c r="A580" s="4">
        <v>45503</v>
      </c>
      <c r="B580" s="4" t="s">
        <v>39</v>
      </c>
      <c r="C580" s="5" t="s">
        <v>303</v>
      </c>
      <c r="D580" s="5" t="s">
        <v>32</v>
      </c>
      <c r="E580" s="5" t="s">
        <v>98</v>
      </c>
      <c r="F580" s="5" t="s">
        <v>70</v>
      </c>
      <c r="G580" s="5" t="s">
        <v>27</v>
      </c>
      <c r="H580" s="5">
        <v>66</v>
      </c>
      <c r="I580" s="5">
        <v>512</v>
      </c>
      <c r="J580" s="5">
        <v>1208</v>
      </c>
      <c r="K580" s="6">
        <f t="shared" si="36"/>
        <v>33792</v>
      </c>
      <c r="L580" s="6">
        <f t="shared" si="37"/>
        <v>79728</v>
      </c>
      <c r="M580" s="6">
        <f t="shared" si="38"/>
        <v>45936</v>
      </c>
      <c r="N580" s="6" t="str">
        <f t="shared" si="39"/>
        <v>profit</v>
      </c>
    </row>
    <row r="581" spans="1:14" ht="15.6" thickTop="1" thickBot="1" x14ac:dyDescent="0.35">
      <c r="A581" s="4">
        <v>45504</v>
      </c>
      <c r="B581" s="4" t="s">
        <v>39</v>
      </c>
      <c r="C581" s="5" t="s">
        <v>304</v>
      </c>
      <c r="D581" s="5" t="s">
        <v>32</v>
      </c>
      <c r="E581" s="5" t="s">
        <v>98</v>
      </c>
      <c r="F581" s="5" t="s">
        <v>43</v>
      </c>
      <c r="G581" s="5" t="s">
        <v>27</v>
      </c>
      <c r="H581" s="5">
        <v>88</v>
      </c>
      <c r="I581" s="5">
        <v>691</v>
      </c>
      <c r="J581" s="5">
        <v>1394</v>
      </c>
      <c r="K581" s="6">
        <f t="shared" si="36"/>
        <v>60808</v>
      </c>
      <c r="L581" s="6">
        <f t="shared" si="37"/>
        <v>122672</v>
      </c>
      <c r="M581" s="6">
        <f t="shared" si="38"/>
        <v>61864</v>
      </c>
      <c r="N581" s="6" t="str">
        <f t="shared" si="39"/>
        <v>profit</v>
      </c>
    </row>
    <row r="582" spans="1:14" ht="15.6" thickTop="1" thickBot="1" x14ac:dyDescent="0.35">
      <c r="A582" s="4">
        <v>45505</v>
      </c>
      <c r="B582" s="4" t="s">
        <v>56</v>
      </c>
      <c r="C582" s="5" t="s">
        <v>305</v>
      </c>
      <c r="D582" s="5" t="s">
        <v>32</v>
      </c>
      <c r="E582" s="5" t="s">
        <v>98</v>
      </c>
      <c r="F582" s="5" t="s">
        <v>24</v>
      </c>
      <c r="G582" s="5" t="s">
        <v>27</v>
      </c>
      <c r="H582" s="5">
        <v>54</v>
      </c>
      <c r="I582" s="5">
        <v>518</v>
      </c>
      <c r="J582" s="5">
        <v>1106</v>
      </c>
      <c r="K582" s="6">
        <f t="shared" si="36"/>
        <v>27972</v>
      </c>
      <c r="L582" s="6">
        <f t="shared" si="37"/>
        <v>59724</v>
      </c>
      <c r="M582" s="6">
        <f t="shared" si="38"/>
        <v>31752</v>
      </c>
      <c r="N582" s="6" t="str">
        <f t="shared" si="39"/>
        <v>profit</v>
      </c>
    </row>
    <row r="583" spans="1:14" ht="15.6" thickTop="1" thickBot="1" x14ac:dyDescent="0.35">
      <c r="A583" s="4">
        <v>45506</v>
      </c>
      <c r="B583" s="4" t="s">
        <v>56</v>
      </c>
      <c r="C583" s="5" t="s">
        <v>306</v>
      </c>
      <c r="D583" s="5" t="s">
        <v>32</v>
      </c>
      <c r="E583" s="5" t="s">
        <v>98</v>
      </c>
      <c r="F583" s="5" t="s">
        <v>63</v>
      </c>
      <c r="G583" s="5" t="s">
        <v>27</v>
      </c>
      <c r="H583" s="5">
        <v>67</v>
      </c>
      <c r="I583" s="5">
        <v>780</v>
      </c>
      <c r="J583" s="5">
        <v>864</v>
      </c>
      <c r="K583" s="6">
        <f t="shared" si="36"/>
        <v>52260</v>
      </c>
      <c r="L583" s="6">
        <f t="shared" si="37"/>
        <v>57888</v>
      </c>
      <c r="M583" s="6">
        <f t="shared" si="38"/>
        <v>5628</v>
      </c>
      <c r="N583" s="6" t="str">
        <f t="shared" si="39"/>
        <v>profit</v>
      </c>
    </row>
    <row r="584" spans="1:14" ht="15.6" thickTop="1" thickBot="1" x14ac:dyDescent="0.35">
      <c r="A584" s="4">
        <v>45634</v>
      </c>
      <c r="B584" s="4" t="s">
        <v>189</v>
      </c>
      <c r="C584" s="5" t="s">
        <v>195</v>
      </c>
      <c r="D584" s="5" t="s">
        <v>45</v>
      </c>
      <c r="E584" s="5" t="s">
        <v>117</v>
      </c>
      <c r="F584" s="5" t="s">
        <v>152</v>
      </c>
      <c r="G584" s="5" t="s">
        <v>27</v>
      </c>
      <c r="H584" s="5">
        <v>23</v>
      </c>
      <c r="I584" s="5">
        <v>945</v>
      </c>
      <c r="J584" s="5">
        <v>1268</v>
      </c>
      <c r="K584" s="6">
        <f t="shared" si="36"/>
        <v>21735</v>
      </c>
      <c r="L584" s="6">
        <f t="shared" si="37"/>
        <v>29164</v>
      </c>
      <c r="M584" s="6">
        <f t="shared" si="38"/>
        <v>7429</v>
      </c>
      <c r="N584" s="6" t="str">
        <f t="shared" si="39"/>
        <v>profit</v>
      </c>
    </row>
    <row r="585" spans="1:14" ht="15.6" thickTop="1" thickBot="1" x14ac:dyDescent="0.35">
      <c r="A585" s="4">
        <v>45508</v>
      </c>
      <c r="B585" s="4" t="s">
        <v>56</v>
      </c>
      <c r="C585" s="5" t="s">
        <v>307</v>
      </c>
      <c r="D585" s="5" t="s">
        <v>32</v>
      </c>
      <c r="E585" s="5" t="s">
        <v>119</v>
      </c>
      <c r="F585" s="5" t="s">
        <v>77</v>
      </c>
      <c r="G585" s="5" t="s">
        <v>18</v>
      </c>
      <c r="H585" s="5">
        <v>85</v>
      </c>
      <c r="I585" s="5">
        <v>853</v>
      </c>
      <c r="J585" s="5">
        <v>1453</v>
      </c>
      <c r="K585" s="6">
        <f t="shared" si="36"/>
        <v>72505</v>
      </c>
      <c r="L585" s="6">
        <f t="shared" si="37"/>
        <v>123505</v>
      </c>
      <c r="M585" s="6">
        <f t="shared" si="38"/>
        <v>51000</v>
      </c>
      <c r="N585" s="6" t="str">
        <f t="shared" si="39"/>
        <v>profit</v>
      </c>
    </row>
    <row r="586" spans="1:14" ht="15.6" thickTop="1" thickBot="1" x14ac:dyDescent="0.35">
      <c r="A586" s="4">
        <v>45509</v>
      </c>
      <c r="B586" s="4" t="s">
        <v>56</v>
      </c>
      <c r="C586" s="5" t="s">
        <v>308</v>
      </c>
      <c r="D586" s="5" t="s">
        <v>32</v>
      </c>
      <c r="E586" s="5" t="s">
        <v>119</v>
      </c>
      <c r="F586" s="5" t="s">
        <v>34</v>
      </c>
      <c r="G586" s="5" t="s">
        <v>18</v>
      </c>
      <c r="H586" s="5">
        <v>69</v>
      </c>
      <c r="I586" s="5">
        <v>745</v>
      </c>
      <c r="J586" s="5">
        <v>1075</v>
      </c>
      <c r="K586" s="6">
        <f t="shared" si="36"/>
        <v>51405</v>
      </c>
      <c r="L586" s="6">
        <f t="shared" si="37"/>
        <v>74175</v>
      </c>
      <c r="M586" s="6">
        <f t="shared" si="38"/>
        <v>22770</v>
      </c>
      <c r="N586" s="6" t="str">
        <f t="shared" si="39"/>
        <v>profit</v>
      </c>
    </row>
    <row r="587" spans="1:14" ht="15.6" thickTop="1" thickBot="1" x14ac:dyDescent="0.35">
      <c r="A587" s="4">
        <v>45637</v>
      </c>
      <c r="B587" s="4" t="s">
        <v>189</v>
      </c>
      <c r="C587" s="5" t="s">
        <v>197</v>
      </c>
      <c r="D587" s="5" t="s">
        <v>32</v>
      </c>
      <c r="E587" s="5" t="s">
        <v>98</v>
      </c>
      <c r="F587" s="5" t="s">
        <v>20</v>
      </c>
      <c r="G587" s="5" t="s">
        <v>27</v>
      </c>
      <c r="H587" s="5">
        <v>78</v>
      </c>
      <c r="I587" s="5">
        <v>522</v>
      </c>
      <c r="J587" s="5">
        <v>1064</v>
      </c>
      <c r="K587" s="6">
        <f t="shared" si="36"/>
        <v>40716</v>
      </c>
      <c r="L587" s="6">
        <f t="shared" si="37"/>
        <v>82992</v>
      </c>
      <c r="M587" s="6">
        <f t="shared" si="38"/>
        <v>42276</v>
      </c>
      <c r="N587" s="6" t="str">
        <f t="shared" si="39"/>
        <v>profit</v>
      </c>
    </row>
    <row r="588" spans="1:14" ht="15.6" thickTop="1" thickBot="1" x14ac:dyDescent="0.35">
      <c r="A588" s="4">
        <v>45528</v>
      </c>
      <c r="B588" s="4" t="s">
        <v>56</v>
      </c>
      <c r="C588" s="5" t="s">
        <v>309</v>
      </c>
      <c r="D588" s="5" t="s">
        <v>32</v>
      </c>
      <c r="E588" s="5" t="s">
        <v>98</v>
      </c>
      <c r="F588" s="5" t="s">
        <v>38</v>
      </c>
      <c r="G588" s="5" t="s">
        <v>18</v>
      </c>
      <c r="H588" s="5">
        <v>63</v>
      </c>
      <c r="I588" s="5">
        <v>525</v>
      </c>
      <c r="J588" s="5">
        <v>1182</v>
      </c>
      <c r="K588" s="6">
        <f t="shared" si="36"/>
        <v>33075</v>
      </c>
      <c r="L588" s="6">
        <f t="shared" si="37"/>
        <v>74466</v>
      </c>
      <c r="M588" s="6">
        <f t="shared" si="38"/>
        <v>41391</v>
      </c>
      <c r="N588" s="6" t="str">
        <f t="shared" si="39"/>
        <v>profit</v>
      </c>
    </row>
    <row r="589" spans="1:14" ht="15.6" thickTop="1" thickBot="1" x14ac:dyDescent="0.35">
      <c r="A589" s="4">
        <v>45529</v>
      </c>
      <c r="B589" s="4" t="s">
        <v>56</v>
      </c>
      <c r="C589" s="5" t="s">
        <v>310</v>
      </c>
      <c r="D589" s="5" t="s">
        <v>32</v>
      </c>
      <c r="E589" s="5" t="s">
        <v>98</v>
      </c>
      <c r="F589" s="5" t="s">
        <v>29</v>
      </c>
      <c r="G589" s="5" t="s">
        <v>18</v>
      </c>
      <c r="H589" s="5">
        <v>73</v>
      </c>
      <c r="I589" s="5">
        <v>709</v>
      </c>
      <c r="J589" s="5">
        <v>1344</v>
      </c>
      <c r="K589" s="6">
        <f t="shared" si="36"/>
        <v>51757</v>
      </c>
      <c r="L589" s="6">
        <f t="shared" si="37"/>
        <v>98112</v>
      </c>
      <c r="M589" s="6">
        <f t="shared" si="38"/>
        <v>46355</v>
      </c>
      <c r="N589" s="6" t="str">
        <f t="shared" si="39"/>
        <v>profit</v>
      </c>
    </row>
    <row r="590" spans="1:14" ht="15.6" thickTop="1" thickBot="1" x14ac:dyDescent="0.35">
      <c r="A590" s="4">
        <v>45530</v>
      </c>
      <c r="B590" s="4" t="s">
        <v>56</v>
      </c>
      <c r="C590" s="5" t="s">
        <v>311</v>
      </c>
      <c r="D590" s="5" t="s">
        <v>32</v>
      </c>
      <c r="E590" s="5" t="s">
        <v>98</v>
      </c>
      <c r="F590" s="5" t="s">
        <v>112</v>
      </c>
      <c r="G590" s="5" t="s">
        <v>18</v>
      </c>
      <c r="H590" s="5">
        <v>74</v>
      </c>
      <c r="I590" s="5">
        <v>914</v>
      </c>
      <c r="J590" s="5">
        <v>1031</v>
      </c>
      <c r="K590" s="6">
        <f t="shared" si="36"/>
        <v>67636</v>
      </c>
      <c r="L590" s="6">
        <f t="shared" si="37"/>
        <v>76294</v>
      </c>
      <c r="M590" s="6">
        <f t="shared" si="38"/>
        <v>8658</v>
      </c>
      <c r="N590" s="6" t="str">
        <f t="shared" si="39"/>
        <v>profit</v>
      </c>
    </row>
    <row r="591" spans="1:14" ht="15.6" thickTop="1" thickBot="1" x14ac:dyDescent="0.35">
      <c r="A591" s="4">
        <v>45531</v>
      </c>
      <c r="B591" s="4" t="s">
        <v>56</v>
      </c>
      <c r="C591" s="5" t="s">
        <v>312</v>
      </c>
      <c r="D591" s="5" t="s">
        <v>32</v>
      </c>
      <c r="E591" s="5" t="s">
        <v>98</v>
      </c>
      <c r="F591" s="5" t="s">
        <v>43</v>
      </c>
      <c r="G591" s="5" t="s">
        <v>18</v>
      </c>
      <c r="H591" s="5">
        <v>84</v>
      </c>
      <c r="I591" s="5">
        <v>558</v>
      </c>
      <c r="J591" s="5">
        <v>1477</v>
      </c>
      <c r="K591" s="6">
        <f t="shared" si="36"/>
        <v>46872</v>
      </c>
      <c r="L591" s="6">
        <f t="shared" si="37"/>
        <v>124068</v>
      </c>
      <c r="M591" s="6">
        <f t="shared" si="38"/>
        <v>77196</v>
      </c>
      <c r="N591" s="6" t="str">
        <f t="shared" si="39"/>
        <v>profit</v>
      </c>
    </row>
    <row r="592" spans="1:14" ht="15.6" thickTop="1" thickBot="1" x14ac:dyDescent="0.35">
      <c r="A592" s="4">
        <v>45642</v>
      </c>
      <c r="B592" s="4" t="s">
        <v>189</v>
      </c>
      <c r="C592" s="5" t="s">
        <v>201</v>
      </c>
      <c r="D592" s="5" t="s">
        <v>32</v>
      </c>
      <c r="E592" s="5" t="s">
        <v>98</v>
      </c>
      <c r="F592" s="5" t="s">
        <v>38</v>
      </c>
      <c r="G592" s="5" t="s">
        <v>18</v>
      </c>
      <c r="H592" s="5">
        <v>60</v>
      </c>
      <c r="I592" s="5">
        <v>642</v>
      </c>
      <c r="J592" s="5">
        <v>1110</v>
      </c>
      <c r="K592" s="6">
        <f t="shared" si="36"/>
        <v>38520</v>
      </c>
      <c r="L592" s="6">
        <f t="shared" si="37"/>
        <v>66600</v>
      </c>
      <c r="M592" s="6">
        <f t="shared" si="38"/>
        <v>28080</v>
      </c>
      <c r="N592" s="6" t="str">
        <f t="shared" si="39"/>
        <v>profit</v>
      </c>
    </row>
    <row r="593" spans="1:14" ht="15.6" thickTop="1" thickBot="1" x14ac:dyDescent="0.35">
      <c r="A593" s="4">
        <v>45532</v>
      </c>
      <c r="B593" s="4" t="s">
        <v>56</v>
      </c>
      <c r="C593" s="5" t="s">
        <v>313</v>
      </c>
      <c r="D593" s="5" t="s">
        <v>32</v>
      </c>
      <c r="E593" s="5" t="s">
        <v>98</v>
      </c>
      <c r="F593" s="5" t="s">
        <v>152</v>
      </c>
      <c r="G593" s="5" t="s">
        <v>18</v>
      </c>
      <c r="H593" s="5">
        <v>99</v>
      </c>
      <c r="I593" s="5">
        <v>934</v>
      </c>
      <c r="J593" s="5">
        <v>1318</v>
      </c>
      <c r="K593" s="6">
        <f t="shared" si="36"/>
        <v>92466</v>
      </c>
      <c r="L593" s="6">
        <f t="shared" si="37"/>
        <v>130482</v>
      </c>
      <c r="M593" s="6">
        <f t="shared" si="38"/>
        <v>38016</v>
      </c>
      <c r="N593" s="6" t="str">
        <f t="shared" si="39"/>
        <v>profit</v>
      </c>
    </row>
    <row r="594" spans="1:14" ht="15.6" thickTop="1" thickBot="1" x14ac:dyDescent="0.35">
      <c r="A594" s="4">
        <v>45533</v>
      </c>
      <c r="B594" s="4" t="s">
        <v>56</v>
      </c>
      <c r="C594" s="5" t="s">
        <v>314</v>
      </c>
      <c r="D594" s="5" t="s">
        <v>32</v>
      </c>
      <c r="E594" s="5" t="s">
        <v>98</v>
      </c>
      <c r="F594" s="5" t="s">
        <v>154</v>
      </c>
      <c r="G594" s="5" t="s">
        <v>18</v>
      </c>
      <c r="H594" s="5">
        <v>52</v>
      </c>
      <c r="I594" s="5">
        <v>576</v>
      </c>
      <c r="J594" s="5">
        <v>1419</v>
      </c>
      <c r="K594" s="6">
        <f t="shared" si="36"/>
        <v>29952</v>
      </c>
      <c r="L594" s="6">
        <f t="shared" si="37"/>
        <v>73788</v>
      </c>
      <c r="M594" s="6">
        <f t="shared" si="38"/>
        <v>43836</v>
      </c>
      <c r="N594" s="6" t="str">
        <f t="shared" si="39"/>
        <v>profit</v>
      </c>
    </row>
    <row r="595" spans="1:14" ht="15.6" thickTop="1" thickBot="1" x14ac:dyDescent="0.35">
      <c r="A595" s="4">
        <v>45534</v>
      </c>
      <c r="B595" s="4" t="s">
        <v>56</v>
      </c>
      <c r="C595" s="5" t="s">
        <v>315</v>
      </c>
      <c r="D595" s="5" t="s">
        <v>32</v>
      </c>
      <c r="E595" s="5" t="s">
        <v>98</v>
      </c>
      <c r="F595" s="5" t="s">
        <v>17</v>
      </c>
      <c r="G595" s="5" t="s">
        <v>27</v>
      </c>
      <c r="H595" s="5">
        <v>98</v>
      </c>
      <c r="I595" s="5">
        <v>769</v>
      </c>
      <c r="J595" s="5">
        <v>1277</v>
      </c>
      <c r="K595" s="6">
        <f t="shared" si="36"/>
        <v>75362</v>
      </c>
      <c r="L595" s="6">
        <f t="shared" si="37"/>
        <v>125146</v>
      </c>
      <c r="M595" s="6">
        <f t="shared" si="38"/>
        <v>49784</v>
      </c>
      <c r="N595" s="6" t="str">
        <f t="shared" si="39"/>
        <v>profit</v>
      </c>
    </row>
    <row r="596" spans="1:14" ht="15.6" thickTop="1" thickBot="1" x14ac:dyDescent="0.35">
      <c r="A596" s="4">
        <v>45646</v>
      </c>
      <c r="B596" s="4" t="s">
        <v>189</v>
      </c>
      <c r="C596" s="5" t="s">
        <v>205</v>
      </c>
      <c r="D596" s="5" t="s">
        <v>32</v>
      </c>
      <c r="E596" s="5" t="s">
        <v>98</v>
      </c>
      <c r="F596" s="5" t="s">
        <v>38</v>
      </c>
      <c r="G596" s="5" t="s">
        <v>18</v>
      </c>
      <c r="H596" s="5">
        <v>86</v>
      </c>
      <c r="I596" s="5">
        <v>668</v>
      </c>
      <c r="J596" s="5">
        <v>1278</v>
      </c>
      <c r="K596" s="6">
        <f t="shared" si="36"/>
        <v>57448</v>
      </c>
      <c r="L596" s="6">
        <f t="shared" si="37"/>
        <v>109908</v>
      </c>
      <c r="M596" s="6">
        <f t="shared" si="38"/>
        <v>52460</v>
      </c>
      <c r="N596" s="6" t="str">
        <f t="shared" si="39"/>
        <v>profit</v>
      </c>
    </row>
    <row r="597" spans="1:14" ht="15.6" thickTop="1" thickBot="1" x14ac:dyDescent="0.35">
      <c r="A597" s="4">
        <v>45536</v>
      </c>
      <c r="B597" s="4" t="s">
        <v>68</v>
      </c>
      <c r="C597" s="5" t="s">
        <v>316</v>
      </c>
      <c r="D597" s="5" t="s">
        <v>32</v>
      </c>
      <c r="E597" s="5" t="s">
        <v>98</v>
      </c>
      <c r="F597" s="5" t="s">
        <v>22</v>
      </c>
      <c r="G597" s="5" t="s">
        <v>27</v>
      </c>
      <c r="H597" s="5">
        <v>73</v>
      </c>
      <c r="I597" s="5">
        <v>627</v>
      </c>
      <c r="J597" s="5">
        <v>769</v>
      </c>
      <c r="K597" s="6">
        <f t="shared" si="36"/>
        <v>45771</v>
      </c>
      <c r="L597" s="6">
        <f t="shared" si="37"/>
        <v>56137</v>
      </c>
      <c r="M597" s="6">
        <f t="shared" si="38"/>
        <v>10366</v>
      </c>
      <c r="N597" s="6" t="str">
        <f t="shared" si="39"/>
        <v>profit</v>
      </c>
    </row>
    <row r="598" spans="1:14" ht="15.6" thickTop="1" thickBot="1" x14ac:dyDescent="0.35">
      <c r="A598" s="4">
        <v>45648</v>
      </c>
      <c r="B598" s="4" t="s">
        <v>189</v>
      </c>
      <c r="C598" s="5" t="s">
        <v>207</v>
      </c>
      <c r="D598" s="5" t="s">
        <v>32</v>
      </c>
      <c r="E598" s="5" t="s">
        <v>119</v>
      </c>
      <c r="F598" s="5" t="s">
        <v>112</v>
      </c>
      <c r="G598" s="5" t="s">
        <v>18</v>
      </c>
      <c r="H598" s="5">
        <v>57</v>
      </c>
      <c r="I598" s="5">
        <v>995</v>
      </c>
      <c r="J598" s="5">
        <v>912</v>
      </c>
      <c r="K598" s="6">
        <f t="shared" si="36"/>
        <v>56715</v>
      </c>
      <c r="L598" s="6">
        <f t="shared" si="37"/>
        <v>51984</v>
      </c>
      <c r="M598" s="6">
        <f t="shared" si="38"/>
        <v>-4731</v>
      </c>
      <c r="N598" s="6" t="str">
        <f t="shared" si="39"/>
        <v>loss</v>
      </c>
    </row>
    <row r="599" spans="1:14" ht="15.6" thickTop="1" thickBot="1" x14ac:dyDescent="0.35">
      <c r="A599" s="4">
        <v>45537</v>
      </c>
      <c r="B599" s="4" t="s">
        <v>68</v>
      </c>
      <c r="C599" s="5" t="s">
        <v>317</v>
      </c>
      <c r="D599" s="5" t="s">
        <v>32</v>
      </c>
      <c r="E599" s="5" t="s">
        <v>119</v>
      </c>
      <c r="F599" s="5" t="s">
        <v>24</v>
      </c>
      <c r="G599" s="5" t="s">
        <v>27</v>
      </c>
      <c r="H599" s="5">
        <v>93</v>
      </c>
      <c r="I599" s="5">
        <v>847</v>
      </c>
      <c r="J599" s="5">
        <v>1258</v>
      </c>
      <c r="K599" s="6">
        <f t="shared" si="36"/>
        <v>78771</v>
      </c>
      <c r="L599" s="6">
        <f t="shared" si="37"/>
        <v>116994</v>
      </c>
      <c r="M599" s="6">
        <f t="shared" si="38"/>
        <v>38223</v>
      </c>
      <c r="N599" s="6" t="str">
        <f t="shared" si="39"/>
        <v>profit</v>
      </c>
    </row>
    <row r="600" spans="1:14" ht="15.6" thickTop="1" thickBot="1" x14ac:dyDescent="0.35">
      <c r="A600" s="4">
        <v>45538</v>
      </c>
      <c r="B600" s="4" t="s">
        <v>68</v>
      </c>
      <c r="C600" s="5" t="s">
        <v>318</v>
      </c>
      <c r="D600" s="5" t="s">
        <v>32</v>
      </c>
      <c r="E600" s="5" t="s">
        <v>119</v>
      </c>
      <c r="F600" s="5" t="s">
        <v>24</v>
      </c>
      <c r="G600" s="5" t="s">
        <v>27</v>
      </c>
      <c r="H600" s="5">
        <v>84</v>
      </c>
      <c r="I600" s="5">
        <v>522</v>
      </c>
      <c r="J600" s="5">
        <v>929</v>
      </c>
      <c r="K600" s="6">
        <f t="shared" si="36"/>
        <v>43848</v>
      </c>
      <c r="L600" s="6">
        <f t="shared" si="37"/>
        <v>78036</v>
      </c>
      <c r="M600" s="6">
        <f t="shared" si="38"/>
        <v>34188</v>
      </c>
      <c r="N600" s="6" t="str">
        <f t="shared" si="39"/>
        <v>profit</v>
      </c>
    </row>
    <row r="601" spans="1:14" ht="15.6" thickTop="1" thickBot="1" x14ac:dyDescent="0.35">
      <c r="A601" s="4">
        <v>45539</v>
      </c>
      <c r="B601" s="4" t="s">
        <v>68</v>
      </c>
      <c r="C601" s="5" t="s">
        <v>319</v>
      </c>
      <c r="D601" s="5" t="s">
        <v>32</v>
      </c>
      <c r="E601" s="5" t="s">
        <v>119</v>
      </c>
      <c r="F601" s="5" t="s">
        <v>26</v>
      </c>
      <c r="G601" s="5" t="s">
        <v>18</v>
      </c>
      <c r="H601" s="5">
        <v>85</v>
      </c>
      <c r="I601" s="5">
        <v>564</v>
      </c>
      <c r="J601" s="5">
        <v>1049</v>
      </c>
      <c r="K601" s="6">
        <f t="shared" si="36"/>
        <v>47940</v>
      </c>
      <c r="L601" s="6">
        <f t="shared" si="37"/>
        <v>89165</v>
      </c>
      <c r="M601" s="6">
        <f t="shared" si="38"/>
        <v>41225</v>
      </c>
      <c r="N601" s="6" t="str">
        <f t="shared" si="39"/>
        <v>profit</v>
      </c>
    </row>
    <row r="602" spans="1:14" ht="15.6" thickTop="1" thickBot="1" x14ac:dyDescent="0.35">
      <c r="A602" s="4">
        <v>45541</v>
      </c>
      <c r="B602" s="4" t="s">
        <v>68</v>
      </c>
      <c r="C602" s="5" t="s">
        <v>320</v>
      </c>
      <c r="D602" s="5" t="s">
        <v>32</v>
      </c>
      <c r="E602" s="5" t="s">
        <v>119</v>
      </c>
      <c r="F602" s="5" t="s">
        <v>24</v>
      </c>
      <c r="G602" s="5" t="s">
        <v>18</v>
      </c>
      <c r="H602" s="5">
        <v>93</v>
      </c>
      <c r="I602" s="5">
        <v>579</v>
      </c>
      <c r="J602" s="5">
        <v>1402</v>
      </c>
      <c r="K602" s="6">
        <f t="shared" si="36"/>
        <v>53847</v>
      </c>
      <c r="L602" s="6">
        <f t="shared" si="37"/>
        <v>130386</v>
      </c>
      <c r="M602" s="6">
        <f t="shared" si="38"/>
        <v>76539</v>
      </c>
      <c r="N602" s="6" t="str">
        <f t="shared" si="39"/>
        <v>profit</v>
      </c>
    </row>
    <row r="603" spans="1:14" ht="15.6" thickTop="1" thickBot="1" x14ac:dyDescent="0.35">
      <c r="A603" s="4">
        <v>45653</v>
      </c>
      <c r="B603" s="4" t="s">
        <v>189</v>
      </c>
      <c r="C603" s="5" t="s">
        <v>212</v>
      </c>
      <c r="D603" s="5" t="s">
        <v>32</v>
      </c>
      <c r="E603" s="5" t="s">
        <v>119</v>
      </c>
      <c r="F603" s="5" t="s">
        <v>20</v>
      </c>
      <c r="G603" s="5" t="s">
        <v>27</v>
      </c>
      <c r="H603" s="5">
        <v>93</v>
      </c>
      <c r="I603" s="5">
        <v>886</v>
      </c>
      <c r="J603" s="5">
        <v>1199</v>
      </c>
      <c r="K603" s="6">
        <f t="shared" si="36"/>
        <v>82398</v>
      </c>
      <c r="L603" s="6">
        <f t="shared" si="37"/>
        <v>111507</v>
      </c>
      <c r="M603" s="6">
        <f t="shared" si="38"/>
        <v>29109</v>
      </c>
      <c r="N603" s="6" t="str">
        <f t="shared" si="39"/>
        <v>profit</v>
      </c>
    </row>
    <row r="604" spans="1:14" ht="15.6" thickTop="1" thickBot="1" x14ac:dyDescent="0.35">
      <c r="A604" s="4">
        <v>45542</v>
      </c>
      <c r="B604" s="4" t="s">
        <v>68</v>
      </c>
      <c r="C604" s="5" t="s">
        <v>321</v>
      </c>
      <c r="D604" s="5" t="s">
        <v>32</v>
      </c>
      <c r="E604" s="5" t="s">
        <v>119</v>
      </c>
      <c r="F604" s="5" t="s">
        <v>75</v>
      </c>
      <c r="G604" s="5" t="s">
        <v>27</v>
      </c>
      <c r="H604" s="5">
        <v>56</v>
      </c>
      <c r="I604" s="5">
        <v>724</v>
      </c>
      <c r="J604" s="5">
        <v>1391</v>
      </c>
      <c r="K604" s="6">
        <f t="shared" si="36"/>
        <v>40544</v>
      </c>
      <c r="L604" s="6">
        <f t="shared" si="37"/>
        <v>77896</v>
      </c>
      <c r="M604" s="6">
        <f t="shared" si="38"/>
        <v>37352</v>
      </c>
      <c r="N604" s="6" t="str">
        <f t="shared" si="39"/>
        <v>profit</v>
      </c>
    </row>
    <row r="605" spans="1:14" ht="15.6" thickTop="1" thickBot="1" x14ac:dyDescent="0.35">
      <c r="A605" s="4">
        <v>45555</v>
      </c>
      <c r="B605" s="4" t="s">
        <v>68</v>
      </c>
      <c r="C605" s="5" t="s">
        <v>322</v>
      </c>
      <c r="D605" s="5" t="s">
        <v>32</v>
      </c>
      <c r="E605" s="5" t="s">
        <v>119</v>
      </c>
      <c r="F605" s="5" t="s">
        <v>43</v>
      </c>
      <c r="G605" s="5" t="s">
        <v>27</v>
      </c>
      <c r="H605" s="5">
        <v>60</v>
      </c>
      <c r="I605" s="5">
        <v>783</v>
      </c>
      <c r="J605" s="5">
        <v>881</v>
      </c>
      <c r="K605" s="6">
        <f t="shared" si="36"/>
        <v>46980</v>
      </c>
      <c r="L605" s="6">
        <f t="shared" si="37"/>
        <v>52860</v>
      </c>
      <c r="M605" s="6">
        <f t="shared" si="38"/>
        <v>5880</v>
      </c>
      <c r="N605" s="6" t="str">
        <f t="shared" si="39"/>
        <v>profit</v>
      </c>
    </row>
    <row r="606" spans="1:14" ht="15.6" thickTop="1" thickBot="1" x14ac:dyDescent="0.35">
      <c r="A606" s="4">
        <v>45556</v>
      </c>
      <c r="B606" s="4" t="s">
        <v>68</v>
      </c>
      <c r="C606" s="5" t="s">
        <v>323</v>
      </c>
      <c r="D606" s="5" t="s">
        <v>32</v>
      </c>
      <c r="E606" s="5" t="s">
        <v>119</v>
      </c>
      <c r="F606" s="5" t="s">
        <v>26</v>
      </c>
      <c r="G606" s="5" t="s">
        <v>27</v>
      </c>
      <c r="H606" s="5">
        <v>81</v>
      </c>
      <c r="I606" s="5">
        <v>948</v>
      </c>
      <c r="J606" s="5">
        <v>904</v>
      </c>
      <c r="K606" s="6">
        <f t="shared" si="36"/>
        <v>76788</v>
      </c>
      <c r="L606" s="6">
        <f t="shared" si="37"/>
        <v>73224</v>
      </c>
      <c r="M606" s="6">
        <f t="shared" si="38"/>
        <v>-3564</v>
      </c>
      <c r="N606" s="6" t="str">
        <f t="shared" si="39"/>
        <v>loss</v>
      </c>
    </row>
    <row r="607" spans="1:14" ht="15.6" thickTop="1" thickBot="1" x14ac:dyDescent="0.35">
      <c r="A607" s="4">
        <v>45557</v>
      </c>
      <c r="B607" s="4" t="s">
        <v>68</v>
      </c>
      <c r="C607" s="5" t="s">
        <v>324</v>
      </c>
      <c r="D607" s="5" t="s">
        <v>32</v>
      </c>
      <c r="E607" s="5" t="s">
        <v>119</v>
      </c>
      <c r="F607" s="5" t="s">
        <v>43</v>
      </c>
      <c r="G607" s="5" t="s">
        <v>27</v>
      </c>
      <c r="H607" s="5">
        <v>80</v>
      </c>
      <c r="I607" s="5">
        <v>771</v>
      </c>
      <c r="J607" s="5">
        <v>1090</v>
      </c>
      <c r="K607" s="6">
        <f t="shared" si="36"/>
        <v>61680</v>
      </c>
      <c r="L607" s="6">
        <f t="shared" si="37"/>
        <v>87200</v>
      </c>
      <c r="M607" s="6">
        <f t="shared" si="38"/>
        <v>25520</v>
      </c>
      <c r="N607" s="6" t="str">
        <f t="shared" si="39"/>
        <v>profit</v>
      </c>
    </row>
    <row r="608" spans="1:14" ht="15.6" thickTop="1" thickBot="1" x14ac:dyDescent="0.35">
      <c r="A608" s="4">
        <v>45558</v>
      </c>
      <c r="B608" s="4" t="s">
        <v>68</v>
      </c>
      <c r="C608" s="5" t="s">
        <v>325</v>
      </c>
      <c r="D608" s="5" t="s">
        <v>32</v>
      </c>
      <c r="E608" s="5" t="s">
        <v>119</v>
      </c>
      <c r="F608" s="5" t="s">
        <v>48</v>
      </c>
      <c r="G608" s="5" t="s">
        <v>18</v>
      </c>
      <c r="H608" s="5">
        <v>88</v>
      </c>
      <c r="I608" s="5">
        <v>943</v>
      </c>
      <c r="J608" s="5">
        <v>1082</v>
      </c>
      <c r="K608" s="6">
        <f t="shared" si="36"/>
        <v>82984</v>
      </c>
      <c r="L608" s="6">
        <f t="shared" si="37"/>
        <v>95216</v>
      </c>
      <c r="M608" s="6">
        <f t="shared" si="38"/>
        <v>12232</v>
      </c>
      <c r="N608" s="6" t="str">
        <f t="shared" si="39"/>
        <v>profit</v>
      </c>
    </row>
    <row r="609" spans="1:14" ht="15.6" thickTop="1" thickBot="1" x14ac:dyDescent="0.35">
      <c r="A609" s="4">
        <v>45559</v>
      </c>
      <c r="B609" s="4" t="s">
        <v>68</v>
      </c>
      <c r="C609" s="5" t="s">
        <v>326</v>
      </c>
      <c r="D609" s="5" t="s">
        <v>32</v>
      </c>
      <c r="E609" s="5" t="s">
        <v>119</v>
      </c>
      <c r="F609" s="5" t="s">
        <v>26</v>
      </c>
      <c r="G609" s="5" t="s">
        <v>27</v>
      </c>
      <c r="H609" s="5">
        <v>68</v>
      </c>
      <c r="I609" s="5">
        <v>909</v>
      </c>
      <c r="J609" s="5">
        <v>1329</v>
      </c>
      <c r="K609" s="6">
        <f t="shared" si="36"/>
        <v>61812</v>
      </c>
      <c r="L609" s="6">
        <f t="shared" si="37"/>
        <v>90372</v>
      </c>
      <c r="M609" s="6">
        <f t="shared" si="38"/>
        <v>28560</v>
      </c>
      <c r="N609" s="6" t="str">
        <f t="shared" si="39"/>
        <v>profit</v>
      </c>
    </row>
    <row r="610" spans="1:14" ht="15.6" thickTop="1" thickBot="1" x14ac:dyDescent="0.35">
      <c r="A610" s="4">
        <v>45660</v>
      </c>
      <c r="B610" s="4" t="s">
        <v>94</v>
      </c>
      <c r="C610" s="5" t="s">
        <v>219</v>
      </c>
      <c r="D610" s="5" t="s">
        <v>15</v>
      </c>
      <c r="E610" s="5" t="s">
        <v>16</v>
      </c>
      <c r="F610" s="5" t="s">
        <v>75</v>
      </c>
      <c r="G610" s="5" t="s">
        <v>18</v>
      </c>
      <c r="H610" s="5">
        <v>11</v>
      </c>
      <c r="I610" s="5">
        <v>676</v>
      </c>
      <c r="J610" s="5">
        <v>1050</v>
      </c>
      <c r="K610" s="6">
        <f t="shared" si="36"/>
        <v>7436</v>
      </c>
      <c r="L610" s="6">
        <f t="shared" si="37"/>
        <v>11550</v>
      </c>
      <c r="M610" s="6">
        <f t="shared" si="38"/>
        <v>4114</v>
      </c>
      <c r="N610" s="6" t="str">
        <f t="shared" si="39"/>
        <v>profit</v>
      </c>
    </row>
    <row r="611" spans="1:14" ht="15.6" thickTop="1" thickBot="1" x14ac:dyDescent="0.35">
      <c r="A611" s="4">
        <v>45560</v>
      </c>
      <c r="B611" s="4" t="s">
        <v>68</v>
      </c>
      <c r="C611" s="5" t="s">
        <v>327</v>
      </c>
      <c r="D611" s="5" t="s">
        <v>32</v>
      </c>
      <c r="E611" s="5" t="s">
        <v>119</v>
      </c>
      <c r="F611" s="5" t="s">
        <v>51</v>
      </c>
      <c r="G611" s="5" t="s">
        <v>27</v>
      </c>
      <c r="H611" s="5">
        <v>65</v>
      </c>
      <c r="I611" s="5">
        <v>568</v>
      </c>
      <c r="J611" s="5">
        <v>1482</v>
      </c>
      <c r="K611" s="6">
        <f t="shared" si="36"/>
        <v>36920</v>
      </c>
      <c r="L611" s="6">
        <f t="shared" si="37"/>
        <v>96330</v>
      </c>
      <c r="M611" s="6">
        <f t="shared" si="38"/>
        <v>59410</v>
      </c>
      <c r="N611" s="6" t="str">
        <f t="shared" si="39"/>
        <v>profit</v>
      </c>
    </row>
    <row r="612" spans="1:14" ht="15.6" thickTop="1" thickBot="1" x14ac:dyDescent="0.35">
      <c r="A612" s="4">
        <v>45662</v>
      </c>
      <c r="B612" s="4" t="s">
        <v>94</v>
      </c>
      <c r="C612" s="5" t="s">
        <v>221</v>
      </c>
      <c r="D612" s="5" t="s">
        <v>15</v>
      </c>
      <c r="E612" s="5" t="s">
        <v>16</v>
      </c>
      <c r="F612" s="5" t="s">
        <v>43</v>
      </c>
      <c r="G612" s="5" t="s">
        <v>18</v>
      </c>
      <c r="H612" s="5">
        <v>13</v>
      </c>
      <c r="I612" s="5">
        <v>521</v>
      </c>
      <c r="J612" s="5">
        <v>1433</v>
      </c>
      <c r="K612" s="6">
        <f t="shared" si="36"/>
        <v>6773</v>
      </c>
      <c r="L612" s="6">
        <f t="shared" si="37"/>
        <v>18629</v>
      </c>
      <c r="M612" s="6">
        <f t="shared" si="38"/>
        <v>11856</v>
      </c>
      <c r="N612" s="6" t="str">
        <f t="shared" si="39"/>
        <v>profit</v>
      </c>
    </row>
    <row r="613" spans="1:14" ht="15.6" thickTop="1" thickBot="1" x14ac:dyDescent="0.35">
      <c r="A613" s="4">
        <v>45561</v>
      </c>
      <c r="B613" s="4" t="s">
        <v>68</v>
      </c>
      <c r="C613" s="5" t="s">
        <v>328</v>
      </c>
      <c r="D613" s="5" t="s">
        <v>32</v>
      </c>
      <c r="E613" s="5" t="s">
        <v>119</v>
      </c>
      <c r="F613" s="5" t="s">
        <v>53</v>
      </c>
      <c r="G613" s="5" t="s">
        <v>27</v>
      </c>
      <c r="H613" s="5">
        <v>58</v>
      </c>
      <c r="I613" s="5">
        <v>758</v>
      </c>
      <c r="J613" s="5">
        <v>1241</v>
      </c>
      <c r="K613" s="6">
        <f t="shared" si="36"/>
        <v>43964</v>
      </c>
      <c r="L613" s="6">
        <f t="shared" si="37"/>
        <v>71978</v>
      </c>
      <c r="M613" s="6">
        <f t="shared" si="38"/>
        <v>28014</v>
      </c>
      <c r="N613" s="6" t="str">
        <f t="shared" si="39"/>
        <v>profit</v>
      </c>
    </row>
    <row r="614" spans="1:14" ht="15.6" thickTop="1" thickBot="1" x14ac:dyDescent="0.35">
      <c r="A614" s="4">
        <v>45664</v>
      </c>
      <c r="B614" s="4" t="s">
        <v>94</v>
      </c>
      <c r="C614" s="5" t="s">
        <v>223</v>
      </c>
      <c r="D614" s="5" t="s">
        <v>15</v>
      </c>
      <c r="E614" s="5" t="s">
        <v>16</v>
      </c>
      <c r="F614" s="5" t="s">
        <v>22</v>
      </c>
      <c r="G614" s="5" t="s">
        <v>18</v>
      </c>
      <c r="H614" s="5">
        <v>16</v>
      </c>
      <c r="I614" s="5">
        <v>887</v>
      </c>
      <c r="J614" s="5">
        <v>1059</v>
      </c>
      <c r="K614" s="6">
        <f t="shared" si="36"/>
        <v>14192</v>
      </c>
      <c r="L614" s="6">
        <f t="shared" si="37"/>
        <v>16944</v>
      </c>
      <c r="M614" s="6">
        <f t="shared" si="38"/>
        <v>2752</v>
      </c>
      <c r="N614" s="6" t="str">
        <f t="shared" si="39"/>
        <v>profit</v>
      </c>
    </row>
    <row r="615" spans="1:14" ht="15.6" thickTop="1" thickBot="1" x14ac:dyDescent="0.35">
      <c r="A615" s="4">
        <v>45569</v>
      </c>
      <c r="B615" s="4" t="s">
        <v>84</v>
      </c>
      <c r="C615" s="5" t="s">
        <v>329</v>
      </c>
      <c r="D615" s="5" t="s">
        <v>32</v>
      </c>
      <c r="E615" s="5" t="s">
        <v>98</v>
      </c>
      <c r="F615" s="5" t="s">
        <v>29</v>
      </c>
      <c r="G615" s="5" t="s">
        <v>18</v>
      </c>
      <c r="H615" s="5">
        <v>61</v>
      </c>
      <c r="I615" s="5">
        <v>604</v>
      </c>
      <c r="J615" s="5">
        <v>1251</v>
      </c>
      <c r="K615" s="6">
        <f t="shared" si="36"/>
        <v>36844</v>
      </c>
      <c r="L615" s="6">
        <f t="shared" si="37"/>
        <v>76311</v>
      </c>
      <c r="M615" s="6">
        <f t="shared" si="38"/>
        <v>39467</v>
      </c>
      <c r="N615" s="6" t="str">
        <f t="shared" si="39"/>
        <v>profit</v>
      </c>
    </row>
    <row r="616" spans="1:14" ht="15.6" thickTop="1" thickBot="1" x14ac:dyDescent="0.35">
      <c r="A616" s="4">
        <v>45570</v>
      </c>
      <c r="B616" s="4" t="s">
        <v>84</v>
      </c>
      <c r="C616" s="5" t="s">
        <v>330</v>
      </c>
      <c r="D616" s="5" t="s">
        <v>32</v>
      </c>
      <c r="E616" s="5" t="s">
        <v>98</v>
      </c>
      <c r="F616" s="5" t="s">
        <v>112</v>
      </c>
      <c r="G616" s="5" t="s">
        <v>18</v>
      </c>
      <c r="H616" s="5">
        <v>62</v>
      </c>
      <c r="I616" s="5">
        <v>641</v>
      </c>
      <c r="J616" s="5">
        <v>869</v>
      </c>
      <c r="K616" s="6">
        <f t="shared" si="36"/>
        <v>39742</v>
      </c>
      <c r="L616" s="6">
        <f t="shared" si="37"/>
        <v>53878</v>
      </c>
      <c r="M616" s="6">
        <f t="shared" si="38"/>
        <v>14136</v>
      </c>
      <c r="N616" s="6" t="str">
        <f t="shared" si="39"/>
        <v>profit</v>
      </c>
    </row>
    <row r="617" spans="1:14" ht="15.6" thickTop="1" thickBot="1" x14ac:dyDescent="0.35">
      <c r="A617" s="4">
        <v>45572</v>
      </c>
      <c r="B617" s="4" t="s">
        <v>84</v>
      </c>
      <c r="C617" s="5" t="s">
        <v>331</v>
      </c>
      <c r="D617" s="5" t="s">
        <v>32</v>
      </c>
      <c r="E617" s="5" t="s">
        <v>98</v>
      </c>
      <c r="F617" s="5" t="s">
        <v>152</v>
      </c>
      <c r="G617" s="5" t="s">
        <v>18</v>
      </c>
      <c r="H617" s="5">
        <v>53</v>
      </c>
      <c r="I617" s="5">
        <v>913</v>
      </c>
      <c r="J617" s="5">
        <v>1369</v>
      </c>
      <c r="K617" s="6">
        <f t="shared" si="36"/>
        <v>48389</v>
      </c>
      <c r="L617" s="6">
        <f t="shared" si="37"/>
        <v>72557</v>
      </c>
      <c r="M617" s="6">
        <f t="shared" si="38"/>
        <v>24168</v>
      </c>
      <c r="N617" s="6" t="str">
        <f t="shared" si="39"/>
        <v>profit</v>
      </c>
    </row>
    <row r="618" spans="1:14" ht="15.6" thickTop="1" thickBot="1" x14ac:dyDescent="0.35">
      <c r="A618" s="4">
        <v>45573</v>
      </c>
      <c r="B618" s="4" t="s">
        <v>84</v>
      </c>
      <c r="C618" s="5" t="s">
        <v>332</v>
      </c>
      <c r="D618" s="5" t="s">
        <v>32</v>
      </c>
      <c r="E618" s="5" t="s">
        <v>98</v>
      </c>
      <c r="F618" s="5" t="s">
        <v>154</v>
      </c>
      <c r="G618" s="5" t="s">
        <v>18</v>
      </c>
      <c r="H618" s="5">
        <v>56</v>
      </c>
      <c r="I618" s="5">
        <v>840</v>
      </c>
      <c r="J618" s="5">
        <v>1353</v>
      </c>
      <c r="K618" s="6">
        <f t="shared" si="36"/>
        <v>47040</v>
      </c>
      <c r="L618" s="6">
        <f t="shared" si="37"/>
        <v>75768</v>
      </c>
      <c r="M618" s="6">
        <f t="shared" si="38"/>
        <v>28728</v>
      </c>
      <c r="N618" s="6" t="str">
        <f t="shared" si="39"/>
        <v>profit</v>
      </c>
    </row>
    <row r="619" spans="1:14" ht="15.6" thickTop="1" thickBot="1" x14ac:dyDescent="0.35">
      <c r="A619" s="4">
        <v>45574</v>
      </c>
      <c r="B619" s="4" t="s">
        <v>84</v>
      </c>
      <c r="C619" s="5" t="s">
        <v>333</v>
      </c>
      <c r="D619" s="5" t="s">
        <v>32</v>
      </c>
      <c r="E619" s="5" t="s">
        <v>119</v>
      </c>
      <c r="F619" s="5" t="s">
        <v>17</v>
      </c>
      <c r="G619" s="5" t="s">
        <v>18</v>
      </c>
      <c r="H619" s="5">
        <v>85</v>
      </c>
      <c r="I619" s="5">
        <v>541</v>
      </c>
      <c r="J619" s="5">
        <v>1331</v>
      </c>
      <c r="K619" s="6">
        <f t="shared" si="36"/>
        <v>45985</v>
      </c>
      <c r="L619" s="6">
        <f t="shared" si="37"/>
        <v>113135</v>
      </c>
      <c r="M619" s="6">
        <f t="shared" si="38"/>
        <v>67150</v>
      </c>
      <c r="N619" s="6" t="str">
        <f t="shared" si="39"/>
        <v>profit</v>
      </c>
    </row>
    <row r="620" spans="1:14" ht="15.6" thickTop="1" thickBot="1" x14ac:dyDescent="0.35">
      <c r="A620" s="4">
        <v>45575</v>
      </c>
      <c r="B620" s="4" t="s">
        <v>84</v>
      </c>
      <c r="C620" s="5" t="s">
        <v>334</v>
      </c>
      <c r="D620" s="5" t="s">
        <v>32</v>
      </c>
      <c r="E620" s="5" t="s">
        <v>119</v>
      </c>
      <c r="F620" s="5" t="s">
        <v>20</v>
      </c>
      <c r="G620" s="5" t="s">
        <v>18</v>
      </c>
      <c r="H620" s="5">
        <v>56</v>
      </c>
      <c r="I620" s="5">
        <v>611</v>
      </c>
      <c r="J620" s="5">
        <v>1240</v>
      </c>
      <c r="K620" s="6">
        <f t="shared" si="36"/>
        <v>34216</v>
      </c>
      <c r="L620" s="6">
        <f t="shared" si="37"/>
        <v>69440</v>
      </c>
      <c r="M620" s="6">
        <f t="shared" si="38"/>
        <v>35224</v>
      </c>
      <c r="N620" s="6" t="str">
        <f t="shared" si="39"/>
        <v>profit</v>
      </c>
    </row>
    <row r="621" spans="1:14" ht="15.6" thickTop="1" thickBot="1" x14ac:dyDescent="0.35">
      <c r="A621" s="4">
        <v>45671</v>
      </c>
      <c r="B621" s="4" t="s">
        <v>94</v>
      </c>
      <c r="C621" s="5" t="s">
        <v>230</v>
      </c>
      <c r="D621" s="5" t="s">
        <v>32</v>
      </c>
      <c r="E621" s="5" t="s">
        <v>119</v>
      </c>
      <c r="F621" s="5" t="s">
        <v>59</v>
      </c>
      <c r="G621" s="5" t="s">
        <v>27</v>
      </c>
      <c r="H621" s="5">
        <v>90</v>
      </c>
      <c r="I621" s="5">
        <v>554</v>
      </c>
      <c r="J621" s="5">
        <v>940</v>
      </c>
      <c r="K621" s="6">
        <f t="shared" si="36"/>
        <v>49860</v>
      </c>
      <c r="L621" s="6">
        <f t="shared" si="37"/>
        <v>84600</v>
      </c>
      <c r="M621" s="6">
        <f t="shared" si="38"/>
        <v>34740</v>
      </c>
      <c r="N621" s="6" t="str">
        <f t="shared" si="39"/>
        <v>profit</v>
      </c>
    </row>
    <row r="622" spans="1:14" ht="15.6" thickTop="1" thickBot="1" x14ac:dyDescent="0.35">
      <c r="A622" s="4">
        <v>45576</v>
      </c>
      <c r="B622" s="4" t="s">
        <v>84</v>
      </c>
      <c r="C622" s="5" t="s">
        <v>335</v>
      </c>
      <c r="D622" s="5" t="s">
        <v>32</v>
      </c>
      <c r="E622" s="5" t="s">
        <v>119</v>
      </c>
      <c r="F622" s="5" t="s">
        <v>22</v>
      </c>
      <c r="G622" s="5" t="s">
        <v>18</v>
      </c>
      <c r="H622" s="5">
        <v>91</v>
      </c>
      <c r="I622" s="5">
        <v>867</v>
      </c>
      <c r="J622" s="5">
        <v>957</v>
      </c>
      <c r="K622" s="6">
        <f t="shared" si="36"/>
        <v>78897</v>
      </c>
      <c r="L622" s="6">
        <f t="shared" si="37"/>
        <v>87087</v>
      </c>
      <c r="M622" s="6">
        <f t="shared" si="38"/>
        <v>8190</v>
      </c>
      <c r="N622" s="6" t="str">
        <f t="shared" si="39"/>
        <v>profit</v>
      </c>
    </row>
    <row r="623" spans="1:14" ht="15.6" thickTop="1" thickBot="1" x14ac:dyDescent="0.35">
      <c r="A623" s="4">
        <v>45577</v>
      </c>
      <c r="B623" s="4" t="s">
        <v>84</v>
      </c>
      <c r="C623" s="5" t="s">
        <v>336</v>
      </c>
      <c r="D623" s="5" t="s">
        <v>32</v>
      </c>
      <c r="E623" s="5" t="s">
        <v>119</v>
      </c>
      <c r="F623" s="5" t="s">
        <v>24</v>
      </c>
      <c r="G623" s="5" t="s">
        <v>18</v>
      </c>
      <c r="H623" s="5">
        <v>95</v>
      </c>
      <c r="I623" s="5">
        <v>508</v>
      </c>
      <c r="J623" s="5">
        <v>783</v>
      </c>
      <c r="K623" s="6">
        <f t="shared" si="36"/>
        <v>48260</v>
      </c>
      <c r="L623" s="6">
        <f t="shared" si="37"/>
        <v>74385</v>
      </c>
      <c r="M623" s="6">
        <f t="shared" si="38"/>
        <v>26125</v>
      </c>
      <c r="N623" s="6" t="str">
        <f t="shared" si="39"/>
        <v>profit</v>
      </c>
    </row>
    <row r="624" spans="1:14" ht="15.6" thickTop="1" thickBot="1" x14ac:dyDescent="0.35">
      <c r="A624" s="4">
        <v>45579</v>
      </c>
      <c r="B624" s="4" t="s">
        <v>84</v>
      </c>
      <c r="C624" s="5" t="s">
        <v>337</v>
      </c>
      <c r="D624" s="5" t="s">
        <v>32</v>
      </c>
      <c r="E624" s="5" t="s">
        <v>119</v>
      </c>
      <c r="F624" s="5" t="s">
        <v>26</v>
      </c>
      <c r="G624" s="5" t="s">
        <v>27</v>
      </c>
      <c r="H624" s="5">
        <v>75</v>
      </c>
      <c r="I624" s="5">
        <v>549</v>
      </c>
      <c r="J624" s="5">
        <v>1108</v>
      </c>
      <c r="K624" s="6">
        <f t="shared" si="36"/>
        <v>41175</v>
      </c>
      <c r="L624" s="6">
        <f t="shared" si="37"/>
        <v>83100</v>
      </c>
      <c r="M624" s="6">
        <f t="shared" si="38"/>
        <v>41925</v>
      </c>
      <c r="N624" s="6" t="str">
        <f t="shared" si="39"/>
        <v>profit</v>
      </c>
    </row>
    <row r="625" spans="1:14" ht="15.6" thickTop="1" thickBot="1" x14ac:dyDescent="0.35">
      <c r="A625" s="4">
        <v>45592</v>
      </c>
      <c r="B625" s="4" t="s">
        <v>84</v>
      </c>
      <c r="C625" s="5" t="s">
        <v>338</v>
      </c>
      <c r="D625" s="5" t="s">
        <v>32</v>
      </c>
      <c r="E625" s="5" t="s">
        <v>33</v>
      </c>
      <c r="F625" s="5" t="s">
        <v>112</v>
      </c>
      <c r="G625" s="5" t="s">
        <v>27</v>
      </c>
      <c r="H625" s="5">
        <v>95</v>
      </c>
      <c r="I625" s="5">
        <v>845</v>
      </c>
      <c r="J625" s="5">
        <v>1102</v>
      </c>
      <c r="K625" s="6">
        <f t="shared" si="36"/>
        <v>80275</v>
      </c>
      <c r="L625" s="6">
        <f t="shared" si="37"/>
        <v>104690</v>
      </c>
      <c r="M625" s="6">
        <f t="shared" si="38"/>
        <v>24415</v>
      </c>
      <c r="N625" s="6" t="str">
        <f t="shared" si="39"/>
        <v>profit</v>
      </c>
    </row>
    <row r="626" spans="1:14" ht="15.6" thickTop="1" thickBot="1" x14ac:dyDescent="0.35">
      <c r="A626" s="4">
        <v>45593</v>
      </c>
      <c r="B626" s="4" t="s">
        <v>84</v>
      </c>
      <c r="C626" s="5" t="s">
        <v>339</v>
      </c>
      <c r="D626" s="5" t="s">
        <v>32</v>
      </c>
      <c r="E626" s="5" t="s">
        <v>33</v>
      </c>
      <c r="F626" s="5" t="s">
        <v>43</v>
      </c>
      <c r="G626" s="5" t="s">
        <v>27</v>
      </c>
      <c r="H626" s="5">
        <v>86</v>
      </c>
      <c r="I626" s="5">
        <v>949</v>
      </c>
      <c r="J626" s="5">
        <v>924</v>
      </c>
      <c r="K626" s="6">
        <f t="shared" si="36"/>
        <v>81614</v>
      </c>
      <c r="L626" s="6">
        <f t="shared" si="37"/>
        <v>79464</v>
      </c>
      <c r="M626" s="6">
        <f t="shared" si="38"/>
        <v>-2150</v>
      </c>
      <c r="N626" s="6" t="str">
        <f t="shared" si="39"/>
        <v>loss</v>
      </c>
    </row>
    <row r="627" spans="1:14" ht="15.6" thickTop="1" thickBot="1" x14ac:dyDescent="0.35">
      <c r="A627" s="4">
        <v>45677</v>
      </c>
      <c r="B627" s="4" t="s">
        <v>94</v>
      </c>
      <c r="C627" s="5" t="s">
        <v>128</v>
      </c>
      <c r="D627" s="5" t="s">
        <v>15</v>
      </c>
      <c r="E627" s="5" t="s">
        <v>36</v>
      </c>
      <c r="F627" s="5" t="s">
        <v>154</v>
      </c>
      <c r="G627" s="5" t="s">
        <v>18</v>
      </c>
      <c r="H627" s="5">
        <v>11</v>
      </c>
      <c r="I627" s="5">
        <v>587</v>
      </c>
      <c r="J627" s="5">
        <v>1386</v>
      </c>
      <c r="K627" s="6">
        <f t="shared" si="36"/>
        <v>6457</v>
      </c>
      <c r="L627" s="6">
        <f t="shared" si="37"/>
        <v>15246</v>
      </c>
      <c r="M627" s="6">
        <f t="shared" si="38"/>
        <v>8789</v>
      </c>
      <c r="N627" s="6" t="str">
        <f t="shared" si="39"/>
        <v>profit</v>
      </c>
    </row>
    <row r="628" spans="1:14" ht="15.6" thickTop="1" thickBot="1" x14ac:dyDescent="0.35">
      <c r="A628" s="4">
        <v>45594</v>
      </c>
      <c r="B628" s="4" t="s">
        <v>84</v>
      </c>
      <c r="C628" s="5" t="s">
        <v>340</v>
      </c>
      <c r="D628" s="5" t="s">
        <v>32</v>
      </c>
      <c r="E628" s="5" t="s">
        <v>33</v>
      </c>
      <c r="F628" s="5" t="s">
        <v>152</v>
      </c>
      <c r="G628" s="5" t="s">
        <v>18</v>
      </c>
      <c r="H628" s="5">
        <v>73</v>
      </c>
      <c r="I628" s="5">
        <v>801</v>
      </c>
      <c r="J628" s="5">
        <v>1092</v>
      </c>
      <c r="K628" s="6">
        <f t="shared" si="36"/>
        <v>58473</v>
      </c>
      <c r="L628" s="6">
        <f t="shared" si="37"/>
        <v>79716</v>
      </c>
      <c r="M628" s="6">
        <f t="shared" si="38"/>
        <v>21243</v>
      </c>
      <c r="N628" s="6" t="str">
        <f t="shared" si="39"/>
        <v>profit</v>
      </c>
    </row>
    <row r="629" spans="1:14" ht="15.6" thickTop="1" thickBot="1" x14ac:dyDescent="0.35">
      <c r="A629" s="4">
        <v>45595</v>
      </c>
      <c r="B629" s="4" t="s">
        <v>84</v>
      </c>
      <c r="C629" s="5" t="s">
        <v>341</v>
      </c>
      <c r="D629" s="5" t="s">
        <v>32</v>
      </c>
      <c r="E629" s="5" t="s">
        <v>33</v>
      </c>
      <c r="F629" s="5" t="s">
        <v>154</v>
      </c>
      <c r="G629" s="5" t="s">
        <v>27</v>
      </c>
      <c r="H629" s="5">
        <v>70</v>
      </c>
      <c r="I629" s="5">
        <v>699</v>
      </c>
      <c r="J629" s="5">
        <v>1090</v>
      </c>
      <c r="K629" s="6">
        <f t="shared" si="36"/>
        <v>48930</v>
      </c>
      <c r="L629" s="6">
        <f t="shared" si="37"/>
        <v>76300</v>
      </c>
      <c r="M629" s="6">
        <f t="shared" si="38"/>
        <v>27370</v>
      </c>
      <c r="N629" s="6" t="str">
        <f t="shared" si="39"/>
        <v>profit</v>
      </c>
    </row>
    <row r="630" spans="1:14" ht="15.6" thickTop="1" thickBot="1" x14ac:dyDescent="0.35">
      <c r="A630" s="4">
        <v>45603</v>
      </c>
      <c r="B630" s="4" t="s">
        <v>160</v>
      </c>
      <c r="C630" s="5" t="s">
        <v>342</v>
      </c>
      <c r="D630" s="5" t="s">
        <v>32</v>
      </c>
      <c r="E630" s="5" t="s">
        <v>162</v>
      </c>
      <c r="F630" s="5" t="s">
        <v>24</v>
      </c>
      <c r="G630" s="5" t="s">
        <v>18</v>
      </c>
      <c r="H630" s="5">
        <v>67</v>
      </c>
      <c r="I630" s="5">
        <v>674</v>
      </c>
      <c r="J630" s="5">
        <v>1413</v>
      </c>
      <c r="K630" s="6">
        <f t="shared" si="36"/>
        <v>45158</v>
      </c>
      <c r="L630" s="6">
        <f t="shared" si="37"/>
        <v>94671</v>
      </c>
      <c r="M630" s="6">
        <f t="shared" si="38"/>
        <v>49513</v>
      </c>
      <c r="N630" s="6" t="str">
        <f t="shared" si="39"/>
        <v>profit</v>
      </c>
    </row>
    <row r="631" spans="1:14" ht="15.6" thickTop="1" thickBot="1" x14ac:dyDescent="0.35">
      <c r="A631" s="4">
        <v>45604</v>
      </c>
      <c r="B631" s="4" t="s">
        <v>160</v>
      </c>
      <c r="C631" s="5" t="s">
        <v>343</v>
      </c>
      <c r="D631" s="5" t="s">
        <v>32</v>
      </c>
      <c r="E631" s="5" t="s">
        <v>162</v>
      </c>
      <c r="F631" s="5" t="s">
        <v>75</v>
      </c>
      <c r="G631" s="5" t="s">
        <v>18</v>
      </c>
      <c r="H631" s="5">
        <v>55</v>
      </c>
      <c r="I631" s="5">
        <v>599</v>
      </c>
      <c r="J631" s="5">
        <v>1482</v>
      </c>
      <c r="K631" s="6">
        <f t="shared" si="36"/>
        <v>32945</v>
      </c>
      <c r="L631" s="6">
        <f t="shared" si="37"/>
        <v>81510</v>
      </c>
      <c r="M631" s="6">
        <f t="shared" si="38"/>
        <v>48565</v>
      </c>
      <c r="N631" s="6" t="str">
        <f t="shared" si="39"/>
        <v>profit</v>
      </c>
    </row>
    <row r="632" spans="1:14" ht="15.6" thickTop="1" thickBot="1" x14ac:dyDescent="0.35">
      <c r="A632" s="4">
        <v>45606</v>
      </c>
      <c r="B632" s="4" t="s">
        <v>160</v>
      </c>
      <c r="C632" s="5" t="s">
        <v>344</v>
      </c>
      <c r="D632" s="5" t="s">
        <v>32</v>
      </c>
      <c r="E632" s="5" t="s">
        <v>162</v>
      </c>
      <c r="F632" s="5" t="s">
        <v>43</v>
      </c>
      <c r="G632" s="5" t="s">
        <v>18</v>
      </c>
      <c r="H632" s="5">
        <v>90</v>
      </c>
      <c r="I632" s="5">
        <v>962</v>
      </c>
      <c r="J632" s="5">
        <v>1495</v>
      </c>
      <c r="K632" s="6">
        <f t="shared" si="36"/>
        <v>86580</v>
      </c>
      <c r="L632" s="6">
        <f t="shared" si="37"/>
        <v>134550</v>
      </c>
      <c r="M632" s="6">
        <f t="shared" si="38"/>
        <v>47970</v>
      </c>
      <c r="N632" s="6" t="str">
        <f t="shared" si="39"/>
        <v>profit</v>
      </c>
    </row>
    <row r="633" spans="1:14" ht="15.6" thickTop="1" thickBot="1" x14ac:dyDescent="0.35">
      <c r="A633" s="4">
        <v>45683</v>
      </c>
      <c r="B633" s="4" t="s">
        <v>94</v>
      </c>
      <c r="C633" s="5" t="s">
        <v>242</v>
      </c>
      <c r="D633" s="5" t="s">
        <v>15</v>
      </c>
      <c r="E633" s="5" t="s">
        <v>36</v>
      </c>
      <c r="F633" s="5" t="s">
        <v>26</v>
      </c>
      <c r="G633" s="5" t="s">
        <v>18</v>
      </c>
      <c r="H633" s="5">
        <v>18</v>
      </c>
      <c r="I633" s="5">
        <v>910</v>
      </c>
      <c r="J633" s="5">
        <v>1065</v>
      </c>
      <c r="K633" s="6">
        <f t="shared" si="36"/>
        <v>16380</v>
      </c>
      <c r="L633" s="6">
        <f t="shared" si="37"/>
        <v>19170</v>
      </c>
      <c r="M633" s="6">
        <f t="shared" si="38"/>
        <v>2790</v>
      </c>
      <c r="N633" s="6" t="str">
        <f t="shared" si="39"/>
        <v>profit</v>
      </c>
    </row>
    <row r="634" spans="1:14" ht="15.6" thickTop="1" thickBot="1" x14ac:dyDescent="0.35">
      <c r="A634" s="4">
        <v>45607</v>
      </c>
      <c r="B634" s="4" t="s">
        <v>160</v>
      </c>
      <c r="C634" s="5" t="s">
        <v>345</v>
      </c>
      <c r="D634" s="5" t="s">
        <v>32</v>
      </c>
      <c r="E634" s="5" t="s">
        <v>162</v>
      </c>
      <c r="F634" s="5" t="s">
        <v>24</v>
      </c>
      <c r="G634" s="5" t="s">
        <v>18</v>
      </c>
      <c r="H634" s="5">
        <v>71</v>
      </c>
      <c r="I634" s="5">
        <v>739</v>
      </c>
      <c r="J634" s="5">
        <v>1353</v>
      </c>
      <c r="K634" s="6">
        <f t="shared" si="36"/>
        <v>52469</v>
      </c>
      <c r="L634" s="6">
        <f t="shared" si="37"/>
        <v>96063</v>
      </c>
      <c r="M634" s="6">
        <f t="shared" si="38"/>
        <v>43594</v>
      </c>
      <c r="N634" s="6" t="str">
        <f t="shared" si="39"/>
        <v>profit</v>
      </c>
    </row>
    <row r="635" spans="1:14" ht="15.6" thickTop="1" thickBot="1" x14ac:dyDescent="0.35">
      <c r="A635" s="4">
        <v>45608</v>
      </c>
      <c r="B635" s="4" t="s">
        <v>160</v>
      </c>
      <c r="C635" s="5" t="s">
        <v>346</v>
      </c>
      <c r="D635" s="5" t="s">
        <v>32</v>
      </c>
      <c r="E635" s="5" t="s">
        <v>162</v>
      </c>
      <c r="F635" s="5" t="s">
        <v>63</v>
      </c>
      <c r="G635" s="5" t="s">
        <v>18</v>
      </c>
      <c r="H635" s="5">
        <v>63</v>
      </c>
      <c r="I635" s="5">
        <v>691</v>
      </c>
      <c r="J635" s="5">
        <v>1058</v>
      </c>
      <c r="K635" s="6">
        <f t="shared" si="36"/>
        <v>43533</v>
      </c>
      <c r="L635" s="6">
        <f t="shared" si="37"/>
        <v>66654</v>
      </c>
      <c r="M635" s="6">
        <f t="shared" si="38"/>
        <v>23121</v>
      </c>
      <c r="N635" s="6" t="str">
        <f t="shared" si="39"/>
        <v>profit</v>
      </c>
    </row>
    <row r="636" spans="1:14" ht="15.6" thickTop="1" thickBot="1" x14ac:dyDescent="0.35">
      <c r="A636" s="4">
        <v>45636</v>
      </c>
      <c r="B636" s="4" t="s">
        <v>189</v>
      </c>
      <c r="C636" s="5" t="s">
        <v>191</v>
      </c>
      <c r="D636" s="5" t="s">
        <v>32</v>
      </c>
      <c r="E636" s="5" t="s">
        <v>98</v>
      </c>
      <c r="F636" s="5" t="s">
        <v>17</v>
      </c>
      <c r="G636" s="5" t="s">
        <v>27</v>
      </c>
      <c r="H636" s="5">
        <v>99</v>
      </c>
      <c r="I636" s="5">
        <v>705</v>
      </c>
      <c r="J636" s="5">
        <v>1356</v>
      </c>
      <c r="K636" s="6">
        <f t="shared" si="36"/>
        <v>69795</v>
      </c>
      <c r="L636" s="6">
        <f t="shared" si="37"/>
        <v>134244</v>
      </c>
      <c r="M636" s="6">
        <f t="shared" si="38"/>
        <v>64449</v>
      </c>
      <c r="N636" s="6" t="str">
        <f t="shared" si="39"/>
        <v>profit</v>
      </c>
    </row>
    <row r="637" spans="1:14" ht="15.6" thickTop="1" thickBot="1" x14ac:dyDescent="0.35">
      <c r="A637" s="4">
        <v>45687</v>
      </c>
      <c r="B637" s="4" t="s">
        <v>94</v>
      </c>
      <c r="C637" s="5" t="s">
        <v>246</v>
      </c>
      <c r="D637" s="5" t="s">
        <v>15</v>
      </c>
      <c r="E637" s="5" t="s">
        <v>36</v>
      </c>
      <c r="F637" s="5" t="s">
        <v>29</v>
      </c>
      <c r="G637" s="5" t="s">
        <v>27</v>
      </c>
      <c r="H637" s="5">
        <v>11</v>
      </c>
      <c r="I637" s="5">
        <v>543</v>
      </c>
      <c r="J637" s="5">
        <v>1153</v>
      </c>
      <c r="K637" s="6">
        <f t="shared" si="36"/>
        <v>5973</v>
      </c>
      <c r="L637" s="6">
        <f t="shared" si="37"/>
        <v>12683</v>
      </c>
      <c r="M637" s="6">
        <f t="shared" si="38"/>
        <v>6710</v>
      </c>
      <c r="N637" s="6" t="str">
        <f t="shared" si="39"/>
        <v>profit</v>
      </c>
    </row>
    <row r="638" spans="1:14" ht="15.6" thickTop="1" thickBot="1" x14ac:dyDescent="0.35">
      <c r="A638" s="4">
        <v>45638</v>
      </c>
      <c r="B638" s="4" t="s">
        <v>189</v>
      </c>
      <c r="C638" s="5" t="s">
        <v>347</v>
      </c>
      <c r="D638" s="5" t="s">
        <v>32</v>
      </c>
      <c r="E638" s="5" t="s">
        <v>98</v>
      </c>
      <c r="F638" s="5" t="s">
        <v>22</v>
      </c>
      <c r="G638" s="5" t="s">
        <v>18</v>
      </c>
      <c r="H638" s="5">
        <v>74</v>
      </c>
      <c r="I638" s="5">
        <v>922</v>
      </c>
      <c r="J638" s="5">
        <v>970</v>
      </c>
      <c r="K638" s="6">
        <f t="shared" si="36"/>
        <v>68228</v>
      </c>
      <c r="L638" s="6">
        <f t="shared" si="37"/>
        <v>71780</v>
      </c>
      <c r="M638" s="6">
        <f t="shared" si="38"/>
        <v>3552</v>
      </c>
      <c r="N638" s="6" t="str">
        <f t="shared" si="39"/>
        <v>profit</v>
      </c>
    </row>
    <row r="639" spans="1:14" ht="15.6" thickTop="1" thickBot="1" x14ac:dyDescent="0.35">
      <c r="A639" s="4">
        <v>45639</v>
      </c>
      <c r="B639" s="4" t="s">
        <v>189</v>
      </c>
      <c r="C639" s="5" t="s">
        <v>348</v>
      </c>
      <c r="D639" s="5" t="s">
        <v>32</v>
      </c>
      <c r="E639" s="5" t="s">
        <v>98</v>
      </c>
      <c r="F639" s="5" t="s">
        <v>24</v>
      </c>
      <c r="G639" s="5" t="s">
        <v>18</v>
      </c>
      <c r="H639" s="5">
        <v>72</v>
      </c>
      <c r="I639" s="5">
        <v>560</v>
      </c>
      <c r="J639" s="5">
        <v>918</v>
      </c>
      <c r="K639" s="6">
        <f t="shared" si="36"/>
        <v>40320</v>
      </c>
      <c r="L639" s="6">
        <f t="shared" si="37"/>
        <v>66096</v>
      </c>
      <c r="M639" s="6">
        <f t="shared" si="38"/>
        <v>25776</v>
      </c>
      <c r="N639" s="6" t="str">
        <f t="shared" si="39"/>
        <v>profit</v>
      </c>
    </row>
    <row r="640" spans="1:14" ht="15.6" thickTop="1" thickBot="1" x14ac:dyDescent="0.35">
      <c r="A640" s="4">
        <v>45640</v>
      </c>
      <c r="B640" s="4" t="s">
        <v>189</v>
      </c>
      <c r="C640" s="5" t="s">
        <v>349</v>
      </c>
      <c r="D640" s="5" t="s">
        <v>32</v>
      </c>
      <c r="E640" s="5" t="s">
        <v>98</v>
      </c>
      <c r="F640" s="5" t="s">
        <v>34</v>
      </c>
      <c r="G640" s="5" t="s">
        <v>18</v>
      </c>
      <c r="H640" s="5">
        <v>59</v>
      </c>
      <c r="I640" s="5">
        <v>834</v>
      </c>
      <c r="J640" s="5">
        <v>951</v>
      </c>
      <c r="K640" s="6">
        <f t="shared" si="36"/>
        <v>49206</v>
      </c>
      <c r="L640" s="6">
        <f t="shared" si="37"/>
        <v>56109</v>
      </c>
      <c r="M640" s="6">
        <f t="shared" si="38"/>
        <v>6903</v>
      </c>
      <c r="N640" s="6" t="str">
        <f t="shared" si="39"/>
        <v>profit</v>
      </c>
    </row>
    <row r="641" spans="1:14" ht="15.6" thickTop="1" thickBot="1" x14ac:dyDescent="0.35">
      <c r="A641" s="4">
        <v>45641</v>
      </c>
      <c r="B641" s="4" t="s">
        <v>189</v>
      </c>
      <c r="C641" s="5" t="s">
        <v>350</v>
      </c>
      <c r="D641" s="5" t="s">
        <v>32</v>
      </c>
      <c r="E641" s="5" t="s">
        <v>98</v>
      </c>
      <c r="F641" s="5" t="s">
        <v>38</v>
      </c>
      <c r="G641" s="5" t="s">
        <v>18</v>
      </c>
      <c r="H641" s="5">
        <v>83</v>
      </c>
      <c r="I641" s="5">
        <v>840</v>
      </c>
      <c r="J641" s="5">
        <v>828</v>
      </c>
      <c r="K641" s="6">
        <f t="shared" si="36"/>
        <v>69720</v>
      </c>
      <c r="L641" s="6">
        <f t="shared" si="37"/>
        <v>68724</v>
      </c>
      <c r="M641" s="6">
        <f t="shared" si="38"/>
        <v>-996</v>
      </c>
      <c r="N641" s="6" t="str">
        <f t="shared" si="39"/>
        <v>loss</v>
      </c>
    </row>
    <row r="642" spans="1:14" ht="15.6" thickTop="1" thickBot="1" x14ac:dyDescent="0.35">
      <c r="A642" s="4">
        <v>45643</v>
      </c>
      <c r="B642" s="4" t="s">
        <v>189</v>
      </c>
      <c r="C642" s="5" t="s">
        <v>351</v>
      </c>
      <c r="D642" s="5" t="s">
        <v>32</v>
      </c>
      <c r="E642" s="5" t="s">
        <v>98</v>
      </c>
      <c r="F642" s="5" t="s">
        <v>63</v>
      </c>
      <c r="G642" s="5" t="s">
        <v>18</v>
      </c>
      <c r="H642" s="5">
        <v>64</v>
      </c>
      <c r="I642" s="5">
        <v>965</v>
      </c>
      <c r="J642" s="5">
        <v>1357</v>
      </c>
      <c r="K642" s="6">
        <f t="shared" ref="K642:K705" si="40">H642*I642</f>
        <v>61760</v>
      </c>
      <c r="L642" s="6">
        <f t="shared" ref="L642:L705" si="41">H642*J642</f>
        <v>86848</v>
      </c>
      <c r="M642" s="6">
        <f t="shared" ref="M642:M705" si="42">L642-K642</f>
        <v>25088</v>
      </c>
      <c r="N642" s="6" t="str">
        <f t="shared" ref="N642:N705" si="43">IF(M642&gt;0,"profit","loss")</f>
        <v>profit</v>
      </c>
    </row>
    <row r="643" spans="1:14" ht="15.6" thickTop="1" thickBot="1" x14ac:dyDescent="0.35">
      <c r="A643" s="4">
        <v>45644</v>
      </c>
      <c r="B643" s="4" t="s">
        <v>189</v>
      </c>
      <c r="C643" s="5" t="s">
        <v>352</v>
      </c>
      <c r="D643" s="5" t="s">
        <v>32</v>
      </c>
      <c r="E643" s="5" t="s">
        <v>98</v>
      </c>
      <c r="F643" s="5" t="s">
        <v>63</v>
      </c>
      <c r="G643" s="5" t="s">
        <v>18</v>
      </c>
      <c r="H643" s="5">
        <v>59</v>
      </c>
      <c r="I643" s="5">
        <v>671</v>
      </c>
      <c r="J643" s="5">
        <v>1410</v>
      </c>
      <c r="K643" s="6">
        <f t="shared" si="40"/>
        <v>39589</v>
      </c>
      <c r="L643" s="6">
        <f t="shared" si="41"/>
        <v>83190</v>
      </c>
      <c r="M643" s="6">
        <f t="shared" si="42"/>
        <v>43601</v>
      </c>
      <c r="N643" s="6" t="str">
        <f t="shared" si="43"/>
        <v>profit</v>
      </c>
    </row>
    <row r="644" spans="1:14" ht="15.6" thickTop="1" thickBot="1" x14ac:dyDescent="0.35">
      <c r="A644" s="4">
        <v>45645</v>
      </c>
      <c r="B644" s="4" t="s">
        <v>189</v>
      </c>
      <c r="C644" s="5" t="s">
        <v>353</v>
      </c>
      <c r="D644" s="5" t="s">
        <v>32</v>
      </c>
      <c r="E644" s="5" t="s">
        <v>98</v>
      </c>
      <c r="F644" s="5" t="s">
        <v>59</v>
      </c>
      <c r="G644" s="5" t="s">
        <v>18</v>
      </c>
      <c r="H644" s="5">
        <v>85</v>
      </c>
      <c r="I644" s="5">
        <v>761</v>
      </c>
      <c r="J644" s="5">
        <v>926</v>
      </c>
      <c r="K644" s="6">
        <f t="shared" si="40"/>
        <v>64685</v>
      </c>
      <c r="L644" s="6">
        <f t="shared" si="41"/>
        <v>78710</v>
      </c>
      <c r="M644" s="6">
        <f t="shared" si="42"/>
        <v>14025</v>
      </c>
      <c r="N644" s="6" t="str">
        <f t="shared" si="43"/>
        <v>profit</v>
      </c>
    </row>
    <row r="645" spans="1:14" ht="15.6" thickTop="1" thickBot="1" x14ac:dyDescent="0.35">
      <c r="A645" s="4">
        <v>45647</v>
      </c>
      <c r="B645" s="4" t="s">
        <v>189</v>
      </c>
      <c r="C645" s="5" t="s">
        <v>354</v>
      </c>
      <c r="D645" s="5" t="s">
        <v>32</v>
      </c>
      <c r="E645" s="5" t="s">
        <v>98</v>
      </c>
      <c r="F645" s="5" t="s">
        <v>29</v>
      </c>
      <c r="G645" s="5" t="s">
        <v>18</v>
      </c>
      <c r="H645" s="5">
        <v>81</v>
      </c>
      <c r="I645" s="5">
        <v>522</v>
      </c>
      <c r="J645" s="5">
        <v>1238</v>
      </c>
      <c r="K645" s="6">
        <f t="shared" si="40"/>
        <v>42282</v>
      </c>
      <c r="L645" s="6">
        <f t="shared" si="41"/>
        <v>100278</v>
      </c>
      <c r="M645" s="6">
        <f t="shared" si="42"/>
        <v>57996</v>
      </c>
      <c r="N645" s="6" t="str">
        <f t="shared" si="43"/>
        <v>profit</v>
      </c>
    </row>
    <row r="646" spans="1:14" ht="15.6" thickTop="1" thickBot="1" x14ac:dyDescent="0.35">
      <c r="A646" s="4">
        <v>45649</v>
      </c>
      <c r="B646" s="4" t="s">
        <v>189</v>
      </c>
      <c r="C646" s="5" t="s">
        <v>355</v>
      </c>
      <c r="D646" s="5" t="s">
        <v>32</v>
      </c>
      <c r="E646" s="5" t="s">
        <v>119</v>
      </c>
      <c r="F646" s="5" t="s">
        <v>43</v>
      </c>
      <c r="G646" s="5" t="s">
        <v>18</v>
      </c>
      <c r="H646" s="5">
        <v>72</v>
      </c>
      <c r="I646" s="5">
        <v>943</v>
      </c>
      <c r="J646" s="5">
        <v>1233</v>
      </c>
      <c r="K646" s="6">
        <f t="shared" si="40"/>
        <v>67896</v>
      </c>
      <c r="L646" s="6">
        <f t="shared" si="41"/>
        <v>88776</v>
      </c>
      <c r="M646" s="6">
        <f t="shared" si="42"/>
        <v>20880</v>
      </c>
      <c r="N646" s="6" t="str">
        <f t="shared" si="43"/>
        <v>profit</v>
      </c>
    </row>
    <row r="647" spans="1:14" ht="15.6" thickTop="1" thickBot="1" x14ac:dyDescent="0.35">
      <c r="A647" s="4">
        <v>45650</v>
      </c>
      <c r="B647" s="4" t="s">
        <v>189</v>
      </c>
      <c r="C647" s="5" t="s">
        <v>356</v>
      </c>
      <c r="D647" s="5" t="s">
        <v>32</v>
      </c>
      <c r="E647" s="5" t="s">
        <v>119</v>
      </c>
      <c r="F647" s="5" t="s">
        <v>152</v>
      </c>
      <c r="G647" s="5" t="s">
        <v>18</v>
      </c>
      <c r="H647" s="5">
        <v>67</v>
      </c>
      <c r="I647" s="5">
        <v>801</v>
      </c>
      <c r="J647" s="5">
        <v>1220</v>
      </c>
      <c r="K647" s="6">
        <f t="shared" si="40"/>
        <v>53667</v>
      </c>
      <c r="L647" s="6">
        <f t="shared" si="41"/>
        <v>81740</v>
      </c>
      <c r="M647" s="6">
        <f t="shared" si="42"/>
        <v>28073</v>
      </c>
      <c r="N647" s="6" t="str">
        <f t="shared" si="43"/>
        <v>profit</v>
      </c>
    </row>
    <row r="648" spans="1:14" ht="15.6" thickTop="1" thickBot="1" x14ac:dyDescent="0.35">
      <c r="A648" s="4">
        <v>45698</v>
      </c>
      <c r="B648" s="4" t="s">
        <v>238</v>
      </c>
      <c r="C648" s="5" t="s">
        <v>251</v>
      </c>
      <c r="D648" s="5" t="s">
        <v>45</v>
      </c>
      <c r="E648" s="5" t="s">
        <v>117</v>
      </c>
      <c r="F648" s="5" t="s">
        <v>29</v>
      </c>
      <c r="G648" s="5" t="s">
        <v>18</v>
      </c>
      <c r="H648" s="5">
        <v>29</v>
      </c>
      <c r="I648" s="5">
        <v>725</v>
      </c>
      <c r="J648" s="5">
        <v>792</v>
      </c>
      <c r="K648" s="6">
        <f t="shared" si="40"/>
        <v>21025</v>
      </c>
      <c r="L648" s="6">
        <f t="shared" si="41"/>
        <v>22968</v>
      </c>
      <c r="M648" s="6">
        <f t="shared" si="42"/>
        <v>1943</v>
      </c>
      <c r="N648" s="6" t="str">
        <f t="shared" si="43"/>
        <v>profit</v>
      </c>
    </row>
    <row r="649" spans="1:14" ht="15.6" thickTop="1" thickBot="1" x14ac:dyDescent="0.35">
      <c r="A649" s="4">
        <v>45651</v>
      </c>
      <c r="B649" s="4" t="s">
        <v>189</v>
      </c>
      <c r="C649" s="5" t="s">
        <v>357</v>
      </c>
      <c r="D649" s="5" t="s">
        <v>32</v>
      </c>
      <c r="E649" s="5" t="s">
        <v>119</v>
      </c>
      <c r="F649" s="5" t="s">
        <v>154</v>
      </c>
      <c r="G649" s="5" t="s">
        <v>18</v>
      </c>
      <c r="H649" s="5">
        <v>57</v>
      </c>
      <c r="I649" s="5">
        <v>647</v>
      </c>
      <c r="J649" s="5">
        <v>905</v>
      </c>
      <c r="K649" s="6">
        <f t="shared" si="40"/>
        <v>36879</v>
      </c>
      <c r="L649" s="6">
        <f t="shared" si="41"/>
        <v>51585</v>
      </c>
      <c r="M649" s="6">
        <f t="shared" si="42"/>
        <v>14706</v>
      </c>
      <c r="N649" s="6" t="str">
        <f t="shared" si="43"/>
        <v>profit</v>
      </c>
    </row>
    <row r="650" spans="1:14" ht="15.6" thickTop="1" thickBot="1" x14ac:dyDescent="0.35">
      <c r="A650" s="4">
        <v>45652</v>
      </c>
      <c r="B650" s="4" t="s">
        <v>189</v>
      </c>
      <c r="C650" s="5" t="s">
        <v>358</v>
      </c>
      <c r="D650" s="5" t="s">
        <v>32</v>
      </c>
      <c r="E650" s="5" t="s">
        <v>119</v>
      </c>
      <c r="F650" s="5" t="s">
        <v>17</v>
      </c>
      <c r="G650" s="5" t="s">
        <v>18</v>
      </c>
      <c r="H650" s="5">
        <v>91</v>
      </c>
      <c r="I650" s="5">
        <v>906</v>
      </c>
      <c r="J650" s="5">
        <v>925</v>
      </c>
      <c r="K650" s="6">
        <f t="shared" si="40"/>
        <v>82446</v>
      </c>
      <c r="L650" s="6">
        <f t="shared" si="41"/>
        <v>84175</v>
      </c>
      <c r="M650" s="6">
        <f t="shared" si="42"/>
        <v>1729</v>
      </c>
      <c r="N650" s="6" t="str">
        <f t="shared" si="43"/>
        <v>profit</v>
      </c>
    </row>
    <row r="651" spans="1:14" ht="15.6" thickTop="1" thickBot="1" x14ac:dyDescent="0.35">
      <c r="A651" s="4">
        <v>45654</v>
      </c>
      <c r="B651" s="4" t="s">
        <v>189</v>
      </c>
      <c r="C651" s="5" t="s">
        <v>359</v>
      </c>
      <c r="D651" s="5" t="s">
        <v>32</v>
      </c>
      <c r="E651" s="5" t="s">
        <v>119</v>
      </c>
      <c r="F651" s="5" t="s">
        <v>22</v>
      </c>
      <c r="G651" s="5" t="s">
        <v>27</v>
      </c>
      <c r="H651" s="5">
        <v>82</v>
      </c>
      <c r="I651" s="5">
        <v>955</v>
      </c>
      <c r="J651" s="5">
        <v>1218</v>
      </c>
      <c r="K651" s="6">
        <f t="shared" si="40"/>
        <v>78310</v>
      </c>
      <c r="L651" s="6">
        <f t="shared" si="41"/>
        <v>99876</v>
      </c>
      <c r="M651" s="6">
        <f t="shared" si="42"/>
        <v>21566</v>
      </c>
      <c r="N651" s="6" t="str">
        <f t="shared" si="43"/>
        <v>profit</v>
      </c>
    </row>
    <row r="652" spans="1:14" ht="15.6" thickTop="1" thickBot="1" x14ac:dyDescent="0.35">
      <c r="A652" s="4">
        <v>45702</v>
      </c>
      <c r="B652" s="4" t="s">
        <v>238</v>
      </c>
      <c r="C652" s="5" t="s">
        <v>252</v>
      </c>
      <c r="D652" s="5" t="s">
        <v>32</v>
      </c>
      <c r="E652" s="5" t="s">
        <v>98</v>
      </c>
      <c r="F652" s="5" t="s">
        <v>63</v>
      </c>
      <c r="G652" s="5" t="s">
        <v>18</v>
      </c>
      <c r="H652" s="5">
        <v>59</v>
      </c>
      <c r="I652" s="5">
        <v>725</v>
      </c>
      <c r="J652" s="5">
        <v>1113</v>
      </c>
      <c r="K652" s="6">
        <f t="shared" si="40"/>
        <v>42775</v>
      </c>
      <c r="L652" s="6">
        <f t="shared" si="41"/>
        <v>65667</v>
      </c>
      <c r="M652" s="6">
        <f t="shared" si="42"/>
        <v>22892</v>
      </c>
      <c r="N652" s="6" t="str">
        <f t="shared" si="43"/>
        <v>profit</v>
      </c>
    </row>
    <row r="653" spans="1:14" ht="15.6" thickTop="1" thickBot="1" x14ac:dyDescent="0.35">
      <c r="A653" s="4">
        <v>45655</v>
      </c>
      <c r="B653" s="4" t="s">
        <v>189</v>
      </c>
      <c r="C653" s="5" t="s">
        <v>360</v>
      </c>
      <c r="D653" s="5" t="s">
        <v>32</v>
      </c>
      <c r="E653" s="5" t="s">
        <v>119</v>
      </c>
      <c r="F653" s="5" t="s">
        <v>24</v>
      </c>
      <c r="G653" s="5" t="s">
        <v>27</v>
      </c>
      <c r="H653" s="5">
        <v>72</v>
      </c>
      <c r="I653" s="5">
        <v>829</v>
      </c>
      <c r="J653" s="5">
        <v>1165</v>
      </c>
      <c r="K653" s="6">
        <f t="shared" si="40"/>
        <v>59688</v>
      </c>
      <c r="L653" s="6">
        <f t="shared" si="41"/>
        <v>83880</v>
      </c>
      <c r="M653" s="6">
        <f t="shared" si="42"/>
        <v>24192</v>
      </c>
      <c r="N653" s="6" t="str">
        <f t="shared" si="43"/>
        <v>profit</v>
      </c>
    </row>
    <row r="654" spans="1:14" ht="15.6" thickTop="1" thickBot="1" x14ac:dyDescent="0.35">
      <c r="A654" s="4">
        <v>45656</v>
      </c>
      <c r="B654" s="4" t="s">
        <v>189</v>
      </c>
      <c r="C654" s="5" t="s">
        <v>361</v>
      </c>
      <c r="D654" s="5" t="s">
        <v>32</v>
      </c>
      <c r="E654" s="5" t="s">
        <v>119</v>
      </c>
      <c r="F654" s="5" t="s">
        <v>24</v>
      </c>
      <c r="G654" s="5" t="s">
        <v>27</v>
      </c>
      <c r="H654" s="5">
        <v>62</v>
      </c>
      <c r="I654" s="5">
        <v>680</v>
      </c>
      <c r="J654" s="5">
        <v>912</v>
      </c>
      <c r="K654" s="6">
        <f t="shared" si="40"/>
        <v>42160</v>
      </c>
      <c r="L654" s="6">
        <f t="shared" si="41"/>
        <v>56544</v>
      </c>
      <c r="M654" s="6">
        <f t="shared" si="42"/>
        <v>14384</v>
      </c>
      <c r="N654" s="6" t="str">
        <f t="shared" si="43"/>
        <v>profit</v>
      </c>
    </row>
    <row r="655" spans="1:14" ht="15.6" thickTop="1" thickBot="1" x14ac:dyDescent="0.35">
      <c r="A655" s="4">
        <v>45657</v>
      </c>
      <c r="B655" s="4" t="s">
        <v>189</v>
      </c>
      <c r="C655" s="5" t="s">
        <v>362</v>
      </c>
      <c r="D655" s="5" t="s">
        <v>32</v>
      </c>
      <c r="E655" s="5" t="s">
        <v>119</v>
      </c>
      <c r="F655" s="5" t="s">
        <v>26</v>
      </c>
      <c r="G655" s="5" t="s">
        <v>27</v>
      </c>
      <c r="H655" s="5">
        <v>67</v>
      </c>
      <c r="I655" s="5">
        <v>600</v>
      </c>
      <c r="J655" s="5">
        <v>1328</v>
      </c>
      <c r="K655" s="6">
        <f t="shared" si="40"/>
        <v>40200</v>
      </c>
      <c r="L655" s="6">
        <f t="shared" si="41"/>
        <v>88976</v>
      </c>
      <c r="M655" s="6">
        <f t="shared" si="42"/>
        <v>48776</v>
      </c>
      <c r="N655" s="6" t="str">
        <f t="shared" si="43"/>
        <v>profit</v>
      </c>
    </row>
    <row r="656" spans="1:14" ht="15.6" thickTop="1" thickBot="1" x14ac:dyDescent="0.35">
      <c r="A656" s="4">
        <v>45658</v>
      </c>
      <c r="B656" s="4" t="s">
        <v>94</v>
      </c>
      <c r="C656" s="5" t="s">
        <v>363</v>
      </c>
      <c r="D656" s="5" t="s">
        <v>32</v>
      </c>
      <c r="E656" s="5" t="s">
        <v>119</v>
      </c>
      <c r="F656" s="5" t="s">
        <v>29</v>
      </c>
      <c r="G656" s="5" t="s">
        <v>18</v>
      </c>
      <c r="H656" s="5">
        <v>97</v>
      </c>
      <c r="I656" s="5">
        <v>946</v>
      </c>
      <c r="J656" s="5">
        <v>1297</v>
      </c>
      <c r="K656" s="6">
        <f t="shared" si="40"/>
        <v>91762</v>
      </c>
      <c r="L656" s="6">
        <f t="shared" si="41"/>
        <v>125809</v>
      </c>
      <c r="M656" s="6">
        <f t="shared" si="42"/>
        <v>34047</v>
      </c>
      <c r="N656" s="6" t="str">
        <f t="shared" si="43"/>
        <v>profit</v>
      </c>
    </row>
    <row r="657" spans="1:14" ht="15.6" thickTop="1" thickBot="1" x14ac:dyDescent="0.35">
      <c r="A657" s="4">
        <v>45666</v>
      </c>
      <c r="B657" s="4" t="s">
        <v>94</v>
      </c>
      <c r="C657" s="5" t="s">
        <v>364</v>
      </c>
      <c r="D657" s="5" t="s">
        <v>32</v>
      </c>
      <c r="E657" s="5" t="s">
        <v>98</v>
      </c>
      <c r="F657" s="5" t="s">
        <v>34</v>
      </c>
      <c r="G657" s="5" t="s">
        <v>27</v>
      </c>
      <c r="H657" s="5">
        <v>62</v>
      </c>
      <c r="I657" s="5">
        <v>800</v>
      </c>
      <c r="J657" s="5">
        <v>882</v>
      </c>
      <c r="K657" s="6">
        <f t="shared" si="40"/>
        <v>49600</v>
      </c>
      <c r="L657" s="6">
        <f t="shared" si="41"/>
        <v>54684</v>
      </c>
      <c r="M657" s="6">
        <f t="shared" si="42"/>
        <v>5084</v>
      </c>
      <c r="N657" s="6" t="str">
        <f t="shared" si="43"/>
        <v>profit</v>
      </c>
    </row>
    <row r="658" spans="1:14" ht="15.6" thickTop="1" thickBot="1" x14ac:dyDescent="0.35">
      <c r="A658" s="4">
        <v>45667</v>
      </c>
      <c r="B658" s="4" t="s">
        <v>94</v>
      </c>
      <c r="C658" s="5" t="s">
        <v>365</v>
      </c>
      <c r="D658" s="5" t="s">
        <v>32</v>
      </c>
      <c r="E658" s="5" t="s">
        <v>98</v>
      </c>
      <c r="F658" s="5" t="s">
        <v>38</v>
      </c>
      <c r="G658" s="5" t="s">
        <v>27</v>
      </c>
      <c r="H658" s="5">
        <v>65</v>
      </c>
      <c r="I658" s="5">
        <v>875</v>
      </c>
      <c r="J658" s="5">
        <v>1361</v>
      </c>
      <c r="K658" s="6">
        <f t="shared" si="40"/>
        <v>56875</v>
      </c>
      <c r="L658" s="6">
        <f t="shared" si="41"/>
        <v>88465</v>
      </c>
      <c r="M658" s="6">
        <f t="shared" si="42"/>
        <v>31590</v>
      </c>
      <c r="N658" s="6" t="str">
        <f t="shared" si="43"/>
        <v>profit</v>
      </c>
    </row>
    <row r="659" spans="1:14" ht="15.6" thickTop="1" thickBot="1" x14ac:dyDescent="0.35">
      <c r="A659" s="4">
        <v>45709</v>
      </c>
      <c r="B659" s="4" t="s">
        <v>238</v>
      </c>
      <c r="C659" s="5" t="s">
        <v>253</v>
      </c>
      <c r="D659" s="5" t="s">
        <v>32</v>
      </c>
      <c r="E659" s="5" t="s">
        <v>98</v>
      </c>
      <c r="F659" s="5" t="s">
        <v>152</v>
      </c>
      <c r="G659" s="5" t="s">
        <v>27</v>
      </c>
      <c r="H659" s="5">
        <v>100</v>
      </c>
      <c r="I659" s="5">
        <v>831</v>
      </c>
      <c r="J659" s="5">
        <v>1466</v>
      </c>
      <c r="K659" s="6">
        <f t="shared" si="40"/>
        <v>83100</v>
      </c>
      <c r="L659" s="6">
        <f t="shared" si="41"/>
        <v>146600</v>
      </c>
      <c r="M659" s="6">
        <f t="shared" si="42"/>
        <v>63500</v>
      </c>
      <c r="N659" s="6" t="str">
        <f t="shared" si="43"/>
        <v>profit</v>
      </c>
    </row>
    <row r="660" spans="1:14" ht="15.6" thickTop="1" thickBot="1" x14ac:dyDescent="0.35">
      <c r="A660" s="4">
        <v>45668</v>
      </c>
      <c r="B660" s="4" t="s">
        <v>94</v>
      </c>
      <c r="C660" s="5" t="s">
        <v>366</v>
      </c>
      <c r="D660" s="5" t="s">
        <v>32</v>
      </c>
      <c r="E660" s="5" t="s">
        <v>98</v>
      </c>
      <c r="F660" s="5" t="s">
        <v>38</v>
      </c>
      <c r="G660" s="5" t="s">
        <v>27</v>
      </c>
      <c r="H660" s="5">
        <v>88</v>
      </c>
      <c r="I660" s="5">
        <v>823</v>
      </c>
      <c r="J660" s="5">
        <v>1026</v>
      </c>
      <c r="K660" s="6">
        <f t="shared" si="40"/>
        <v>72424</v>
      </c>
      <c r="L660" s="6">
        <f t="shared" si="41"/>
        <v>90288</v>
      </c>
      <c r="M660" s="6">
        <f t="shared" si="42"/>
        <v>17864</v>
      </c>
      <c r="N660" s="6" t="str">
        <f t="shared" si="43"/>
        <v>profit</v>
      </c>
    </row>
    <row r="661" spans="1:14" ht="15.6" thickTop="1" thickBot="1" x14ac:dyDescent="0.35">
      <c r="A661" s="4">
        <v>45669</v>
      </c>
      <c r="B661" s="4" t="s">
        <v>94</v>
      </c>
      <c r="C661" s="5" t="s">
        <v>367</v>
      </c>
      <c r="D661" s="5" t="s">
        <v>32</v>
      </c>
      <c r="E661" s="5" t="s">
        <v>98</v>
      </c>
      <c r="F661" s="5" t="s">
        <v>63</v>
      </c>
      <c r="G661" s="5" t="s">
        <v>18</v>
      </c>
      <c r="H661" s="5">
        <v>54</v>
      </c>
      <c r="I661" s="5">
        <v>664</v>
      </c>
      <c r="J661" s="5">
        <v>761</v>
      </c>
      <c r="K661" s="6">
        <f t="shared" si="40"/>
        <v>35856</v>
      </c>
      <c r="L661" s="6">
        <f t="shared" si="41"/>
        <v>41094</v>
      </c>
      <c r="M661" s="6">
        <f t="shared" si="42"/>
        <v>5238</v>
      </c>
      <c r="N661" s="6" t="str">
        <f t="shared" si="43"/>
        <v>profit</v>
      </c>
    </row>
    <row r="662" spans="1:14" ht="15.6" thickTop="1" thickBot="1" x14ac:dyDescent="0.35">
      <c r="A662" s="4">
        <v>45670</v>
      </c>
      <c r="B662" s="7" t="s">
        <v>94</v>
      </c>
      <c r="C662" s="8" t="s">
        <v>368</v>
      </c>
      <c r="D662" s="8" t="s">
        <v>32</v>
      </c>
      <c r="E662" s="8" t="s">
        <v>98</v>
      </c>
      <c r="F662" s="8" t="s">
        <v>63</v>
      </c>
      <c r="G662" s="5" t="s">
        <v>27</v>
      </c>
      <c r="H662" s="5">
        <v>52</v>
      </c>
      <c r="I662" s="5">
        <v>538</v>
      </c>
      <c r="J662" s="5">
        <v>1257</v>
      </c>
      <c r="K662" s="6">
        <f t="shared" si="40"/>
        <v>27976</v>
      </c>
      <c r="L662" s="6">
        <f t="shared" si="41"/>
        <v>65364</v>
      </c>
      <c r="M662" s="6">
        <f t="shared" si="42"/>
        <v>37388</v>
      </c>
      <c r="N662" s="6" t="str">
        <f t="shared" si="43"/>
        <v>profit</v>
      </c>
    </row>
    <row r="663" spans="1:14" ht="15.6" thickTop="1" thickBot="1" x14ac:dyDescent="0.35">
      <c r="A663" s="4">
        <v>45672</v>
      </c>
      <c r="B663" s="9" t="s">
        <v>94</v>
      </c>
      <c r="C663" s="10" t="s">
        <v>369</v>
      </c>
      <c r="D663" s="8" t="s">
        <v>32</v>
      </c>
      <c r="E663" s="10" t="s">
        <v>119</v>
      </c>
      <c r="F663" s="8" t="s">
        <v>38</v>
      </c>
      <c r="G663" s="5" t="s">
        <v>27</v>
      </c>
      <c r="H663" s="5">
        <v>81</v>
      </c>
      <c r="I663" s="5">
        <v>556</v>
      </c>
      <c r="J663" s="5">
        <v>1345</v>
      </c>
      <c r="K663" s="6">
        <f t="shared" si="40"/>
        <v>45036</v>
      </c>
      <c r="L663" s="6">
        <f t="shared" si="41"/>
        <v>108945</v>
      </c>
      <c r="M663" s="6">
        <f t="shared" si="42"/>
        <v>63909</v>
      </c>
      <c r="N663" s="6" t="str">
        <f t="shared" si="43"/>
        <v>profit</v>
      </c>
    </row>
    <row r="664" spans="1:14" ht="15.6" thickTop="1" thickBot="1" x14ac:dyDescent="0.35">
      <c r="A664" s="4">
        <v>45673</v>
      </c>
      <c r="B664" s="4" t="s">
        <v>94</v>
      </c>
      <c r="C664" s="5" t="s">
        <v>370</v>
      </c>
      <c r="D664" s="5" t="s">
        <v>32</v>
      </c>
      <c r="E664" s="5" t="s">
        <v>119</v>
      </c>
      <c r="F664" s="5" t="s">
        <v>29</v>
      </c>
      <c r="G664" s="5" t="s">
        <v>27</v>
      </c>
      <c r="H664" s="5">
        <v>72</v>
      </c>
      <c r="I664" s="5">
        <v>608</v>
      </c>
      <c r="J664" s="5">
        <v>1209</v>
      </c>
      <c r="K664" s="6">
        <f t="shared" si="40"/>
        <v>43776</v>
      </c>
      <c r="L664" s="6">
        <f t="shared" si="41"/>
        <v>87048</v>
      </c>
      <c r="M664" s="6">
        <f t="shared" si="42"/>
        <v>43272</v>
      </c>
      <c r="N664" s="6" t="str">
        <f t="shared" si="43"/>
        <v>profit</v>
      </c>
    </row>
    <row r="665" spans="1:14" ht="15.6" thickTop="1" thickBot="1" x14ac:dyDescent="0.35">
      <c r="A665" s="4">
        <v>45674</v>
      </c>
      <c r="B665" s="4" t="s">
        <v>94</v>
      </c>
      <c r="C665" s="5" t="s">
        <v>371</v>
      </c>
      <c r="D665" s="5" t="s">
        <v>32</v>
      </c>
      <c r="E665" s="5" t="s">
        <v>119</v>
      </c>
      <c r="F665" s="5" t="s">
        <v>112</v>
      </c>
      <c r="G665" s="5" t="s">
        <v>18</v>
      </c>
      <c r="H665" s="5">
        <v>61</v>
      </c>
      <c r="I665" s="5">
        <v>994</v>
      </c>
      <c r="J665" s="5">
        <v>886</v>
      </c>
      <c r="K665" s="6">
        <f t="shared" si="40"/>
        <v>60634</v>
      </c>
      <c r="L665" s="6">
        <f t="shared" si="41"/>
        <v>54046</v>
      </c>
      <c r="M665" s="6">
        <f t="shared" si="42"/>
        <v>-6588</v>
      </c>
      <c r="N665" s="6" t="str">
        <f t="shared" si="43"/>
        <v>loss</v>
      </c>
    </row>
    <row r="666" spans="1:14" ht="15.6" thickTop="1" thickBot="1" x14ac:dyDescent="0.35">
      <c r="A666" s="4">
        <v>45675</v>
      </c>
      <c r="B666" s="4" t="s">
        <v>94</v>
      </c>
      <c r="C666" s="5" t="s">
        <v>372</v>
      </c>
      <c r="D666" s="5" t="s">
        <v>32</v>
      </c>
      <c r="E666" s="5" t="s">
        <v>119</v>
      </c>
      <c r="F666" s="5" t="s">
        <v>43</v>
      </c>
      <c r="G666" s="5" t="s">
        <v>18</v>
      </c>
      <c r="H666" s="5">
        <v>57</v>
      </c>
      <c r="I666" s="5">
        <v>566</v>
      </c>
      <c r="J666" s="5">
        <v>830</v>
      </c>
      <c r="K666" s="6">
        <f t="shared" si="40"/>
        <v>32262</v>
      </c>
      <c r="L666" s="6">
        <f t="shared" si="41"/>
        <v>47310</v>
      </c>
      <c r="M666" s="6">
        <f t="shared" si="42"/>
        <v>15048</v>
      </c>
      <c r="N666" s="6" t="str">
        <f t="shared" si="43"/>
        <v>profit</v>
      </c>
    </row>
    <row r="667" spans="1:14" ht="15.6" thickTop="1" thickBot="1" x14ac:dyDescent="0.35">
      <c r="A667" s="4">
        <v>45676</v>
      </c>
      <c r="B667" s="4" t="s">
        <v>94</v>
      </c>
      <c r="C667" s="5" t="s">
        <v>373</v>
      </c>
      <c r="D667" s="5" t="s">
        <v>32</v>
      </c>
      <c r="E667" s="5" t="s">
        <v>119</v>
      </c>
      <c r="F667" s="5" t="s">
        <v>152</v>
      </c>
      <c r="G667" s="5" t="s">
        <v>18</v>
      </c>
      <c r="H667" s="5">
        <v>50</v>
      </c>
      <c r="I667" s="5">
        <v>714</v>
      </c>
      <c r="J667" s="5">
        <v>1071</v>
      </c>
      <c r="K667" s="6">
        <f t="shared" si="40"/>
        <v>35700</v>
      </c>
      <c r="L667" s="6">
        <f t="shared" si="41"/>
        <v>53550</v>
      </c>
      <c r="M667" s="6">
        <f t="shared" si="42"/>
        <v>17850</v>
      </c>
      <c r="N667" s="6" t="str">
        <f t="shared" si="43"/>
        <v>profit</v>
      </c>
    </row>
    <row r="668" spans="1:14" ht="15.6" thickTop="1" thickBot="1" x14ac:dyDescent="0.35">
      <c r="A668" s="4">
        <v>45700</v>
      </c>
      <c r="B668" s="4" t="s">
        <v>238</v>
      </c>
      <c r="C668" s="5" t="s">
        <v>374</v>
      </c>
      <c r="D668" s="5" t="s">
        <v>32</v>
      </c>
      <c r="E668" s="5" t="s">
        <v>98</v>
      </c>
      <c r="F668" s="5" t="s">
        <v>38</v>
      </c>
      <c r="G668" s="5" t="s">
        <v>18</v>
      </c>
      <c r="H668" s="5">
        <v>80</v>
      </c>
      <c r="I668" s="5">
        <v>636</v>
      </c>
      <c r="J668" s="5">
        <v>1259</v>
      </c>
      <c r="K668" s="6">
        <f t="shared" si="40"/>
        <v>50880</v>
      </c>
      <c r="L668" s="6">
        <f t="shared" si="41"/>
        <v>100720</v>
      </c>
      <c r="M668" s="6">
        <f t="shared" si="42"/>
        <v>49840</v>
      </c>
      <c r="N668" s="6" t="str">
        <f t="shared" si="43"/>
        <v>profit</v>
      </c>
    </row>
    <row r="669" spans="1:14" ht="15.6" thickTop="1" thickBot="1" x14ac:dyDescent="0.35">
      <c r="A669" s="4">
        <v>45701</v>
      </c>
      <c r="B669" s="4" t="s">
        <v>238</v>
      </c>
      <c r="C669" s="5" t="s">
        <v>375</v>
      </c>
      <c r="D669" s="5" t="s">
        <v>32</v>
      </c>
      <c r="E669" s="5" t="s">
        <v>98</v>
      </c>
      <c r="F669" s="5" t="s">
        <v>38</v>
      </c>
      <c r="G669" s="5" t="s">
        <v>18</v>
      </c>
      <c r="H669" s="5">
        <v>50</v>
      </c>
      <c r="I669" s="5">
        <v>581</v>
      </c>
      <c r="J669" s="5">
        <v>1380</v>
      </c>
      <c r="K669" s="6">
        <f t="shared" si="40"/>
        <v>29050</v>
      </c>
      <c r="L669" s="6">
        <f t="shared" si="41"/>
        <v>69000</v>
      </c>
      <c r="M669" s="6">
        <f t="shared" si="42"/>
        <v>39950</v>
      </c>
      <c r="N669" s="6" t="str">
        <f t="shared" si="43"/>
        <v>profit</v>
      </c>
    </row>
    <row r="670" spans="1:14" ht="15.6" thickTop="1" thickBot="1" x14ac:dyDescent="0.35">
      <c r="A670" s="4">
        <v>45389</v>
      </c>
      <c r="B670" s="4" t="s">
        <v>30</v>
      </c>
      <c r="C670" s="5" t="s">
        <v>31</v>
      </c>
      <c r="D670" s="5" t="s">
        <v>32</v>
      </c>
      <c r="E670" s="5" t="s">
        <v>33</v>
      </c>
      <c r="F670" s="5" t="s">
        <v>34</v>
      </c>
      <c r="G670" s="5" t="s">
        <v>27</v>
      </c>
      <c r="H670" s="5">
        <v>78</v>
      </c>
      <c r="I670" s="5">
        <v>655</v>
      </c>
      <c r="J670" s="5">
        <v>790</v>
      </c>
      <c r="K670" s="6">
        <f t="shared" si="40"/>
        <v>51090</v>
      </c>
      <c r="L670" s="6">
        <f t="shared" si="41"/>
        <v>61620</v>
      </c>
      <c r="M670" s="6">
        <f t="shared" si="42"/>
        <v>10530</v>
      </c>
      <c r="N670" s="6" t="str">
        <f t="shared" si="43"/>
        <v>profit</v>
      </c>
    </row>
    <row r="671" spans="1:14" ht="15.6" thickTop="1" thickBot="1" x14ac:dyDescent="0.35">
      <c r="A671" s="4">
        <v>45703</v>
      </c>
      <c r="B671" s="4" t="s">
        <v>238</v>
      </c>
      <c r="C671" s="5" t="s">
        <v>376</v>
      </c>
      <c r="D671" s="5" t="s">
        <v>32</v>
      </c>
      <c r="E671" s="5" t="s">
        <v>98</v>
      </c>
      <c r="F671" s="5" t="s">
        <v>63</v>
      </c>
      <c r="G671" s="5" t="s">
        <v>18</v>
      </c>
      <c r="H671" s="5">
        <v>78</v>
      </c>
      <c r="I671" s="5">
        <v>964</v>
      </c>
      <c r="J671" s="5">
        <v>1264</v>
      </c>
      <c r="K671" s="6">
        <f t="shared" si="40"/>
        <v>75192</v>
      </c>
      <c r="L671" s="6">
        <f t="shared" si="41"/>
        <v>98592</v>
      </c>
      <c r="M671" s="6">
        <f t="shared" si="42"/>
        <v>23400</v>
      </c>
      <c r="N671" s="6" t="str">
        <f t="shared" si="43"/>
        <v>profit</v>
      </c>
    </row>
    <row r="672" spans="1:14" ht="15.6" thickTop="1" thickBot="1" x14ac:dyDescent="0.35">
      <c r="A672" s="4">
        <v>45704</v>
      </c>
      <c r="B672" s="4" t="s">
        <v>238</v>
      </c>
      <c r="C672" s="5" t="s">
        <v>377</v>
      </c>
      <c r="D672" s="5" t="s">
        <v>32</v>
      </c>
      <c r="E672" s="5" t="s">
        <v>98</v>
      </c>
      <c r="F672" s="5" t="s">
        <v>59</v>
      </c>
      <c r="G672" s="5" t="s">
        <v>27</v>
      </c>
      <c r="H672" s="5">
        <v>97</v>
      </c>
      <c r="I672" s="5">
        <v>982</v>
      </c>
      <c r="J672" s="5">
        <v>1243</v>
      </c>
      <c r="K672" s="6">
        <f t="shared" si="40"/>
        <v>95254</v>
      </c>
      <c r="L672" s="6">
        <f t="shared" si="41"/>
        <v>120571</v>
      </c>
      <c r="M672" s="6">
        <f t="shared" si="42"/>
        <v>25317</v>
      </c>
      <c r="N672" s="6" t="str">
        <f t="shared" si="43"/>
        <v>profit</v>
      </c>
    </row>
    <row r="673" spans="1:14" ht="15.6" thickTop="1" thickBot="1" x14ac:dyDescent="0.35">
      <c r="A673" s="4">
        <v>45705</v>
      </c>
      <c r="B673" s="4" t="s">
        <v>238</v>
      </c>
      <c r="C673" s="5" t="s">
        <v>378</v>
      </c>
      <c r="D673" s="5" t="s">
        <v>32</v>
      </c>
      <c r="E673" s="5" t="s">
        <v>98</v>
      </c>
      <c r="F673" s="5" t="s">
        <v>38</v>
      </c>
      <c r="G673" s="5" t="s">
        <v>27</v>
      </c>
      <c r="H673" s="5">
        <v>93</v>
      </c>
      <c r="I673" s="5">
        <v>736</v>
      </c>
      <c r="J673" s="5">
        <v>864</v>
      </c>
      <c r="K673" s="6">
        <f t="shared" si="40"/>
        <v>68448</v>
      </c>
      <c r="L673" s="6">
        <f t="shared" si="41"/>
        <v>80352</v>
      </c>
      <c r="M673" s="6">
        <f t="shared" si="42"/>
        <v>11904</v>
      </c>
      <c r="N673" s="6" t="str">
        <f t="shared" si="43"/>
        <v>profit</v>
      </c>
    </row>
    <row r="674" spans="1:14" ht="15.6" thickTop="1" thickBot="1" x14ac:dyDescent="0.35">
      <c r="A674" s="4">
        <v>45706</v>
      </c>
      <c r="B674" s="4" t="s">
        <v>238</v>
      </c>
      <c r="C674" s="5" t="s">
        <v>379</v>
      </c>
      <c r="D674" s="5" t="s">
        <v>32</v>
      </c>
      <c r="E674" s="5" t="s">
        <v>98</v>
      </c>
      <c r="F674" s="5" t="s">
        <v>29</v>
      </c>
      <c r="G674" s="5" t="s">
        <v>27</v>
      </c>
      <c r="H674" s="5">
        <v>51</v>
      </c>
      <c r="I674" s="5">
        <v>608</v>
      </c>
      <c r="J674" s="5">
        <v>1179</v>
      </c>
      <c r="K674" s="6">
        <f t="shared" si="40"/>
        <v>31008</v>
      </c>
      <c r="L674" s="6">
        <f t="shared" si="41"/>
        <v>60129</v>
      </c>
      <c r="M674" s="6">
        <f t="shared" si="42"/>
        <v>29121</v>
      </c>
      <c r="N674" s="6" t="str">
        <f t="shared" si="43"/>
        <v>profit</v>
      </c>
    </row>
    <row r="675" spans="1:14" ht="15.6" thickTop="1" thickBot="1" x14ac:dyDescent="0.35">
      <c r="A675" s="4">
        <v>45707</v>
      </c>
      <c r="B675" s="4" t="s">
        <v>238</v>
      </c>
      <c r="C675" s="5" t="s">
        <v>380</v>
      </c>
      <c r="D675" s="5" t="s">
        <v>32</v>
      </c>
      <c r="E675" s="5" t="s">
        <v>98</v>
      </c>
      <c r="F675" s="5" t="s">
        <v>112</v>
      </c>
      <c r="G675" s="5" t="s">
        <v>27</v>
      </c>
      <c r="H675" s="5">
        <v>95</v>
      </c>
      <c r="I675" s="5">
        <v>642</v>
      </c>
      <c r="J675" s="5">
        <v>796</v>
      </c>
      <c r="K675" s="6">
        <f t="shared" si="40"/>
        <v>60990</v>
      </c>
      <c r="L675" s="6">
        <f t="shared" si="41"/>
        <v>75620</v>
      </c>
      <c r="M675" s="6">
        <f t="shared" si="42"/>
        <v>14630</v>
      </c>
      <c r="N675" s="6" t="str">
        <f t="shared" si="43"/>
        <v>profit</v>
      </c>
    </row>
    <row r="676" spans="1:14" ht="15.6" thickTop="1" thickBot="1" x14ac:dyDescent="0.35">
      <c r="A676" s="4">
        <v>45395</v>
      </c>
      <c r="B676" s="4" t="s">
        <v>30</v>
      </c>
      <c r="C676" s="5" t="s">
        <v>44</v>
      </c>
      <c r="D676" s="5" t="s">
        <v>45</v>
      </c>
      <c r="E676" s="5" t="s">
        <v>46</v>
      </c>
      <c r="F676" s="5" t="s">
        <v>43</v>
      </c>
      <c r="G676" s="5" t="s">
        <v>18</v>
      </c>
      <c r="H676" s="5">
        <v>22</v>
      </c>
      <c r="I676" s="5">
        <v>755</v>
      </c>
      <c r="J676" s="5">
        <v>996</v>
      </c>
      <c r="K676" s="6">
        <f t="shared" si="40"/>
        <v>16610</v>
      </c>
      <c r="L676" s="6">
        <f t="shared" si="41"/>
        <v>21912</v>
      </c>
      <c r="M676" s="6">
        <f t="shared" si="42"/>
        <v>5302</v>
      </c>
      <c r="N676" s="6" t="str">
        <f t="shared" si="43"/>
        <v>profit</v>
      </c>
    </row>
    <row r="677" spans="1:14" ht="15.6" thickTop="1" thickBot="1" x14ac:dyDescent="0.35">
      <c r="A677" s="4">
        <v>45708</v>
      </c>
      <c r="B677" s="4" t="s">
        <v>238</v>
      </c>
      <c r="C677" s="5" t="s">
        <v>381</v>
      </c>
      <c r="D677" s="5" t="s">
        <v>32</v>
      </c>
      <c r="E677" s="5" t="s">
        <v>98</v>
      </c>
      <c r="F677" s="5" t="s">
        <v>43</v>
      </c>
      <c r="G677" s="5" t="s">
        <v>18</v>
      </c>
      <c r="H677" s="5">
        <v>90</v>
      </c>
      <c r="I677" s="5">
        <v>713</v>
      </c>
      <c r="J677" s="5">
        <v>1148</v>
      </c>
      <c r="K677" s="6">
        <f t="shared" si="40"/>
        <v>64170</v>
      </c>
      <c r="L677" s="6">
        <f t="shared" si="41"/>
        <v>103320</v>
      </c>
      <c r="M677" s="6">
        <f t="shared" si="42"/>
        <v>39150</v>
      </c>
      <c r="N677" s="6" t="str">
        <f t="shared" si="43"/>
        <v>profit</v>
      </c>
    </row>
    <row r="678" spans="1:14" ht="15.6" thickTop="1" thickBot="1" x14ac:dyDescent="0.35">
      <c r="A678" s="4">
        <v>45710</v>
      </c>
      <c r="B678" s="4" t="s">
        <v>238</v>
      </c>
      <c r="C678" s="5" t="s">
        <v>382</v>
      </c>
      <c r="D678" s="5" t="s">
        <v>32</v>
      </c>
      <c r="E678" s="5" t="s">
        <v>98</v>
      </c>
      <c r="F678" s="5" t="s">
        <v>154</v>
      </c>
      <c r="G678" s="5" t="s">
        <v>27</v>
      </c>
      <c r="H678" s="5">
        <v>81</v>
      </c>
      <c r="I678" s="5">
        <v>813</v>
      </c>
      <c r="J678" s="5">
        <v>1428</v>
      </c>
      <c r="K678" s="6">
        <f t="shared" si="40"/>
        <v>65853</v>
      </c>
      <c r="L678" s="6">
        <f t="shared" si="41"/>
        <v>115668</v>
      </c>
      <c r="M678" s="6">
        <f t="shared" si="42"/>
        <v>49815</v>
      </c>
      <c r="N678" s="6" t="str">
        <f t="shared" si="43"/>
        <v>profit</v>
      </c>
    </row>
    <row r="679" spans="1:14" ht="15.6" thickTop="1" thickBot="1" x14ac:dyDescent="0.35">
      <c r="A679" s="4">
        <v>45711</v>
      </c>
      <c r="B679" s="4" t="s">
        <v>238</v>
      </c>
      <c r="C679" s="5" t="s">
        <v>383</v>
      </c>
      <c r="D679" s="5" t="s">
        <v>32</v>
      </c>
      <c r="E679" s="5" t="s">
        <v>98</v>
      </c>
      <c r="F679" s="5" t="s">
        <v>17</v>
      </c>
      <c r="G679" s="5" t="s">
        <v>27</v>
      </c>
      <c r="H679" s="5">
        <v>57</v>
      </c>
      <c r="I679" s="5">
        <v>912</v>
      </c>
      <c r="J679" s="5">
        <v>1246</v>
      </c>
      <c r="K679" s="6">
        <f t="shared" si="40"/>
        <v>51984</v>
      </c>
      <c r="L679" s="6">
        <f t="shared" si="41"/>
        <v>71022</v>
      </c>
      <c r="M679" s="6">
        <f t="shared" si="42"/>
        <v>19038</v>
      </c>
      <c r="N679" s="6" t="str">
        <f t="shared" si="43"/>
        <v>profit</v>
      </c>
    </row>
    <row r="680" spans="1:14" ht="15.6" thickTop="1" thickBot="1" x14ac:dyDescent="0.35">
      <c r="A680" s="4">
        <v>45712</v>
      </c>
      <c r="B680" s="4" t="s">
        <v>238</v>
      </c>
      <c r="C680" s="5" t="s">
        <v>384</v>
      </c>
      <c r="D680" s="5" t="s">
        <v>32</v>
      </c>
      <c r="E680" s="5" t="s">
        <v>119</v>
      </c>
      <c r="F680" s="5" t="s">
        <v>20</v>
      </c>
      <c r="G680" s="5" t="s">
        <v>27</v>
      </c>
      <c r="H680" s="5">
        <v>61</v>
      </c>
      <c r="I680" s="5">
        <v>565</v>
      </c>
      <c r="J680" s="5">
        <v>1212</v>
      </c>
      <c r="K680" s="6">
        <f t="shared" si="40"/>
        <v>34465</v>
      </c>
      <c r="L680" s="6">
        <f t="shared" si="41"/>
        <v>73932</v>
      </c>
      <c r="M680" s="6">
        <f t="shared" si="42"/>
        <v>39467</v>
      </c>
      <c r="N680" s="6" t="str">
        <f t="shared" si="43"/>
        <v>profit</v>
      </c>
    </row>
    <row r="681" spans="1:14" ht="15.6" thickTop="1" thickBot="1" x14ac:dyDescent="0.35">
      <c r="A681" s="4">
        <v>45713</v>
      </c>
      <c r="B681" s="4" t="s">
        <v>238</v>
      </c>
      <c r="C681" s="5" t="s">
        <v>385</v>
      </c>
      <c r="D681" s="5" t="s">
        <v>32</v>
      </c>
      <c r="E681" s="5" t="s">
        <v>386</v>
      </c>
      <c r="F681" s="5" t="s">
        <v>20</v>
      </c>
      <c r="G681" s="5" t="s">
        <v>27</v>
      </c>
      <c r="H681" s="5">
        <v>62</v>
      </c>
      <c r="I681" s="5">
        <v>805</v>
      </c>
      <c r="J681" s="5">
        <v>1163</v>
      </c>
      <c r="K681" s="6">
        <f t="shared" si="40"/>
        <v>49910</v>
      </c>
      <c r="L681" s="6">
        <f t="shared" si="41"/>
        <v>72106</v>
      </c>
      <c r="M681" s="6">
        <f t="shared" si="42"/>
        <v>22196</v>
      </c>
      <c r="N681" s="6" t="str">
        <f t="shared" si="43"/>
        <v>profit</v>
      </c>
    </row>
    <row r="682" spans="1:14" ht="15.6" thickTop="1" thickBot="1" x14ac:dyDescent="0.35">
      <c r="A682" s="4">
        <v>45387</v>
      </c>
      <c r="B682" s="4" t="s">
        <v>30</v>
      </c>
      <c r="C682" s="5" t="s">
        <v>254</v>
      </c>
      <c r="D682" s="5" t="s">
        <v>32</v>
      </c>
      <c r="E682" s="5" t="s">
        <v>33</v>
      </c>
      <c r="F682" s="5" t="s">
        <v>75</v>
      </c>
      <c r="G682" s="5" t="s">
        <v>27</v>
      </c>
      <c r="H682" s="5">
        <v>74</v>
      </c>
      <c r="I682" s="5">
        <v>743</v>
      </c>
      <c r="J682" s="5">
        <v>1265</v>
      </c>
      <c r="K682" s="6">
        <f t="shared" si="40"/>
        <v>54982</v>
      </c>
      <c r="L682" s="6">
        <f t="shared" si="41"/>
        <v>93610</v>
      </c>
      <c r="M682" s="6">
        <f t="shared" si="42"/>
        <v>38628</v>
      </c>
      <c r="N682" s="6" t="str">
        <f t="shared" si="43"/>
        <v>profit</v>
      </c>
    </row>
    <row r="683" spans="1:14" ht="15.6" thickTop="1" thickBot="1" x14ac:dyDescent="0.35">
      <c r="A683" s="4">
        <v>45388</v>
      </c>
      <c r="B683" s="4" t="s">
        <v>30</v>
      </c>
      <c r="C683" s="5" t="s">
        <v>255</v>
      </c>
      <c r="D683" s="5" t="s">
        <v>32</v>
      </c>
      <c r="E683" s="5" t="s">
        <v>33</v>
      </c>
      <c r="F683" s="5" t="s">
        <v>77</v>
      </c>
      <c r="G683" s="5" t="s">
        <v>27</v>
      </c>
      <c r="H683" s="5">
        <v>83</v>
      </c>
      <c r="I683" s="5">
        <v>594</v>
      </c>
      <c r="J683" s="5">
        <v>852</v>
      </c>
      <c r="K683" s="6">
        <f t="shared" si="40"/>
        <v>49302</v>
      </c>
      <c r="L683" s="6">
        <f t="shared" si="41"/>
        <v>70716</v>
      </c>
      <c r="M683" s="6">
        <f t="shared" si="42"/>
        <v>21414</v>
      </c>
      <c r="N683" s="6" t="str">
        <f t="shared" si="43"/>
        <v>profit</v>
      </c>
    </row>
    <row r="684" spans="1:14" ht="15.6" thickTop="1" thickBot="1" x14ac:dyDescent="0.35">
      <c r="A684" s="4">
        <v>45390</v>
      </c>
      <c r="B684" s="4" t="s">
        <v>30</v>
      </c>
      <c r="C684" s="5" t="s">
        <v>256</v>
      </c>
      <c r="D684" s="5" t="s">
        <v>32</v>
      </c>
      <c r="E684" s="5" t="s">
        <v>33</v>
      </c>
      <c r="F684" s="5" t="s">
        <v>43</v>
      </c>
      <c r="G684" s="5" t="s">
        <v>27</v>
      </c>
      <c r="H684" s="5">
        <v>70</v>
      </c>
      <c r="I684" s="5">
        <v>878</v>
      </c>
      <c r="J684" s="5">
        <v>844</v>
      </c>
      <c r="K684" s="6">
        <f t="shared" si="40"/>
        <v>61460</v>
      </c>
      <c r="L684" s="6">
        <f t="shared" si="41"/>
        <v>59080</v>
      </c>
      <c r="M684" s="6">
        <f t="shared" si="42"/>
        <v>-2380</v>
      </c>
      <c r="N684" s="6" t="str">
        <f t="shared" si="43"/>
        <v>loss</v>
      </c>
    </row>
    <row r="685" spans="1:14" ht="15.6" thickTop="1" thickBot="1" x14ac:dyDescent="0.35">
      <c r="A685" s="4">
        <v>45397</v>
      </c>
      <c r="B685" s="4" t="s">
        <v>30</v>
      </c>
      <c r="C685" s="5" t="s">
        <v>257</v>
      </c>
      <c r="D685" s="5" t="s">
        <v>32</v>
      </c>
      <c r="E685" s="5" t="s">
        <v>162</v>
      </c>
      <c r="F685" s="5" t="s">
        <v>43</v>
      </c>
      <c r="G685" s="5" t="s">
        <v>18</v>
      </c>
      <c r="H685" s="5">
        <v>57</v>
      </c>
      <c r="I685" s="5">
        <v>724</v>
      </c>
      <c r="J685" s="5">
        <v>839</v>
      </c>
      <c r="K685" s="6">
        <f t="shared" si="40"/>
        <v>41268</v>
      </c>
      <c r="L685" s="6">
        <f t="shared" si="41"/>
        <v>47823</v>
      </c>
      <c r="M685" s="6">
        <f t="shared" si="42"/>
        <v>6555</v>
      </c>
      <c r="N685" s="6" t="str">
        <f t="shared" si="43"/>
        <v>profit</v>
      </c>
    </row>
    <row r="686" spans="1:14" ht="15.6" thickTop="1" thickBot="1" x14ac:dyDescent="0.35">
      <c r="A686" s="4">
        <v>45405</v>
      </c>
      <c r="B686" s="4" t="s">
        <v>30</v>
      </c>
      <c r="C686" s="5" t="s">
        <v>61</v>
      </c>
      <c r="D686" s="5" t="s">
        <v>45</v>
      </c>
      <c r="E686" s="5" t="s">
        <v>62</v>
      </c>
      <c r="F686" s="5" t="s">
        <v>63</v>
      </c>
      <c r="G686" s="5" t="s">
        <v>27</v>
      </c>
      <c r="H686" s="5">
        <v>23</v>
      </c>
      <c r="I686" s="5">
        <v>627</v>
      </c>
      <c r="J686" s="5">
        <v>855</v>
      </c>
      <c r="K686" s="6">
        <f t="shared" si="40"/>
        <v>14421</v>
      </c>
      <c r="L686" s="6">
        <f t="shared" si="41"/>
        <v>19665</v>
      </c>
      <c r="M686" s="6">
        <f t="shared" si="42"/>
        <v>5244</v>
      </c>
      <c r="N686" s="6" t="str">
        <f t="shared" si="43"/>
        <v>profit</v>
      </c>
    </row>
    <row r="687" spans="1:14" ht="15.6" thickTop="1" thickBot="1" x14ac:dyDescent="0.35">
      <c r="A687" s="4">
        <v>45398</v>
      </c>
      <c r="B687" s="4" t="s">
        <v>30</v>
      </c>
      <c r="C687" s="5" t="s">
        <v>258</v>
      </c>
      <c r="D687" s="5" t="s">
        <v>32</v>
      </c>
      <c r="E687" s="5" t="s">
        <v>162</v>
      </c>
      <c r="F687" s="5" t="s">
        <v>48</v>
      </c>
      <c r="G687" s="5" t="s">
        <v>18</v>
      </c>
      <c r="H687" s="5">
        <v>50</v>
      </c>
      <c r="I687" s="5">
        <v>537</v>
      </c>
      <c r="J687" s="5">
        <v>1172</v>
      </c>
      <c r="K687" s="6">
        <f t="shared" si="40"/>
        <v>26850</v>
      </c>
      <c r="L687" s="6">
        <f t="shared" si="41"/>
        <v>58600</v>
      </c>
      <c r="M687" s="6">
        <f t="shared" si="42"/>
        <v>31750</v>
      </c>
      <c r="N687" s="6" t="str">
        <f t="shared" si="43"/>
        <v>profit</v>
      </c>
    </row>
    <row r="688" spans="1:14" ht="15.6" thickTop="1" thickBot="1" x14ac:dyDescent="0.35">
      <c r="A688" s="4">
        <v>45407</v>
      </c>
      <c r="B688" s="4" t="s">
        <v>30</v>
      </c>
      <c r="C688" s="5" t="s">
        <v>65</v>
      </c>
      <c r="D688" s="5" t="s">
        <v>45</v>
      </c>
      <c r="E688" s="5" t="s">
        <v>62</v>
      </c>
      <c r="F688" s="5" t="s">
        <v>59</v>
      </c>
      <c r="G688" s="5" t="s">
        <v>18</v>
      </c>
      <c r="H688" s="5">
        <v>23</v>
      </c>
      <c r="I688" s="5">
        <v>938</v>
      </c>
      <c r="J688" s="5">
        <v>1336</v>
      </c>
      <c r="K688" s="6">
        <f t="shared" si="40"/>
        <v>21574</v>
      </c>
      <c r="L688" s="6">
        <f t="shared" si="41"/>
        <v>30728</v>
      </c>
      <c r="M688" s="6">
        <f t="shared" si="42"/>
        <v>9154</v>
      </c>
      <c r="N688" s="6" t="str">
        <f t="shared" si="43"/>
        <v>profit</v>
      </c>
    </row>
    <row r="689" spans="1:14" ht="15.6" thickTop="1" thickBot="1" x14ac:dyDescent="0.35">
      <c r="A689" s="4">
        <v>45399</v>
      </c>
      <c r="B689" s="4" t="s">
        <v>30</v>
      </c>
      <c r="C689" s="5" t="s">
        <v>259</v>
      </c>
      <c r="D689" s="5" t="s">
        <v>32</v>
      </c>
      <c r="E689" s="5" t="s">
        <v>162</v>
      </c>
      <c r="F689" s="5" t="s">
        <v>26</v>
      </c>
      <c r="G689" s="5" t="s">
        <v>18</v>
      </c>
      <c r="H689" s="5">
        <v>67</v>
      </c>
      <c r="I689" s="5">
        <v>989</v>
      </c>
      <c r="J689" s="5">
        <v>956</v>
      </c>
      <c r="K689" s="6">
        <f t="shared" si="40"/>
        <v>66263</v>
      </c>
      <c r="L689" s="6">
        <f t="shared" si="41"/>
        <v>64052</v>
      </c>
      <c r="M689" s="6">
        <f t="shared" si="42"/>
        <v>-2211</v>
      </c>
      <c r="N689" s="6" t="str">
        <f t="shared" si="43"/>
        <v>loss</v>
      </c>
    </row>
    <row r="690" spans="1:14" ht="15.6" thickTop="1" thickBot="1" x14ac:dyDescent="0.35">
      <c r="A690" s="4">
        <v>45400</v>
      </c>
      <c r="B690" s="4" t="s">
        <v>30</v>
      </c>
      <c r="C690" s="5" t="s">
        <v>260</v>
      </c>
      <c r="D690" s="5" t="s">
        <v>32</v>
      </c>
      <c r="E690" s="5" t="s">
        <v>162</v>
      </c>
      <c r="F690" s="5" t="s">
        <v>51</v>
      </c>
      <c r="G690" s="5" t="s">
        <v>18</v>
      </c>
      <c r="H690" s="5">
        <v>83</v>
      </c>
      <c r="I690" s="5">
        <v>917</v>
      </c>
      <c r="J690" s="5">
        <v>989</v>
      </c>
      <c r="K690" s="6">
        <f t="shared" si="40"/>
        <v>76111</v>
      </c>
      <c r="L690" s="6">
        <f t="shared" si="41"/>
        <v>82087</v>
      </c>
      <c r="M690" s="6">
        <f t="shared" si="42"/>
        <v>5976</v>
      </c>
      <c r="N690" s="6" t="str">
        <f t="shared" si="43"/>
        <v>profit</v>
      </c>
    </row>
    <row r="691" spans="1:14" ht="15.6" thickTop="1" thickBot="1" x14ac:dyDescent="0.35">
      <c r="A691" s="4">
        <v>45401</v>
      </c>
      <c r="B691" s="4" t="s">
        <v>30</v>
      </c>
      <c r="C691" s="5" t="s">
        <v>261</v>
      </c>
      <c r="D691" s="5" t="s">
        <v>32</v>
      </c>
      <c r="E691" s="5" t="s">
        <v>162</v>
      </c>
      <c r="F691" s="5" t="s">
        <v>53</v>
      </c>
      <c r="G691" s="5" t="s">
        <v>18</v>
      </c>
      <c r="H691" s="5">
        <v>74</v>
      </c>
      <c r="I691" s="5">
        <v>645</v>
      </c>
      <c r="J691" s="5">
        <v>879</v>
      </c>
      <c r="K691" s="6">
        <f t="shared" si="40"/>
        <v>47730</v>
      </c>
      <c r="L691" s="6">
        <f t="shared" si="41"/>
        <v>65046</v>
      </c>
      <c r="M691" s="6">
        <f t="shared" si="42"/>
        <v>17316</v>
      </c>
      <c r="N691" s="6" t="str">
        <f t="shared" si="43"/>
        <v>profit</v>
      </c>
    </row>
    <row r="692" spans="1:14" ht="15.6" thickTop="1" thickBot="1" x14ac:dyDescent="0.35">
      <c r="A692" s="4">
        <v>45402</v>
      </c>
      <c r="B692" s="4" t="s">
        <v>30</v>
      </c>
      <c r="C692" s="5" t="s">
        <v>262</v>
      </c>
      <c r="D692" s="5" t="s">
        <v>32</v>
      </c>
      <c r="E692" s="5" t="s">
        <v>162</v>
      </c>
      <c r="F692" s="5" t="s">
        <v>34</v>
      </c>
      <c r="G692" s="5" t="s">
        <v>27</v>
      </c>
      <c r="H692" s="5">
        <v>76</v>
      </c>
      <c r="I692" s="5">
        <v>943</v>
      </c>
      <c r="J692" s="5">
        <v>1394</v>
      </c>
      <c r="K692" s="6">
        <f t="shared" si="40"/>
        <v>71668</v>
      </c>
      <c r="L692" s="6">
        <f t="shared" si="41"/>
        <v>105944</v>
      </c>
      <c r="M692" s="6">
        <f t="shared" si="42"/>
        <v>34276</v>
      </c>
      <c r="N692" s="6" t="str">
        <f t="shared" si="43"/>
        <v>profit</v>
      </c>
    </row>
    <row r="693" spans="1:14" ht="15.6" thickTop="1" thickBot="1" x14ac:dyDescent="0.35">
      <c r="A693" s="4">
        <v>45403</v>
      </c>
      <c r="B693" s="4" t="s">
        <v>30</v>
      </c>
      <c r="C693" s="5" t="s">
        <v>263</v>
      </c>
      <c r="D693" s="5" t="s">
        <v>32</v>
      </c>
      <c r="E693" s="5" t="s">
        <v>162</v>
      </c>
      <c r="F693" s="5" t="s">
        <v>38</v>
      </c>
      <c r="G693" s="5" t="s">
        <v>27</v>
      </c>
      <c r="H693" s="5">
        <v>85</v>
      </c>
      <c r="I693" s="5">
        <v>505</v>
      </c>
      <c r="J693" s="5">
        <v>1435</v>
      </c>
      <c r="K693" s="6">
        <f t="shared" si="40"/>
        <v>42925</v>
      </c>
      <c r="L693" s="6">
        <f t="shared" si="41"/>
        <v>121975</v>
      </c>
      <c r="M693" s="6">
        <f t="shared" si="42"/>
        <v>79050</v>
      </c>
      <c r="N693" s="6" t="str">
        <f t="shared" si="43"/>
        <v>profit</v>
      </c>
    </row>
    <row r="694" spans="1:14" ht="15.6" thickTop="1" thickBot="1" x14ac:dyDescent="0.35">
      <c r="A694" s="4">
        <v>45431</v>
      </c>
      <c r="B694" s="4" t="s">
        <v>96</v>
      </c>
      <c r="C694" s="5" t="s">
        <v>264</v>
      </c>
      <c r="D694" s="5" t="s">
        <v>32</v>
      </c>
      <c r="E694" s="5" t="s">
        <v>98</v>
      </c>
      <c r="F694" s="5" t="s">
        <v>59</v>
      </c>
      <c r="G694" s="5" t="s">
        <v>27</v>
      </c>
      <c r="H694" s="5">
        <v>82</v>
      </c>
      <c r="I694" s="5">
        <v>928</v>
      </c>
      <c r="J694" s="5">
        <v>1428</v>
      </c>
      <c r="K694" s="6">
        <f t="shared" si="40"/>
        <v>76096</v>
      </c>
      <c r="L694" s="6">
        <f t="shared" si="41"/>
        <v>117096</v>
      </c>
      <c r="M694" s="6">
        <f t="shared" si="42"/>
        <v>41000</v>
      </c>
      <c r="N694" s="6" t="str">
        <f t="shared" si="43"/>
        <v>profit</v>
      </c>
    </row>
    <row r="695" spans="1:14" ht="15.6" thickTop="1" thickBot="1" x14ac:dyDescent="0.35">
      <c r="A695" s="4">
        <v>45433</v>
      </c>
      <c r="B695" s="4" t="s">
        <v>96</v>
      </c>
      <c r="C695" s="5" t="s">
        <v>265</v>
      </c>
      <c r="D695" s="5" t="s">
        <v>32</v>
      </c>
      <c r="E695" s="5" t="s">
        <v>98</v>
      </c>
      <c r="F695" s="5" t="s">
        <v>38</v>
      </c>
      <c r="G695" s="5" t="s">
        <v>18</v>
      </c>
      <c r="H695" s="5">
        <v>72</v>
      </c>
      <c r="I695" s="5">
        <v>605</v>
      </c>
      <c r="J695" s="5">
        <v>1081</v>
      </c>
      <c r="K695" s="6">
        <f t="shared" si="40"/>
        <v>43560</v>
      </c>
      <c r="L695" s="6">
        <f t="shared" si="41"/>
        <v>77832</v>
      </c>
      <c r="M695" s="6">
        <f t="shared" si="42"/>
        <v>34272</v>
      </c>
      <c r="N695" s="6" t="str">
        <f t="shared" si="43"/>
        <v>profit</v>
      </c>
    </row>
    <row r="696" spans="1:14" ht="15.6" thickTop="1" thickBot="1" x14ac:dyDescent="0.35">
      <c r="A696" s="4">
        <v>45434</v>
      </c>
      <c r="B696" s="4" t="s">
        <v>96</v>
      </c>
      <c r="C696" s="5" t="s">
        <v>266</v>
      </c>
      <c r="D696" s="5" t="s">
        <v>32</v>
      </c>
      <c r="E696" s="5" t="s">
        <v>98</v>
      </c>
      <c r="F696" s="5" t="s">
        <v>38</v>
      </c>
      <c r="G696" s="5" t="s">
        <v>18</v>
      </c>
      <c r="H696" s="5">
        <v>82</v>
      </c>
      <c r="I696" s="5">
        <v>993</v>
      </c>
      <c r="J696" s="5">
        <v>823</v>
      </c>
      <c r="K696" s="6">
        <f t="shared" si="40"/>
        <v>81426</v>
      </c>
      <c r="L696" s="6">
        <f t="shared" si="41"/>
        <v>67486</v>
      </c>
      <c r="M696" s="6">
        <f t="shared" si="42"/>
        <v>-13940</v>
      </c>
      <c r="N696" s="6" t="str">
        <f t="shared" si="43"/>
        <v>loss</v>
      </c>
    </row>
    <row r="697" spans="1:14" ht="15.6" thickTop="1" thickBot="1" x14ac:dyDescent="0.35">
      <c r="A697" s="4">
        <v>45435</v>
      </c>
      <c r="B697" s="4" t="s">
        <v>96</v>
      </c>
      <c r="C697" s="5" t="s">
        <v>267</v>
      </c>
      <c r="D697" s="5" t="s">
        <v>32</v>
      </c>
      <c r="E697" s="5" t="s">
        <v>98</v>
      </c>
      <c r="F697" s="5" t="s">
        <v>43</v>
      </c>
      <c r="G697" s="5" t="s">
        <v>18</v>
      </c>
      <c r="H697" s="5">
        <v>53</v>
      </c>
      <c r="I697" s="5">
        <v>803</v>
      </c>
      <c r="J697" s="5">
        <v>1335</v>
      </c>
      <c r="K697" s="6">
        <f t="shared" si="40"/>
        <v>42559</v>
      </c>
      <c r="L697" s="6">
        <f t="shared" si="41"/>
        <v>70755</v>
      </c>
      <c r="M697" s="6">
        <f t="shared" si="42"/>
        <v>28196</v>
      </c>
      <c r="N697" s="6" t="str">
        <f t="shared" si="43"/>
        <v>profit</v>
      </c>
    </row>
    <row r="698" spans="1:14" ht="15.6" thickTop="1" thickBot="1" x14ac:dyDescent="0.35">
      <c r="A698" s="4">
        <v>45436</v>
      </c>
      <c r="B698" s="4" t="s">
        <v>96</v>
      </c>
      <c r="C698" s="5" t="s">
        <v>268</v>
      </c>
      <c r="D698" s="5" t="s">
        <v>32</v>
      </c>
      <c r="E698" s="5" t="s">
        <v>98</v>
      </c>
      <c r="F698" s="5" t="s">
        <v>26</v>
      </c>
      <c r="G698" s="5" t="s">
        <v>18</v>
      </c>
      <c r="H698" s="5">
        <v>87</v>
      </c>
      <c r="I698" s="5">
        <v>742</v>
      </c>
      <c r="J698" s="5">
        <v>856</v>
      </c>
      <c r="K698" s="6">
        <f t="shared" si="40"/>
        <v>64554</v>
      </c>
      <c r="L698" s="6">
        <f t="shared" si="41"/>
        <v>74472</v>
      </c>
      <c r="M698" s="6">
        <f t="shared" si="42"/>
        <v>9918</v>
      </c>
      <c r="N698" s="6" t="str">
        <f t="shared" si="43"/>
        <v>profit</v>
      </c>
    </row>
    <row r="699" spans="1:14" ht="15.6" thickTop="1" thickBot="1" x14ac:dyDescent="0.35">
      <c r="A699" s="4">
        <v>45437</v>
      </c>
      <c r="B699" s="4" t="s">
        <v>96</v>
      </c>
      <c r="C699" s="5" t="s">
        <v>269</v>
      </c>
      <c r="D699" s="5" t="s">
        <v>32</v>
      </c>
      <c r="E699" s="5" t="s">
        <v>98</v>
      </c>
      <c r="F699" s="5" t="s">
        <v>43</v>
      </c>
      <c r="G699" s="5" t="s">
        <v>18</v>
      </c>
      <c r="H699" s="5">
        <v>70</v>
      </c>
      <c r="I699" s="5">
        <v>605</v>
      </c>
      <c r="J699" s="5">
        <v>1489</v>
      </c>
      <c r="K699" s="6">
        <f t="shared" si="40"/>
        <v>42350</v>
      </c>
      <c r="L699" s="6">
        <f t="shared" si="41"/>
        <v>104230</v>
      </c>
      <c r="M699" s="6">
        <f t="shared" si="42"/>
        <v>61880</v>
      </c>
      <c r="N699" s="6" t="str">
        <f t="shared" si="43"/>
        <v>profit</v>
      </c>
    </row>
    <row r="700" spans="1:14" ht="15.6" thickTop="1" thickBot="1" x14ac:dyDescent="0.35">
      <c r="A700" s="4">
        <v>45438</v>
      </c>
      <c r="B700" s="4" t="s">
        <v>96</v>
      </c>
      <c r="C700" s="5" t="s">
        <v>270</v>
      </c>
      <c r="D700" s="5" t="s">
        <v>32</v>
      </c>
      <c r="E700" s="5" t="s">
        <v>98</v>
      </c>
      <c r="F700" s="5" t="s">
        <v>48</v>
      </c>
      <c r="G700" s="5" t="s">
        <v>18</v>
      </c>
      <c r="H700" s="5">
        <v>94</v>
      </c>
      <c r="I700" s="5">
        <v>754</v>
      </c>
      <c r="J700" s="5">
        <v>1354</v>
      </c>
      <c r="K700" s="6">
        <f t="shared" si="40"/>
        <v>70876</v>
      </c>
      <c r="L700" s="6">
        <f t="shared" si="41"/>
        <v>127276</v>
      </c>
      <c r="M700" s="6">
        <f t="shared" si="42"/>
        <v>56400</v>
      </c>
      <c r="N700" s="6" t="str">
        <f t="shared" si="43"/>
        <v>profit</v>
      </c>
    </row>
    <row r="701" spans="1:14" ht="15.6" thickTop="1" thickBot="1" x14ac:dyDescent="0.35">
      <c r="A701" s="4">
        <v>45439</v>
      </c>
      <c r="B701" s="4" t="s">
        <v>96</v>
      </c>
      <c r="C701" s="5" t="s">
        <v>271</v>
      </c>
      <c r="D701" s="5" t="s">
        <v>32</v>
      </c>
      <c r="E701" s="5" t="s">
        <v>98</v>
      </c>
      <c r="F701" s="5" t="s">
        <v>26</v>
      </c>
      <c r="G701" s="5" t="s">
        <v>18</v>
      </c>
      <c r="H701" s="5">
        <v>80</v>
      </c>
      <c r="I701" s="5">
        <v>622</v>
      </c>
      <c r="J701" s="5">
        <v>1168</v>
      </c>
      <c r="K701" s="6">
        <f t="shared" si="40"/>
        <v>49760</v>
      </c>
      <c r="L701" s="6">
        <f t="shared" si="41"/>
        <v>93440</v>
      </c>
      <c r="M701" s="6">
        <f t="shared" si="42"/>
        <v>43680</v>
      </c>
      <c r="N701" s="6" t="str">
        <f t="shared" si="43"/>
        <v>profit</v>
      </c>
    </row>
    <row r="702" spans="1:14" ht="15.6" thickTop="1" thickBot="1" x14ac:dyDescent="0.35">
      <c r="A702" s="4">
        <v>45440</v>
      </c>
      <c r="B702" s="4" t="s">
        <v>96</v>
      </c>
      <c r="C702" s="5" t="s">
        <v>272</v>
      </c>
      <c r="D702" s="5" t="s">
        <v>32</v>
      </c>
      <c r="E702" s="5" t="s">
        <v>98</v>
      </c>
      <c r="F702" s="5" t="s">
        <v>51</v>
      </c>
      <c r="G702" s="5" t="s">
        <v>27</v>
      </c>
      <c r="H702" s="5">
        <v>88</v>
      </c>
      <c r="I702" s="5">
        <v>625</v>
      </c>
      <c r="J702" s="5">
        <v>1324</v>
      </c>
      <c r="K702" s="6">
        <f t="shared" si="40"/>
        <v>55000</v>
      </c>
      <c r="L702" s="6">
        <f t="shared" si="41"/>
        <v>116512</v>
      </c>
      <c r="M702" s="6">
        <f t="shared" si="42"/>
        <v>61512</v>
      </c>
      <c r="N702" s="6" t="str">
        <f t="shared" si="43"/>
        <v>profit</v>
      </c>
    </row>
    <row r="703" spans="1:14" ht="15.6" thickTop="1" thickBot="1" x14ac:dyDescent="0.35">
      <c r="A703" s="4">
        <v>45442</v>
      </c>
      <c r="B703" s="4" t="s">
        <v>96</v>
      </c>
      <c r="C703" s="5" t="s">
        <v>273</v>
      </c>
      <c r="D703" s="5" t="s">
        <v>32</v>
      </c>
      <c r="E703" s="5" t="s">
        <v>98</v>
      </c>
      <c r="F703" s="5" t="s">
        <v>34</v>
      </c>
      <c r="G703" s="5" t="s">
        <v>27</v>
      </c>
      <c r="H703" s="5">
        <v>67</v>
      </c>
      <c r="I703" s="5">
        <v>760</v>
      </c>
      <c r="J703" s="5">
        <v>1006</v>
      </c>
      <c r="K703" s="6">
        <f t="shared" si="40"/>
        <v>50920</v>
      </c>
      <c r="L703" s="6">
        <f t="shared" si="41"/>
        <v>67402</v>
      </c>
      <c r="M703" s="6">
        <f t="shared" si="42"/>
        <v>16482</v>
      </c>
      <c r="N703" s="6" t="str">
        <f t="shared" si="43"/>
        <v>profit</v>
      </c>
    </row>
    <row r="704" spans="1:14" ht="15.6" thickTop="1" thickBot="1" x14ac:dyDescent="0.35">
      <c r="A704" s="4">
        <v>45443</v>
      </c>
      <c r="B704" s="4" t="s">
        <v>96</v>
      </c>
      <c r="C704" s="5" t="s">
        <v>274</v>
      </c>
      <c r="D704" s="5" t="s">
        <v>32</v>
      </c>
      <c r="E704" s="5" t="s">
        <v>119</v>
      </c>
      <c r="F704" s="5" t="s">
        <v>38</v>
      </c>
      <c r="G704" s="5" t="s">
        <v>27</v>
      </c>
      <c r="H704" s="5">
        <v>75</v>
      </c>
      <c r="I704" s="5">
        <v>966</v>
      </c>
      <c r="J704" s="5">
        <v>1355</v>
      </c>
      <c r="K704" s="6">
        <f t="shared" si="40"/>
        <v>72450</v>
      </c>
      <c r="L704" s="6">
        <f t="shared" si="41"/>
        <v>101625</v>
      </c>
      <c r="M704" s="6">
        <f t="shared" si="42"/>
        <v>29175</v>
      </c>
      <c r="N704" s="6" t="str">
        <f t="shared" si="43"/>
        <v>profit</v>
      </c>
    </row>
    <row r="705" spans="1:14" ht="15.6" thickTop="1" thickBot="1" x14ac:dyDescent="0.35">
      <c r="A705" s="4">
        <v>45444</v>
      </c>
      <c r="B705" s="4" t="s">
        <v>13</v>
      </c>
      <c r="C705" s="5" t="s">
        <v>275</v>
      </c>
      <c r="D705" s="5" t="s">
        <v>32</v>
      </c>
      <c r="E705" s="5" t="s">
        <v>119</v>
      </c>
      <c r="F705" s="5" t="s">
        <v>38</v>
      </c>
      <c r="G705" s="5" t="s">
        <v>18</v>
      </c>
      <c r="H705" s="5">
        <v>51</v>
      </c>
      <c r="I705" s="5">
        <v>749</v>
      </c>
      <c r="J705" s="5">
        <v>1060</v>
      </c>
      <c r="K705" s="6">
        <f t="shared" si="40"/>
        <v>38199</v>
      </c>
      <c r="L705" s="6">
        <f t="shared" si="41"/>
        <v>54060</v>
      </c>
      <c r="M705" s="6">
        <f t="shared" si="42"/>
        <v>15861</v>
      </c>
      <c r="N705" s="6" t="str">
        <f t="shared" si="43"/>
        <v>profit</v>
      </c>
    </row>
    <row r="706" spans="1:14" ht="15.6" thickTop="1" thickBot="1" x14ac:dyDescent="0.35">
      <c r="A706" s="4">
        <v>45445</v>
      </c>
      <c r="B706" s="4" t="s">
        <v>13</v>
      </c>
      <c r="C706" s="5" t="s">
        <v>276</v>
      </c>
      <c r="D706" s="5" t="s">
        <v>32</v>
      </c>
      <c r="E706" s="5" t="s">
        <v>119</v>
      </c>
      <c r="F706" s="5" t="s">
        <v>63</v>
      </c>
      <c r="G706" s="5" t="s">
        <v>27</v>
      </c>
      <c r="H706" s="5">
        <v>94</v>
      </c>
      <c r="I706" s="5">
        <v>721</v>
      </c>
      <c r="J706" s="5">
        <v>996</v>
      </c>
      <c r="K706" s="6">
        <f t="shared" ref="K706:K769" si="44">H706*I706</f>
        <v>67774</v>
      </c>
      <c r="L706" s="6">
        <f t="shared" ref="L706:L769" si="45">H706*J706</f>
        <v>93624</v>
      </c>
      <c r="M706" s="6">
        <f t="shared" ref="M706:M769" si="46">L706-K706</f>
        <v>25850</v>
      </c>
      <c r="N706" s="6" t="str">
        <f t="shared" ref="N706:N769" si="47">IF(M706&gt;0,"profit","loss")</f>
        <v>profit</v>
      </c>
    </row>
    <row r="707" spans="1:14" ht="15.6" thickTop="1" thickBot="1" x14ac:dyDescent="0.35">
      <c r="A707" s="4">
        <v>45446</v>
      </c>
      <c r="B707" s="4" t="s">
        <v>13</v>
      </c>
      <c r="C707" s="5" t="s">
        <v>277</v>
      </c>
      <c r="D707" s="5" t="s">
        <v>32</v>
      </c>
      <c r="E707" s="5" t="s">
        <v>119</v>
      </c>
      <c r="F707" s="5" t="s">
        <v>63</v>
      </c>
      <c r="G707" s="5" t="s">
        <v>27</v>
      </c>
      <c r="H707" s="5">
        <v>71</v>
      </c>
      <c r="I707" s="5">
        <v>869</v>
      </c>
      <c r="J707" s="5">
        <v>753</v>
      </c>
      <c r="K707" s="6">
        <f t="shared" si="44"/>
        <v>61699</v>
      </c>
      <c r="L707" s="6">
        <f t="shared" si="45"/>
        <v>53463</v>
      </c>
      <c r="M707" s="6">
        <f t="shared" si="46"/>
        <v>-8236</v>
      </c>
      <c r="N707" s="6" t="str">
        <f t="shared" si="47"/>
        <v>loss</v>
      </c>
    </row>
    <row r="708" spans="1:14" ht="15.6" thickTop="1" thickBot="1" x14ac:dyDescent="0.35">
      <c r="A708" s="4">
        <v>45447</v>
      </c>
      <c r="B708" s="4" t="s">
        <v>13</v>
      </c>
      <c r="C708" s="5" t="s">
        <v>278</v>
      </c>
      <c r="D708" s="5" t="s">
        <v>32</v>
      </c>
      <c r="E708" s="5" t="s">
        <v>119</v>
      </c>
      <c r="F708" s="5" t="s">
        <v>59</v>
      </c>
      <c r="G708" s="5" t="s">
        <v>27</v>
      </c>
      <c r="H708" s="5">
        <v>52</v>
      </c>
      <c r="I708" s="5">
        <v>550</v>
      </c>
      <c r="J708" s="5">
        <v>869</v>
      </c>
      <c r="K708" s="6">
        <f t="shared" si="44"/>
        <v>28600</v>
      </c>
      <c r="L708" s="6">
        <f t="shared" si="45"/>
        <v>45188</v>
      </c>
      <c r="M708" s="6">
        <f t="shared" si="46"/>
        <v>16588</v>
      </c>
      <c r="N708" s="6" t="str">
        <f t="shared" si="47"/>
        <v>profit</v>
      </c>
    </row>
    <row r="709" spans="1:14" ht="15.6" thickTop="1" thickBot="1" x14ac:dyDescent="0.35">
      <c r="A709" s="4">
        <v>45448</v>
      </c>
      <c r="B709" s="4" t="s">
        <v>13</v>
      </c>
      <c r="C709" s="5" t="s">
        <v>279</v>
      </c>
      <c r="D709" s="5" t="s">
        <v>32</v>
      </c>
      <c r="E709" s="5" t="s">
        <v>119</v>
      </c>
      <c r="F709" s="5" t="s">
        <v>38</v>
      </c>
      <c r="G709" s="5" t="s">
        <v>27</v>
      </c>
      <c r="H709" s="5">
        <v>77</v>
      </c>
      <c r="I709" s="5">
        <v>513</v>
      </c>
      <c r="J709" s="5">
        <v>871</v>
      </c>
      <c r="K709" s="6">
        <f t="shared" si="44"/>
        <v>39501</v>
      </c>
      <c r="L709" s="6">
        <f t="shared" si="45"/>
        <v>67067</v>
      </c>
      <c r="M709" s="6">
        <f t="shared" si="46"/>
        <v>27566</v>
      </c>
      <c r="N709" s="6" t="str">
        <f t="shared" si="47"/>
        <v>profit</v>
      </c>
    </row>
    <row r="710" spans="1:14" ht="15.6" thickTop="1" thickBot="1" x14ac:dyDescent="0.35">
      <c r="A710" s="4">
        <v>45449</v>
      </c>
      <c r="B710" s="4" t="s">
        <v>13</v>
      </c>
      <c r="C710" s="5" t="s">
        <v>280</v>
      </c>
      <c r="D710" s="5" t="s">
        <v>32</v>
      </c>
      <c r="E710" s="5" t="s">
        <v>119</v>
      </c>
      <c r="F710" s="5" t="s">
        <v>29</v>
      </c>
      <c r="G710" s="5" t="s">
        <v>18</v>
      </c>
      <c r="H710" s="5">
        <v>84</v>
      </c>
      <c r="I710" s="5">
        <v>739</v>
      </c>
      <c r="J710" s="5">
        <v>1161</v>
      </c>
      <c r="K710" s="6">
        <f t="shared" si="44"/>
        <v>62076</v>
      </c>
      <c r="L710" s="6">
        <f t="shared" si="45"/>
        <v>97524</v>
      </c>
      <c r="M710" s="6">
        <f t="shared" si="46"/>
        <v>35448</v>
      </c>
      <c r="N710" s="6" t="str">
        <f t="shared" si="47"/>
        <v>profit</v>
      </c>
    </row>
    <row r="711" spans="1:14" ht="15.6" thickTop="1" thickBot="1" x14ac:dyDescent="0.35">
      <c r="A711" s="4">
        <v>45450</v>
      </c>
      <c r="B711" s="4" t="s">
        <v>13</v>
      </c>
      <c r="C711" s="5" t="s">
        <v>281</v>
      </c>
      <c r="D711" s="5" t="s">
        <v>32</v>
      </c>
      <c r="E711" s="5" t="s">
        <v>119</v>
      </c>
      <c r="F711" s="5" t="s">
        <v>112</v>
      </c>
      <c r="G711" s="5" t="s">
        <v>18</v>
      </c>
      <c r="H711" s="5">
        <v>71</v>
      </c>
      <c r="I711" s="5">
        <v>923</v>
      </c>
      <c r="J711" s="5">
        <v>996</v>
      </c>
      <c r="K711" s="6">
        <f t="shared" si="44"/>
        <v>65533</v>
      </c>
      <c r="L711" s="6">
        <f t="shared" si="45"/>
        <v>70716</v>
      </c>
      <c r="M711" s="6">
        <f t="shared" si="46"/>
        <v>5183</v>
      </c>
      <c r="N711" s="6" t="str">
        <f t="shared" si="47"/>
        <v>profit</v>
      </c>
    </row>
    <row r="712" spans="1:14" ht="15.6" thickTop="1" thickBot="1" x14ac:dyDescent="0.35">
      <c r="A712" s="4">
        <v>45451</v>
      </c>
      <c r="B712" s="4" t="s">
        <v>13</v>
      </c>
      <c r="C712" s="5" t="s">
        <v>282</v>
      </c>
      <c r="D712" s="5" t="s">
        <v>32</v>
      </c>
      <c r="E712" s="5" t="s">
        <v>119</v>
      </c>
      <c r="F712" s="5" t="s">
        <v>43</v>
      </c>
      <c r="G712" s="5" t="s">
        <v>18</v>
      </c>
      <c r="H712" s="5">
        <v>59</v>
      </c>
      <c r="I712" s="5">
        <v>862</v>
      </c>
      <c r="J712" s="5">
        <v>1233</v>
      </c>
      <c r="K712" s="6">
        <f t="shared" si="44"/>
        <v>50858</v>
      </c>
      <c r="L712" s="6">
        <f t="shared" si="45"/>
        <v>72747</v>
      </c>
      <c r="M712" s="6">
        <f t="shared" si="46"/>
        <v>21889</v>
      </c>
      <c r="N712" s="6" t="str">
        <f t="shared" si="47"/>
        <v>profit</v>
      </c>
    </row>
    <row r="713" spans="1:14" ht="15.6" thickTop="1" thickBot="1" x14ac:dyDescent="0.35">
      <c r="A713" s="4">
        <v>45432</v>
      </c>
      <c r="B713" s="4" t="s">
        <v>96</v>
      </c>
      <c r="C713" s="5" t="s">
        <v>97</v>
      </c>
      <c r="D713" s="5" t="s">
        <v>32</v>
      </c>
      <c r="E713" s="5" t="s">
        <v>98</v>
      </c>
      <c r="F713" s="5" t="s">
        <v>34</v>
      </c>
      <c r="G713" s="5" t="s">
        <v>27</v>
      </c>
      <c r="H713" s="5">
        <v>90</v>
      </c>
      <c r="I713" s="5">
        <v>718</v>
      </c>
      <c r="J713" s="5">
        <v>1353</v>
      </c>
      <c r="K713" s="6">
        <f t="shared" si="44"/>
        <v>64620</v>
      </c>
      <c r="L713" s="6">
        <f t="shared" si="45"/>
        <v>121770</v>
      </c>
      <c r="M713" s="6">
        <f t="shared" si="46"/>
        <v>57150</v>
      </c>
      <c r="N713" s="6" t="str">
        <f t="shared" si="47"/>
        <v>profit</v>
      </c>
    </row>
    <row r="714" spans="1:14" ht="15.6" thickTop="1" thickBot="1" x14ac:dyDescent="0.35">
      <c r="A714" s="4">
        <v>45452</v>
      </c>
      <c r="B714" s="4" t="s">
        <v>13</v>
      </c>
      <c r="C714" s="5" t="s">
        <v>283</v>
      </c>
      <c r="D714" s="5" t="s">
        <v>32</v>
      </c>
      <c r="E714" s="5" t="s">
        <v>119</v>
      </c>
      <c r="F714" s="5" t="s">
        <v>152</v>
      </c>
      <c r="G714" s="5" t="s">
        <v>18</v>
      </c>
      <c r="H714" s="5">
        <v>77</v>
      </c>
      <c r="I714" s="5">
        <v>882</v>
      </c>
      <c r="J714" s="5">
        <v>914</v>
      </c>
      <c r="K714" s="6">
        <f t="shared" si="44"/>
        <v>67914</v>
      </c>
      <c r="L714" s="6">
        <f t="shared" si="45"/>
        <v>70378</v>
      </c>
      <c r="M714" s="6">
        <f t="shared" si="46"/>
        <v>2464</v>
      </c>
      <c r="N714" s="6" t="str">
        <f t="shared" si="47"/>
        <v>profit</v>
      </c>
    </row>
    <row r="715" spans="1:14" ht="15.6" thickTop="1" thickBot="1" x14ac:dyDescent="0.35">
      <c r="A715" s="4">
        <v>45453</v>
      </c>
      <c r="B715" s="4" t="s">
        <v>13</v>
      </c>
      <c r="C715" s="5" t="s">
        <v>284</v>
      </c>
      <c r="D715" s="5" t="s">
        <v>32</v>
      </c>
      <c r="E715" s="5" t="s">
        <v>119</v>
      </c>
      <c r="F715" s="5" t="s">
        <v>154</v>
      </c>
      <c r="G715" s="5" t="s">
        <v>18</v>
      </c>
      <c r="H715" s="5">
        <v>90</v>
      </c>
      <c r="I715" s="5">
        <v>862</v>
      </c>
      <c r="J715" s="5">
        <v>902</v>
      </c>
      <c r="K715" s="6">
        <f t="shared" si="44"/>
        <v>77580</v>
      </c>
      <c r="L715" s="6">
        <f t="shared" si="45"/>
        <v>81180</v>
      </c>
      <c r="M715" s="6">
        <f t="shared" si="46"/>
        <v>3600</v>
      </c>
      <c r="N715" s="6" t="str">
        <f t="shared" si="47"/>
        <v>profit</v>
      </c>
    </row>
    <row r="716" spans="1:14" ht="15.6" thickTop="1" thickBot="1" x14ac:dyDescent="0.35">
      <c r="A716" s="4">
        <v>45461</v>
      </c>
      <c r="B716" s="4" t="s">
        <v>13</v>
      </c>
      <c r="C716" s="5" t="s">
        <v>285</v>
      </c>
      <c r="D716" s="5" t="s">
        <v>32</v>
      </c>
      <c r="E716" s="5" t="s">
        <v>98</v>
      </c>
      <c r="F716" s="5" t="s">
        <v>24</v>
      </c>
      <c r="G716" s="5" t="s">
        <v>27</v>
      </c>
      <c r="H716" s="5">
        <v>73</v>
      </c>
      <c r="I716" s="5">
        <v>541</v>
      </c>
      <c r="J716" s="5">
        <v>1114</v>
      </c>
      <c r="K716" s="6">
        <f t="shared" si="44"/>
        <v>39493</v>
      </c>
      <c r="L716" s="6">
        <f t="shared" si="45"/>
        <v>81322</v>
      </c>
      <c r="M716" s="6">
        <f t="shared" si="46"/>
        <v>41829</v>
      </c>
      <c r="N716" s="6" t="str">
        <f t="shared" si="47"/>
        <v>profit</v>
      </c>
    </row>
    <row r="717" spans="1:14" ht="15.6" thickTop="1" thickBot="1" x14ac:dyDescent="0.35">
      <c r="A717" s="4">
        <v>45462</v>
      </c>
      <c r="B717" s="4" t="s">
        <v>13</v>
      </c>
      <c r="C717" s="5" t="s">
        <v>286</v>
      </c>
      <c r="D717" s="5" t="s">
        <v>32</v>
      </c>
      <c r="E717" s="5" t="s">
        <v>98</v>
      </c>
      <c r="F717" s="5" t="s">
        <v>75</v>
      </c>
      <c r="G717" s="5" t="s">
        <v>27</v>
      </c>
      <c r="H717" s="5">
        <v>94</v>
      </c>
      <c r="I717" s="5">
        <v>772</v>
      </c>
      <c r="J717" s="5">
        <v>1390</v>
      </c>
      <c r="K717" s="6">
        <f t="shared" si="44"/>
        <v>72568</v>
      </c>
      <c r="L717" s="6">
        <f t="shared" si="45"/>
        <v>130660</v>
      </c>
      <c r="M717" s="6">
        <f t="shared" si="46"/>
        <v>58092</v>
      </c>
      <c r="N717" s="6" t="str">
        <f t="shared" si="47"/>
        <v>profit</v>
      </c>
    </row>
    <row r="718" spans="1:14" ht="15.6" thickTop="1" thickBot="1" x14ac:dyDescent="0.35">
      <c r="A718" s="4">
        <v>45463</v>
      </c>
      <c r="B718" s="4" t="s">
        <v>13</v>
      </c>
      <c r="C718" s="5" t="s">
        <v>287</v>
      </c>
      <c r="D718" s="5" t="s">
        <v>32</v>
      </c>
      <c r="E718" s="5" t="s">
        <v>98</v>
      </c>
      <c r="F718" s="5" t="s">
        <v>70</v>
      </c>
      <c r="G718" s="5" t="s">
        <v>27</v>
      </c>
      <c r="H718" s="5">
        <v>66</v>
      </c>
      <c r="I718" s="5">
        <v>771</v>
      </c>
      <c r="J718" s="5">
        <v>1419</v>
      </c>
      <c r="K718" s="6">
        <f t="shared" si="44"/>
        <v>50886</v>
      </c>
      <c r="L718" s="6">
        <f t="shared" si="45"/>
        <v>93654</v>
      </c>
      <c r="M718" s="6">
        <f t="shared" si="46"/>
        <v>42768</v>
      </c>
      <c r="N718" s="6" t="str">
        <f t="shared" si="47"/>
        <v>profit</v>
      </c>
    </row>
    <row r="719" spans="1:14" ht="15.6" thickTop="1" thickBot="1" x14ac:dyDescent="0.35">
      <c r="A719" s="4">
        <v>45465</v>
      </c>
      <c r="B719" s="4" t="s">
        <v>13</v>
      </c>
      <c r="C719" s="5" t="s">
        <v>288</v>
      </c>
      <c r="D719" s="5" t="s">
        <v>32</v>
      </c>
      <c r="E719" s="5" t="s">
        <v>98</v>
      </c>
      <c r="F719" s="5" t="s">
        <v>24</v>
      </c>
      <c r="G719" s="5" t="s">
        <v>18</v>
      </c>
      <c r="H719" s="5">
        <v>65</v>
      </c>
      <c r="I719" s="5">
        <v>762</v>
      </c>
      <c r="J719" s="5">
        <v>1394</v>
      </c>
      <c r="K719" s="6">
        <f t="shared" si="44"/>
        <v>49530</v>
      </c>
      <c r="L719" s="6">
        <f t="shared" si="45"/>
        <v>90610</v>
      </c>
      <c r="M719" s="6">
        <f t="shared" si="46"/>
        <v>41080</v>
      </c>
      <c r="N719" s="6" t="str">
        <f t="shared" si="47"/>
        <v>profit</v>
      </c>
    </row>
    <row r="720" spans="1:14" ht="15.6" thickTop="1" thickBot="1" x14ac:dyDescent="0.35">
      <c r="A720" s="4">
        <v>45466</v>
      </c>
      <c r="B720" s="4" t="s">
        <v>13</v>
      </c>
      <c r="C720" s="5" t="s">
        <v>289</v>
      </c>
      <c r="D720" s="5" t="s">
        <v>32</v>
      </c>
      <c r="E720" s="5" t="s">
        <v>119</v>
      </c>
      <c r="F720" s="5" t="s">
        <v>63</v>
      </c>
      <c r="G720" s="5" t="s">
        <v>18</v>
      </c>
      <c r="H720" s="5">
        <v>78</v>
      </c>
      <c r="I720" s="5">
        <v>918</v>
      </c>
      <c r="J720" s="5">
        <v>1469</v>
      </c>
      <c r="K720" s="6">
        <f t="shared" si="44"/>
        <v>71604</v>
      </c>
      <c r="L720" s="6">
        <f t="shared" si="45"/>
        <v>114582</v>
      </c>
      <c r="M720" s="6">
        <f t="shared" si="46"/>
        <v>42978</v>
      </c>
      <c r="N720" s="6" t="str">
        <f t="shared" si="47"/>
        <v>profit</v>
      </c>
    </row>
    <row r="721" spans="1:14" ht="15.6" thickTop="1" thickBot="1" x14ac:dyDescent="0.35">
      <c r="A721" s="4">
        <v>45467</v>
      </c>
      <c r="B721" s="4" t="s">
        <v>13</v>
      </c>
      <c r="C721" s="5" t="s">
        <v>290</v>
      </c>
      <c r="D721" s="5" t="s">
        <v>32</v>
      </c>
      <c r="E721" s="5" t="s">
        <v>119</v>
      </c>
      <c r="F721" s="5" t="s">
        <v>75</v>
      </c>
      <c r="G721" s="5" t="s">
        <v>27</v>
      </c>
      <c r="H721" s="5">
        <v>76</v>
      </c>
      <c r="I721" s="5">
        <v>624</v>
      </c>
      <c r="J721" s="5">
        <v>899</v>
      </c>
      <c r="K721" s="6">
        <f t="shared" si="44"/>
        <v>47424</v>
      </c>
      <c r="L721" s="6">
        <f t="shared" si="45"/>
        <v>68324</v>
      </c>
      <c r="M721" s="6">
        <f t="shared" si="46"/>
        <v>20900</v>
      </c>
      <c r="N721" s="6" t="str">
        <f t="shared" si="47"/>
        <v>profit</v>
      </c>
    </row>
    <row r="722" spans="1:14" ht="15.6" thickTop="1" thickBot="1" x14ac:dyDescent="0.35">
      <c r="A722" s="4">
        <v>45441</v>
      </c>
      <c r="B722" s="4" t="s">
        <v>96</v>
      </c>
      <c r="C722" s="5" t="s">
        <v>107</v>
      </c>
      <c r="D722" s="5" t="s">
        <v>32</v>
      </c>
      <c r="E722" s="5" t="s">
        <v>98</v>
      </c>
      <c r="F722" s="5" t="s">
        <v>53</v>
      </c>
      <c r="G722" s="5" t="s">
        <v>27</v>
      </c>
      <c r="H722" s="5">
        <v>59</v>
      </c>
      <c r="I722" s="5">
        <v>716</v>
      </c>
      <c r="J722" s="5">
        <v>1257</v>
      </c>
      <c r="K722" s="6">
        <f t="shared" si="44"/>
        <v>42244</v>
      </c>
      <c r="L722" s="6">
        <f t="shared" si="45"/>
        <v>74163</v>
      </c>
      <c r="M722" s="6">
        <f t="shared" si="46"/>
        <v>31919</v>
      </c>
      <c r="N722" s="6" t="str">
        <f t="shared" si="47"/>
        <v>profit</v>
      </c>
    </row>
    <row r="723" spans="1:14" ht="15.6" thickTop="1" thickBot="1" x14ac:dyDescent="0.35">
      <c r="A723" s="4">
        <v>45468</v>
      </c>
      <c r="B723" s="4" t="s">
        <v>13</v>
      </c>
      <c r="C723" s="5" t="s">
        <v>291</v>
      </c>
      <c r="D723" s="5" t="s">
        <v>32</v>
      </c>
      <c r="E723" s="5" t="s">
        <v>119</v>
      </c>
      <c r="F723" s="5" t="s">
        <v>77</v>
      </c>
      <c r="G723" s="5" t="s">
        <v>27</v>
      </c>
      <c r="H723" s="5">
        <v>99</v>
      </c>
      <c r="I723" s="5">
        <v>598</v>
      </c>
      <c r="J723" s="5">
        <v>1404</v>
      </c>
      <c r="K723" s="6">
        <f t="shared" si="44"/>
        <v>59202</v>
      </c>
      <c r="L723" s="6">
        <f t="shared" si="45"/>
        <v>138996</v>
      </c>
      <c r="M723" s="6">
        <f t="shared" si="46"/>
        <v>79794</v>
      </c>
      <c r="N723" s="6" t="str">
        <f t="shared" si="47"/>
        <v>profit</v>
      </c>
    </row>
    <row r="724" spans="1:14" ht="15.6" thickTop="1" thickBot="1" x14ac:dyDescent="0.35">
      <c r="A724" s="4">
        <v>45469</v>
      </c>
      <c r="B724" s="4" t="s">
        <v>13</v>
      </c>
      <c r="C724" s="5" t="s">
        <v>292</v>
      </c>
      <c r="D724" s="5" t="s">
        <v>32</v>
      </c>
      <c r="E724" s="5" t="s">
        <v>119</v>
      </c>
      <c r="F724" s="5" t="s">
        <v>34</v>
      </c>
      <c r="G724" s="5" t="s">
        <v>27</v>
      </c>
      <c r="H724" s="5">
        <v>78</v>
      </c>
      <c r="I724" s="5">
        <v>761</v>
      </c>
      <c r="J724" s="5">
        <v>1174</v>
      </c>
      <c r="K724" s="6">
        <f t="shared" si="44"/>
        <v>59358</v>
      </c>
      <c r="L724" s="6">
        <f t="shared" si="45"/>
        <v>91572</v>
      </c>
      <c r="M724" s="6">
        <f t="shared" si="46"/>
        <v>32214</v>
      </c>
      <c r="N724" s="6" t="str">
        <f t="shared" si="47"/>
        <v>profit</v>
      </c>
    </row>
    <row r="725" spans="1:14" ht="15.6" thickTop="1" thickBot="1" x14ac:dyDescent="0.35">
      <c r="A725" s="4">
        <v>45470</v>
      </c>
      <c r="B725" s="4" t="s">
        <v>13</v>
      </c>
      <c r="C725" s="5" t="s">
        <v>293</v>
      </c>
      <c r="D725" s="5" t="s">
        <v>32</v>
      </c>
      <c r="E725" s="5" t="s">
        <v>119</v>
      </c>
      <c r="F725" s="5" t="s">
        <v>43</v>
      </c>
      <c r="G725" s="5" t="s">
        <v>27</v>
      </c>
      <c r="H725" s="5">
        <v>96</v>
      </c>
      <c r="I725" s="5">
        <v>512</v>
      </c>
      <c r="J725" s="5">
        <v>970</v>
      </c>
      <c r="K725" s="6">
        <f t="shared" si="44"/>
        <v>49152</v>
      </c>
      <c r="L725" s="6">
        <f t="shared" si="45"/>
        <v>93120</v>
      </c>
      <c r="M725" s="6">
        <f t="shared" si="46"/>
        <v>43968</v>
      </c>
      <c r="N725" s="6" t="str">
        <f t="shared" si="47"/>
        <v>profit</v>
      </c>
    </row>
    <row r="726" spans="1:14" ht="15.6" thickTop="1" thickBot="1" x14ac:dyDescent="0.35">
      <c r="A726" s="4">
        <v>45471</v>
      </c>
      <c r="B726" s="4" t="s">
        <v>13</v>
      </c>
      <c r="C726" s="5" t="s">
        <v>294</v>
      </c>
      <c r="D726" s="5" t="s">
        <v>32</v>
      </c>
      <c r="E726" s="5" t="s">
        <v>119</v>
      </c>
      <c r="F726" s="5" t="s">
        <v>59</v>
      </c>
      <c r="G726" s="5" t="s">
        <v>27</v>
      </c>
      <c r="H726" s="5">
        <v>85</v>
      </c>
      <c r="I726" s="5">
        <v>765</v>
      </c>
      <c r="J726" s="5">
        <v>1024</v>
      </c>
      <c r="K726" s="6">
        <f t="shared" si="44"/>
        <v>65025</v>
      </c>
      <c r="L726" s="6">
        <f t="shared" si="45"/>
        <v>87040</v>
      </c>
      <c r="M726" s="6">
        <f t="shared" si="46"/>
        <v>22015</v>
      </c>
      <c r="N726" s="6" t="str">
        <f t="shared" si="47"/>
        <v>profit</v>
      </c>
    </row>
    <row r="727" spans="1:14" ht="15.6" thickTop="1" thickBot="1" x14ac:dyDescent="0.35">
      <c r="A727" s="4">
        <v>45495</v>
      </c>
      <c r="B727" s="4" t="s">
        <v>39</v>
      </c>
      <c r="C727" s="5" t="s">
        <v>295</v>
      </c>
      <c r="D727" s="5" t="s">
        <v>32</v>
      </c>
      <c r="E727" s="5" t="s">
        <v>98</v>
      </c>
      <c r="F727" s="5" t="s">
        <v>20</v>
      </c>
      <c r="G727" s="5" t="s">
        <v>18</v>
      </c>
      <c r="H727" s="5">
        <v>59</v>
      </c>
      <c r="I727" s="5">
        <v>663</v>
      </c>
      <c r="J727" s="5">
        <v>872</v>
      </c>
      <c r="K727" s="6">
        <f t="shared" si="44"/>
        <v>39117</v>
      </c>
      <c r="L727" s="6">
        <f t="shared" si="45"/>
        <v>51448</v>
      </c>
      <c r="M727" s="6">
        <f t="shared" si="46"/>
        <v>12331</v>
      </c>
      <c r="N727" s="6" t="str">
        <f t="shared" si="47"/>
        <v>profit</v>
      </c>
    </row>
    <row r="728" spans="1:14" ht="15.6" thickTop="1" thickBot="1" x14ac:dyDescent="0.35">
      <c r="A728" s="4">
        <v>45496</v>
      </c>
      <c r="B728" s="4" t="s">
        <v>39</v>
      </c>
      <c r="C728" s="5" t="s">
        <v>296</v>
      </c>
      <c r="D728" s="5" t="s">
        <v>32</v>
      </c>
      <c r="E728" s="5" t="s">
        <v>98</v>
      </c>
      <c r="F728" s="5" t="s">
        <v>22</v>
      </c>
      <c r="G728" s="5" t="s">
        <v>18</v>
      </c>
      <c r="H728" s="5">
        <v>75</v>
      </c>
      <c r="I728" s="5">
        <v>871</v>
      </c>
      <c r="J728" s="5">
        <v>1274</v>
      </c>
      <c r="K728" s="6">
        <f t="shared" si="44"/>
        <v>65325</v>
      </c>
      <c r="L728" s="6">
        <f t="shared" si="45"/>
        <v>95550</v>
      </c>
      <c r="M728" s="6">
        <f t="shared" si="46"/>
        <v>30225</v>
      </c>
      <c r="N728" s="6" t="str">
        <f t="shared" si="47"/>
        <v>profit</v>
      </c>
    </row>
    <row r="729" spans="1:14" ht="15.6" thickTop="1" thickBot="1" x14ac:dyDescent="0.35">
      <c r="A729" s="4">
        <v>45497</v>
      </c>
      <c r="B729" s="4" t="s">
        <v>39</v>
      </c>
      <c r="C729" s="5" t="s">
        <v>297</v>
      </c>
      <c r="D729" s="5" t="s">
        <v>32</v>
      </c>
      <c r="E729" s="5" t="s">
        <v>98</v>
      </c>
      <c r="F729" s="5" t="s">
        <v>24</v>
      </c>
      <c r="G729" s="5" t="s">
        <v>18</v>
      </c>
      <c r="H729" s="5">
        <v>87</v>
      </c>
      <c r="I729" s="5">
        <v>869</v>
      </c>
      <c r="J729" s="5">
        <v>1247</v>
      </c>
      <c r="K729" s="6">
        <f t="shared" si="44"/>
        <v>75603</v>
      </c>
      <c r="L729" s="6">
        <f t="shared" si="45"/>
        <v>108489</v>
      </c>
      <c r="M729" s="6">
        <f t="shared" si="46"/>
        <v>32886</v>
      </c>
      <c r="N729" s="6" t="str">
        <f t="shared" si="47"/>
        <v>profit</v>
      </c>
    </row>
    <row r="730" spans="1:14" ht="15.6" thickTop="1" thickBot="1" x14ac:dyDescent="0.35">
      <c r="A730" s="4">
        <v>45498</v>
      </c>
      <c r="B730" s="4" t="s">
        <v>39</v>
      </c>
      <c r="C730" s="5" t="s">
        <v>298</v>
      </c>
      <c r="D730" s="5" t="s">
        <v>32</v>
      </c>
      <c r="E730" s="5" t="s">
        <v>98</v>
      </c>
      <c r="F730" s="5" t="s">
        <v>24</v>
      </c>
      <c r="G730" s="5" t="s">
        <v>18</v>
      </c>
      <c r="H730" s="5">
        <v>100</v>
      </c>
      <c r="I730" s="5">
        <v>605</v>
      </c>
      <c r="J730" s="5">
        <v>1249</v>
      </c>
      <c r="K730" s="6">
        <f t="shared" si="44"/>
        <v>60500</v>
      </c>
      <c r="L730" s="6">
        <f t="shared" si="45"/>
        <v>124900</v>
      </c>
      <c r="M730" s="6">
        <f t="shared" si="46"/>
        <v>64400</v>
      </c>
      <c r="N730" s="6" t="str">
        <f t="shared" si="47"/>
        <v>profit</v>
      </c>
    </row>
    <row r="731" spans="1:14" ht="15.6" thickTop="1" thickBot="1" x14ac:dyDescent="0.35">
      <c r="A731" s="4">
        <v>45499</v>
      </c>
      <c r="B731" s="4" t="s">
        <v>39</v>
      </c>
      <c r="C731" s="5" t="s">
        <v>299</v>
      </c>
      <c r="D731" s="5" t="s">
        <v>32</v>
      </c>
      <c r="E731" s="5" t="s">
        <v>98</v>
      </c>
      <c r="F731" s="5" t="s">
        <v>26</v>
      </c>
      <c r="G731" s="5" t="s">
        <v>18</v>
      </c>
      <c r="H731" s="5">
        <v>51</v>
      </c>
      <c r="I731" s="5">
        <v>798</v>
      </c>
      <c r="J731" s="5">
        <v>910</v>
      </c>
      <c r="K731" s="6">
        <f t="shared" si="44"/>
        <v>40698</v>
      </c>
      <c r="L731" s="6">
        <f t="shared" si="45"/>
        <v>46410</v>
      </c>
      <c r="M731" s="6">
        <f t="shared" si="46"/>
        <v>5712</v>
      </c>
      <c r="N731" s="6" t="str">
        <f t="shared" si="47"/>
        <v>profit</v>
      </c>
    </row>
    <row r="732" spans="1:14" ht="15.6" thickTop="1" thickBot="1" x14ac:dyDescent="0.35">
      <c r="A732" s="4">
        <v>45500</v>
      </c>
      <c r="B732" s="4" t="s">
        <v>39</v>
      </c>
      <c r="C732" s="5" t="s">
        <v>300</v>
      </c>
      <c r="D732" s="5" t="s">
        <v>32</v>
      </c>
      <c r="E732" s="5" t="s">
        <v>98</v>
      </c>
      <c r="F732" s="5" t="s">
        <v>29</v>
      </c>
      <c r="G732" s="5" t="s">
        <v>18</v>
      </c>
      <c r="H732" s="5">
        <v>52</v>
      </c>
      <c r="I732" s="5">
        <v>984</v>
      </c>
      <c r="J732" s="5">
        <v>992</v>
      </c>
      <c r="K732" s="6">
        <f t="shared" si="44"/>
        <v>51168</v>
      </c>
      <c r="L732" s="6">
        <f t="shared" si="45"/>
        <v>51584</v>
      </c>
      <c r="M732" s="6">
        <f t="shared" si="46"/>
        <v>416</v>
      </c>
      <c r="N732" s="6" t="str">
        <f t="shared" si="47"/>
        <v>profit</v>
      </c>
    </row>
    <row r="733" spans="1:14" ht="15.6" thickTop="1" thickBot="1" x14ac:dyDescent="0.35">
      <c r="A733" s="4">
        <v>45501</v>
      </c>
      <c r="B733" s="4" t="s">
        <v>39</v>
      </c>
      <c r="C733" s="5" t="s">
        <v>301</v>
      </c>
      <c r="D733" s="5" t="s">
        <v>32</v>
      </c>
      <c r="E733" s="5" t="s">
        <v>98</v>
      </c>
      <c r="F733" s="5" t="s">
        <v>24</v>
      </c>
      <c r="G733" s="5" t="s">
        <v>18</v>
      </c>
      <c r="H733" s="5">
        <v>97</v>
      </c>
      <c r="I733" s="5">
        <v>565</v>
      </c>
      <c r="J733" s="5">
        <v>995</v>
      </c>
      <c r="K733" s="6">
        <f t="shared" si="44"/>
        <v>54805</v>
      </c>
      <c r="L733" s="6">
        <f t="shared" si="45"/>
        <v>96515</v>
      </c>
      <c r="M733" s="6">
        <f t="shared" si="46"/>
        <v>41710</v>
      </c>
      <c r="N733" s="6" t="str">
        <f t="shared" si="47"/>
        <v>profit</v>
      </c>
    </row>
    <row r="734" spans="1:14" ht="15.6" thickTop="1" thickBot="1" x14ac:dyDescent="0.35">
      <c r="A734" s="4">
        <v>45502</v>
      </c>
      <c r="B734" s="4" t="s">
        <v>39</v>
      </c>
      <c r="C734" s="5" t="s">
        <v>302</v>
      </c>
      <c r="D734" s="5" t="s">
        <v>32</v>
      </c>
      <c r="E734" s="5" t="s">
        <v>98</v>
      </c>
      <c r="F734" s="5" t="s">
        <v>75</v>
      </c>
      <c r="G734" s="5" t="s">
        <v>18</v>
      </c>
      <c r="H734" s="5">
        <v>58</v>
      </c>
      <c r="I734" s="5">
        <v>799</v>
      </c>
      <c r="J734" s="5">
        <v>1273</v>
      </c>
      <c r="K734" s="6">
        <f t="shared" si="44"/>
        <v>46342</v>
      </c>
      <c r="L734" s="6">
        <f t="shared" si="45"/>
        <v>73834</v>
      </c>
      <c r="M734" s="6">
        <f t="shared" si="46"/>
        <v>27492</v>
      </c>
      <c r="N734" s="6" t="str">
        <f t="shared" si="47"/>
        <v>profit</v>
      </c>
    </row>
    <row r="735" spans="1:14" ht="15.6" thickTop="1" thickBot="1" x14ac:dyDescent="0.35">
      <c r="A735" s="4">
        <v>45503</v>
      </c>
      <c r="B735" s="4" t="s">
        <v>39</v>
      </c>
      <c r="C735" s="5" t="s">
        <v>303</v>
      </c>
      <c r="D735" s="5" t="s">
        <v>32</v>
      </c>
      <c r="E735" s="5" t="s">
        <v>98</v>
      </c>
      <c r="F735" s="5" t="s">
        <v>70</v>
      </c>
      <c r="G735" s="5" t="s">
        <v>27</v>
      </c>
      <c r="H735" s="5">
        <v>69</v>
      </c>
      <c r="I735" s="5">
        <v>524</v>
      </c>
      <c r="J735" s="5">
        <v>893</v>
      </c>
      <c r="K735" s="6">
        <f t="shared" si="44"/>
        <v>36156</v>
      </c>
      <c r="L735" s="6">
        <f t="shared" si="45"/>
        <v>61617</v>
      </c>
      <c r="M735" s="6">
        <f t="shared" si="46"/>
        <v>25461</v>
      </c>
      <c r="N735" s="6" t="str">
        <f t="shared" si="47"/>
        <v>profit</v>
      </c>
    </row>
    <row r="736" spans="1:14" ht="15.6" thickTop="1" thickBot="1" x14ac:dyDescent="0.35">
      <c r="A736" s="4">
        <v>45504</v>
      </c>
      <c r="B736" s="4" t="s">
        <v>39</v>
      </c>
      <c r="C736" s="5" t="s">
        <v>304</v>
      </c>
      <c r="D736" s="5" t="s">
        <v>32</v>
      </c>
      <c r="E736" s="5" t="s">
        <v>98</v>
      </c>
      <c r="F736" s="5" t="s">
        <v>43</v>
      </c>
      <c r="G736" s="5" t="s">
        <v>27</v>
      </c>
      <c r="H736" s="5">
        <v>81</v>
      </c>
      <c r="I736" s="5">
        <v>903</v>
      </c>
      <c r="J736" s="5">
        <v>1306</v>
      </c>
      <c r="K736" s="6">
        <f t="shared" si="44"/>
        <v>73143</v>
      </c>
      <c r="L736" s="6">
        <f t="shared" si="45"/>
        <v>105786</v>
      </c>
      <c r="M736" s="6">
        <f t="shared" si="46"/>
        <v>32643</v>
      </c>
      <c r="N736" s="6" t="str">
        <f t="shared" si="47"/>
        <v>profit</v>
      </c>
    </row>
    <row r="737" spans="1:14" ht="15.6" thickTop="1" thickBot="1" x14ac:dyDescent="0.35">
      <c r="A737" s="4">
        <v>45505</v>
      </c>
      <c r="B737" s="4" t="s">
        <v>56</v>
      </c>
      <c r="C737" s="5" t="s">
        <v>305</v>
      </c>
      <c r="D737" s="5" t="s">
        <v>32</v>
      </c>
      <c r="E737" s="5" t="s">
        <v>98</v>
      </c>
      <c r="F737" s="5" t="s">
        <v>24</v>
      </c>
      <c r="G737" s="5" t="s">
        <v>27</v>
      </c>
      <c r="H737" s="5">
        <v>89</v>
      </c>
      <c r="I737" s="5">
        <v>584</v>
      </c>
      <c r="J737" s="5">
        <v>777</v>
      </c>
      <c r="K737" s="6">
        <f t="shared" si="44"/>
        <v>51976</v>
      </c>
      <c r="L737" s="6">
        <f t="shared" si="45"/>
        <v>69153</v>
      </c>
      <c r="M737" s="6">
        <f t="shared" si="46"/>
        <v>17177</v>
      </c>
      <c r="N737" s="6" t="str">
        <f t="shared" si="47"/>
        <v>profit</v>
      </c>
    </row>
    <row r="738" spans="1:14" ht="15.6" thickTop="1" thickBot="1" x14ac:dyDescent="0.35">
      <c r="A738" s="4">
        <v>45506</v>
      </c>
      <c r="B738" s="4" t="s">
        <v>56</v>
      </c>
      <c r="C738" s="5" t="s">
        <v>306</v>
      </c>
      <c r="D738" s="5" t="s">
        <v>32</v>
      </c>
      <c r="E738" s="5" t="s">
        <v>98</v>
      </c>
      <c r="F738" s="5" t="s">
        <v>63</v>
      </c>
      <c r="G738" s="5" t="s">
        <v>27</v>
      </c>
      <c r="H738" s="5">
        <v>75</v>
      </c>
      <c r="I738" s="5">
        <v>906</v>
      </c>
      <c r="J738" s="5">
        <v>954</v>
      </c>
      <c r="K738" s="6">
        <f t="shared" si="44"/>
        <v>67950</v>
      </c>
      <c r="L738" s="6">
        <f t="shared" si="45"/>
        <v>71550</v>
      </c>
      <c r="M738" s="6">
        <f t="shared" si="46"/>
        <v>3600</v>
      </c>
      <c r="N738" s="6" t="str">
        <f t="shared" si="47"/>
        <v>profit</v>
      </c>
    </row>
    <row r="739" spans="1:14" ht="15.6" thickTop="1" thickBot="1" x14ac:dyDescent="0.35">
      <c r="A739" s="4">
        <v>45458</v>
      </c>
      <c r="B739" s="4" t="s">
        <v>13</v>
      </c>
      <c r="C739" s="5" t="s">
        <v>113</v>
      </c>
      <c r="D739" s="5" t="s">
        <v>15</v>
      </c>
      <c r="E739" s="5" t="s">
        <v>16</v>
      </c>
      <c r="F739" s="5" t="s">
        <v>24</v>
      </c>
      <c r="G739" s="5" t="s">
        <v>18</v>
      </c>
      <c r="H739" s="5">
        <v>17</v>
      </c>
      <c r="I739" s="5">
        <v>901</v>
      </c>
      <c r="J739" s="5">
        <v>1283</v>
      </c>
      <c r="K739" s="6">
        <f t="shared" si="44"/>
        <v>15317</v>
      </c>
      <c r="L739" s="6">
        <f t="shared" si="45"/>
        <v>21811</v>
      </c>
      <c r="M739" s="6">
        <f t="shared" si="46"/>
        <v>6494</v>
      </c>
      <c r="N739" s="6" t="str">
        <f t="shared" si="47"/>
        <v>profit</v>
      </c>
    </row>
    <row r="740" spans="1:14" ht="15.6" thickTop="1" thickBot="1" x14ac:dyDescent="0.35">
      <c r="A740" s="4">
        <v>45508</v>
      </c>
      <c r="B740" s="4" t="s">
        <v>56</v>
      </c>
      <c r="C740" s="5" t="s">
        <v>307</v>
      </c>
      <c r="D740" s="5" t="s">
        <v>32</v>
      </c>
      <c r="E740" s="5" t="s">
        <v>119</v>
      </c>
      <c r="F740" s="5" t="s">
        <v>77</v>
      </c>
      <c r="G740" s="5" t="s">
        <v>18</v>
      </c>
      <c r="H740" s="5">
        <v>98</v>
      </c>
      <c r="I740" s="5">
        <v>925</v>
      </c>
      <c r="J740" s="5">
        <v>904</v>
      </c>
      <c r="K740" s="6">
        <f t="shared" si="44"/>
        <v>90650</v>
      </c>
      <c r="L740" s="6">
        <f t="shared" si="45"/>
        <v>88592</v>
      </c>
      <c r="M740" s="6">
        <f t="shared" si="46"/>
        <v>-2058</v>
      </c>
      <c r="N740" s="6" t="str">
        <f t="shared" si="47"/>
        <v>loss</v>
      </c>
    </row>
    <row r="741" spans="1:14" ht="15.6" thickTop="1" thickBot="1" x14ac:dyDescent="0.35">
      <c r="A741" s="4">
        <v>45509</v>
      </c>
      <c r="B741" s="4" t="s">
        <v>56</v>
      </c>
      <c r="C741" s="5" t="s">
        <v>308</v>
      </c>
      <c r="D741" s="5" t="s">
        <v>32</v>
      </c>
      <c r="E741" s="5" t="s">
        <v>119</v>
      </c>
      <c r="F741" s="5" t="s">
        <v>34</v>
      </c>
      <c r="G741" s="5" t="s">
        <v>18</v>
      </c>
      <c r="H741" s="5">
        <v>73</v>
      </c>
      <c r="I741" s="5">
        <v>508</v>
      </c>
      <c r="J741" s="5">
        <v>1324</v>
      </c>
      <c r="K741" s="6">
        <f t="shared" si="44"/>
        <v>37084</v>
      </c>
      <c r="L741" s="6">
        <f t="shared" si="45"/>
        <v>96652</v>
      </c>
      <c r="M741" s="6">
        <f t="shared" si="46"/>
        <v>59568</v>
      </c>
      <c r="N741" s="6" t="str">
        <f t="shared" si="47"/>
        <v>profit</v>
      </c>
    </row>
    <row r="742" spans="1:14" ht="15.6" thickTop="1" thickBot="1" x14ac:dyDescent="0.35">
      <c r="A742" s="4">
        <v>45528</v>
      </c>
      <c r="B742" s="4" t="s">
        <v>56</v>
      </c>
      <c r="C742" s="5" t="s">
        <v>309</v>
      </c>
      <c r="D742" s="5" t="s">
        <v>32</v>
      </c>
      <c r="E742" s="5" t="s">
        <v>98</v>
      </c>
      <c r="F742" s="5" t="s">
        <v>38</v>
      </c>
      <c r="G742" s="5" t="s">
        <v>18</v>
      </c>
      <c r="H742" s="5">
        <v>87</v>
      </c>
      <c r="I742" s="5">
        <v>876</v>
      </c>
      <c r="J742" s="5">
        <v>880</v>
      </c>
      <c r="K742" s="6">
        <f t="shared" si="44"/>
        <v>76212</v>
      </c>
      <c r="L742" s="6">
        <f t="shared" si="45"/>
        <v>76560</v>
      </c>
      <c r="M742" s="6">
        <f t="shared" si="46"/>
        <v>348</v>
      </c>
      <c r="N742" s="6" t="str">
        <f t="shared" si="47"/>
        <v>profit</v>
      </c>
    </row>
    <row r="743" spans="1:14" ht="15.6" thickTop="1" thickBot="1" x14ac:dyDescent="0.35">
      <c r="A743" s="4">
        <v>45529</v>
      </c>
      <c r="B743" s="4" t="s">
        <v>56</v>
      </c>
      <c r="C743" s="5" t="s">
        <v>310</v>
      </c>
      <c r="D743" s="5" t="s">
        <v>32</v>
      </c>
      <c r="E743" s="5" t="s">
        <v>98</v>
      </c>
      <c r="F743" s="5" t="s">
        <v>29</v>
      </c>
      <c r="G743" s="5" t="s">
        <v>18</v>
      </c>
      <c r="H743" s="5">
        <v>69</v>
      </c>
      <c r="I743" s="5">
        <v>993</v>
      </c>
      <c r="J743" s="5">
        <v>862</v>
      </c>
      <c r="K743" s="6">
        <f t="shared" si="44"/>
        <v>68517</v>
      </c>
      <c r="L743" s="6">
        <f t="shared" si="45"/>
        <v>59478</v>
      </c>
      <c r="M743" s="6">
        <f t="shared" si="46"/>
        <v>-9039</v>
      </c>
      <c r="N743" s="6" t="str">
        <f t="shared" si="47"/>
        <v>loss</v>
      </c>
    </row>
    <row r="744" spans="1:14" ht="15.6" thickTop="1" thickBot="1" x14ac:dyDescent="0.35">
      <c r="A744" s="4">
        <v>45530</v>
      </c>
      <c r="B744" s="4" t="s">
        <v>56</v>
      </c>
      <c r="C744" s="5" t="s">
        <v>311</v>
      </c>
      <c r="D744" s="5" t="s">
        <v>32</v>
      </c>
      <c r="E744" s="5" t="s">
        <v>98</v>
      </c>
      <c r="F744" s="5" t="s">
        <v>112</v>
      </c>
      <c r="G744" s="5" t="s">
        <v>18</v>
      </c>
      <c r="H744" s="5">
        <v>62</v>
      </c>
      <c r="I744" s="5">
        <v>781</v>
      </c>
      <c r="J744" s="5">
        <v>946</v>
      </c>
      <c r="K744" s="6">
        <f t="shared" si="44"/>
        <v>48422</v>
      </c>
      <c r="L744" s="6">
        <f t="shared" si="45"/>
        <v>58652</v>
      </c>
      <c r="M744" s="6">
        <f t="shared" si="46"/>
        <v>10230</v>
      </c>
      <c r="N744" s="6" t="str">
        <f t="shared" si="47"/>
        <v>profit</v>
      </c>
    </row>
    <row r="745" spans="1:14" ht="15.6" thickTop="1" thickBot="1" x14ac:dyDescent="0.35">
      <c r="A745" s="4">
        <v>45464</v>
      </c>
      <c r="B745" s="4" t="s">
        <v>13</v>
      </c>
      <c r="C745" s="5" t="s">
        <v>114</v>
      </c>
      <c r="D745" s="5" t="s">
        <v>32</v>
      </c>
      <c r="E745" s="5" t="s">
        <v>98</v>
      </c>
      <c r="F745" s="5" t="s">
        <v>43</v>
      </c>
      <c r="G745" s="5" t="s">
        <v>18</v>
      </c>
      <c r="H745" s="5">
        <v>83</v>
      </c>
      <c r="I745" s="5">
        <v>889</v>
      </c>
      <c r="J745" s="5">
        <v>1075</v>
      </c>
      <c r="K745" s="6">
        <f t="shared" si="44"/>
        <v>73787</v>
      </c>
      <c r="L745" s="6">
        <f t="shared" si="45"/>
        <v>89225</v>
      </c>
      <c r="M745" s="6">
        <f t="shared" si="46"/>
        <v>15438</v>
      </c>
      <c r="N745" s="6" t="str">
        <f t="shared" si="47"/>
        <v>profit</v>
      </c>
    </row>
    <row r="746" spans="1:14" ht="15.6" thickTop="1" thickBot="1" x14ac:dyDescent="0.35">
      <c r="A746" s="4">
        <v>45531</v>
      </c>
      <c r="B746" s="4" t="s">
        <v>56</v>
      </c>
      <c r="C746" s="5" t="s">
        <v>312</v>
      </c>
      <c r="D746" s="5" t="s">
        <v>32</v>
      </c>
      <c r="E746" s="5" t="s">
        <v>98</v>
      </c>
      <c r="F746" s="5" t="s">
        <v>43</v>
      </c>
      <c r="G746" s="5" t="s">
        <v>18</v>
      </c>
      <c r="H746" s="5">
        <v>63</v>
      </c>
      <c r="I746" s="5">
        <v>718</v>
      </c>
      <c r="J746" s="5">
        <v>1047</v>
      </c>
      <c r="K746" s="6">
        <f t="shared" si="44"/>
        <v>45234</v>
      </c>
      <c r="L746" s="6">
        <f t="shared" si="45"/>
        <v>65961</v>
      </c>
      <c r="M746" s="6">
        <f t="shared" si="46"/>
        <v>20727</v>
      </c>
      <c r="N746" s="6" t="str">
        <f t="shared" si="47"/>
        <v>profit</v>
      </c>
    </row>
    <row r="747" spans="1:14" ht="15.6" thickTop="1" thickBot="1" x14ac:dyDescent="0.35">
      <c r="A747" s="4">
        <v>45532</v>
      </c>
      <c r="B747" s="4" t="s">
        <v>56</v>
      </c>
      <c r="C747" s="5" t="s">
        <v>313</v>
      </c>
      <c r="D747" s="5" t="s">
        <v>32</v>
      </c>
      <c r="E747" s="5" t="s">
        <v>98</v>
      </c>
      <c r="F747" s="5" t="s">
        <v>152</v>
      </c>
      <c r="G747" s="5" t="s">
        <v>18</v>
      </c>
      <c r="H747" s="5">
        <v>72</v>
      </c>
      <c r="I747" s="5">
        <v>673</v>
      </c>
      <c r="J747" s="5">
        <v>1027</v>
      </c>
      <c r="K747" s="6">
        <f t="shared" si="44"/>
        <v>48456</v>
      </c>
      <c r="L747" s="6">
        <f t="shared" si="45"/>
        <v>73944</v>
      </c>
      <c r="M747" s="6">
        <f t="shared" si="46"/>
        <v>25488</v>
      </c>
      <c r="N747" s="6" t="str">
        <f t="shared" si="47"/>
        <v>profit</v>
      </c>
    </row>
    <row r="748" spans="1:14" ht="15.6" thickTop="1" thickBot="1" x14ac:dyDescent="0.35">
      <c r="A748" s="4">
        <v>45533</v>
      </c>
      <c r="B748" s="4" t="s">
        <v>56</v>
      </c>
      <c r="C748" s="5" t="s">
        <v>314</v>
      </c>
      <c r="D748" s="5" t="s">
        <v>32</v>
      </c>
      <c r="E748" s="5" t="s">
        <v>98</v>
      </c>
      <c r="F748" s="5" t="s">
        <v>154</v>
      </c>
      <c r="G748" s="5" t="s">
        <v>18</v>
      </c>
      <c r="H748" s="5">
        <v>76</v>
      </c>
      <c r="I748" s="5">
        <v>567</v>
      </c>
      <c r="J748" s="5">
        <v>897</v>
      </c>
      <c r="K748" s="6">
        <f t="shared" si="44"/>
        <v>43092</v>
      </c>
      <c r="L748" s="6">
        <f t="shared" si="45"/>
        <v>68172</v>
      </c>
      <c r="M748" s="6">
        <f t="shared" si="46"/>
        <v>25080</v>
      </c>
      <c r="N748" s="6" t="str">
        <f t="shared" si="47"/>
        <v>profit</v>
      </c>
    </row>
    <row r="749" spans="1:14" ht="15.6" thickTop="1" thickBot="1" x14ac:dyDescent="0.35">
      <c r="A749" s="4">
        <v>45534</v>
      </c>
      <c r="B749" s="4" t="s">
        <v>56</v>
      </c>
      <c r="C749" s="5" t="s">
        <v>315</v>
      </c>
      <c r="D749" s="5" t="s">
        <v>32</v>
      </c>
      <c r="E749" s="5" t="s">
        <v>98</v>
      </c>
      <c r="F749" s="5" t="s">
        <v>17</v>
      </c>
      <c r="G749" s="5" t="s">
        <v>27</v>
      </c>
      <c r="H749" s="5">
        <v>70</v>
      </c>
      <c r="I749" s="5">
        <v>751</v>
      </c>
      <c r="J749" s="5">
        <v>1026</v>
      </c>
      <c r="K749" s="6">
        <f t="shared" si="44"/>
        <v>52570</v>
      </c>
      <c r="L749" s="6">
        <f t="shared" si="45"/>
        <v>71820</v>
      </c>
      <c r="M749" s="6">
        <f t="shared" si="46"/>
        <v>19250</v>
      </c>
      <c r="N749" s="6" t="str">
        <f t="shared" si="47"/>
        <v>profit</v>
      </c>
    </row>
    <row r="750" spans="1:14" ht="15.6" thickTop="1" thickBot="1" x14ac:dyDescent="0.35">
      <c r="A750" s="4">
        <v>45536</v>
      </c>
      <c r="B750" s="4" t="s">
        <v>68</v>
      </c>
      <c r="C750" s="5" t="s">
        <v>316</v>
      </c>
      <c r="D750" s="5" t="s">
        <v>32</v>
      </c>
      <c r="E750" s="5" t="s">
        <v>98</v>
      </c>
      <c r="F750" s="5" t="s">
        <v>22</v>
      </c>
      <c r="G750" s="5" t="s">
        <v>27</v>
      </c>
      <c r="H750" s="5">
        <v>56</v>
      </c>
      <c r="I750" s="5">
        <v>559</v>
      </c>
      <c r="J750" s="5">
        <v>1151</v>
      </c>
      <c r="K750" s="6">
        <f t="shared" si="44"/>
        <v>31304</v>
      </c>
      <c r="L750" s="6">
        <f t="shared" si="45"/>
        <v>64456</v>
      </c>
      <c r="M750" s="6">
        <f t="shared" si="46"/>
        <v>33152</v>
      </c>
      <c r="N750" s="6" t="str">
        <f t="shared" si="47"/>
        <v>profit</v>
      </c>
    </row>
    <row r="751" spans="1:14" ht="15.6" thickTop="1" thickBot="1" x14ac:dyDescent="0.35">
      <c r="A751" s="4">
        <v>45537</v>
      </c>
      <c r="B751" s="4" t="s">
        <v>68</v>
      </c>
      <c r="C751" s="5" t="s">
        <v>317</v>
      </c>
      <c r="D751" s="5" t="s">
        <v>32</v>
      </c>
      <c r="E751" s="5" t="s">
        <v>119</v>
      </c>
      <c r="F751" s="5" t="s">
        <v>24</v>
      </c>
      <c r="G751" s="5" t="s">
        <v>27</v>
      </c>
      <c r="H751" s="5">
        <v>72</v>
      </c>
      <c r="I751" s="5">
        <v>719</v>
      </c>
      <c r="J751" s="5">
        <v>911</v>
      </c>
      <c r="K751" s="6">
        <f t="shared" si="44"/>
        <v>51768</v>
      </c>
      <c r="L751" s="6">
        <f t="shared" si="45"/>
        <v>65592</v>
      </c>
      <c r="M751" s="6">
        <f t="shared" si="46"/>
        <v>13824</v>
      </c>
      <c r="N751" s="6" t="str">
        <f t="shared" si="47"/>
        <v>profit</v>
      </c>
    </row>
    <row r="752" spans="1:14" ht="15.6" thickTop="1" thickBot="1" x14ac:dyDescent="0.35">
      <c r="A752" s="4">
        <v>45538</v>
      </c>
      <c r="B752" s="4" t="s">
        <v>68</v>
      </c>
      <c r="C752" s="5" t="s">
        <v>318</v>
      </c>
      <c r="D752" s="5" t="s">
        <v>32</v>
      </c>
      <c r="E752" s="5" t="s">
        <v>119</v>
      </c>
      <c r="F752" s="5" t="s">
        <v>24</v>
      </c>
      <c r="G752" s="5" t="s">
        <v>27</v>
      </c>
      <c r="H752" s="5">
        <v>89</v>
      </c>
      <c r="I752" s="5">
        <v>703</v>
      </c>
      <c r="J752" s="5">
        <v>795</v>
      </c>
      <c r="K752" s="6">
        <f t="shared" si="44"/>
        <v>62567</v>
      </c>
      <c r="L752" s="6">
        <f t="shared" si="45"/>
        <v>70755</v>
      </c>
      <c r="M752" s="6">
        <f t="shared" si="46"/>
        <v>8188</v>
      </c>
      <c r="N752" s="6" t="str">
        <f t="shared" si="47"/>
        <v>profit</v>
      </c>
    </row>
    <row r="753" spans="1:14" ht="15.6" thickTop="1" thickBot="1" x14ac:dyDescent="0.35">
      <c r="A753" s="4">
        <v>45539</v>
      </c>
      <c r="B753" s="4" t="s">
        <v>68</v>
      </c>
      <c r="C753" s="5" t="s">
        <v>319</v>
      </c>
      <c r="D753" s="5" t="s">
        <v>32</v>
      </c>
      <c r="E753" s="5" t="s">
        <v>119</v>
      </c>
      <c r="F753" s="5" t="s">
        <v>26</v>
      </c>
      <c r="G753" s="5" t="s">
        <v>18</v>
      </c>
      <c r="H753" s="5">
        <v>77</v>
      </c>
      <c r="I753" s="5">
        <v>780</v>
      </c>
      <c r="J753" s="5">
        <v>967</v>
      </c>
      <c r="K753" s="6">
        <f t="shared" si="44"/>
        <v>60060</v>
      </c>
      <c r="L753" s="6">
        <f t="shared" si="45"/>
        <v>74459</v>
      </c>
      <c r="M753" s="6">
        <f t="shared" si="46"/>
        <v>14399</v>
      </c>
      <c r="N753" s="6" t="str">
        <f t="shared" si="47"/>
        <v>profit</v>
      </c>
    </row>
    <row r="754" spans="1:14" ht="15.6" thickTop="1" thickBot="1" x14ac:dyDescent="0.35">
      <c r="A754" s="4">
        <v>45541</v>
      </c>
      <c r="B754" s="4" t="s">
        <v>68</v>
      </c>
      <c r="C754" s="5" t="s">
        <v>320</v>
      </c>
      <c r="D754" s="5" t="s">
        <v>32</v>
      </c>
      <c r="E754" s="5" t="s">
        <v>119</v>
      </c>
      <c r="F754" s="5" t="s">
        <v>24</v>
      </c>
      <c r="G754" s="5" t="s">
        <v>18</v>
      </c>
      <c r="H754" s="5">
        <v>54</v>
      </c>
      <c r="I754" s="5">
        <v>762</v>
      </c>
      <c r="J754" s="5">
        <v>1186</v>
      </c>
      <c r="K754" s="6">
        <f t="shared" si="44"/>
        <v>41148</v>
      </c>
      <c r="L754" s="6">
        <f t="shared" si="45"/>
        <v>64044</v>
      </c>
      <c r="M754" s="6">
        <f t="shared" si="46"/>
        <v>22896</v>
      </c>
      <c r="N754" s="6" t="str">
        <f t="shared" si="47"/>
        <v>profit</v>
      </c>
    </row>
    <row r="755" spans="1:14" ht="15.6" thickTop="1" thickBot="1" x14ac:dyDescent="0.35">
      <c r="A755" s="4">
        <v>45542</v>
      </c>
      <c r="B755" s="4" t="s">
        <v>68</v>
      </c>
      <c r="C755" s="5" t="s">
        <v>321</v>
      </c>
      <c r="D755" s="5" t="s">
        <v>32</v>
      </c>
      <c r="E755" s="5" t="s">
        <v>119</v>
      </c>
      <c r="F755" s="5" t="s">
        <v>75</v>
      </c>
      <c r="G755" s="5" t="s">
        <v>27</v>
      </c>
      <c r="H755" s="5">
        <v>91</v>
      </c>
      <c r="I755" s="5">
        <v>647</v>
      </c>
      <c r="J755" s="5">
        <v>1073</v>
      </c>
      <c r="K755" s="6">
        <f t="shared" si="44"/>
        <v>58877</v>
      </c>
      <c r="L755" s="6">
        <f t="shared" si="45"/>
        <v>97643</v>
      </c>
      <c r="M755" s="6">
        <f t="shared" si="46"/>
        <v>38766</v>
      </c>
      <c r="N755" s="6" t="str">
        <f t="shared" si="47"/>
        <v>profit</v>
      </c>
    </row>
    <row r="756" spans="1:14" ht="15.6" thickTop="1" thickBot="1" x14ac:dyDescent="0.35">
      <c r="A756" s="4">
        <v>45475</v>
      </c>
      <c r="B756" s="4" t="s">
        <v>39</v>
      </c>
      <c r="C756" s="5" t="s">
        <v>115</v>
      </c>
      <c r="D756" s="5" t="s">
        <v>15</v>
      </c>
      <c r="E756" s="5" t="s">
        <v>36</v>
      </c>
      <c r="F756" s="5" t="s">
        <v>43</v>
      </c>
      <c r="G756" s="5" t="s">
        <v>18</v>
      </c>
      <c r="H756" s="5">
        <v>14</v>
      </c>
      <c r="I756" s="5">
        <v>684</v>
      </c>
      <c r="J756" s="5">
        <v>1483</v>
      </c>
      <c r="K756" s="6">
        <f t="shared" si="44"/>
        <v>9576</v>
      </c>
      <c r="L756" s="6">
        <f t="shared" si="45"/>
        <v>20762</v>
      </c>
      <c r="M756" s="6">
        <f t="shared" si="46"/>
        <v>11186</v>
      </c>
      <c r="N756" s="6" t="str">
        <f t="shared" si="47"/>
        <v>profit</v>
      </c>
    </row>
    <row r="757" spans="1:14" ht="15.6" thickTop="1" thickBot="1" x14ac:dyDescent="0.35">
      <c r="A757" s="4">
        <v>45555</v>
      </c>
      <c r="B757" s="4" t="s">
        <v>68</v>
      </c>
      <c r="C757" s="5" t="s">
        <v>322</v>
      </c>
      <c r="D757" s="5" t="s">
        <v>32</v>
      </c>
      <c r="E757" s="5" t="s">
        <v>119</v>
      </c>
      <c r="F757" s="5" t="s">
        <v>43</v>
      </c>
      <c r="G757" s="5" t="s">
        <v>27</v>
      </c>
      <c r="H757" s="5">
        <v>63</v>
      </c>
      <c r="I757" s="5">
        <v>720</v>
      </c>
      <c r="J757" s="5">
        <v>1458</v>
      </c>
      <c r="K757" s="6">
        <f t="shared" si="44"/>
        <v>45360</v>
      </c>
      <c r="L757" s="6">
        <f t="shared" si="45"/>
        <v>91854</v>
      </c>
      <c r="M757" s="6">
        <f t="shared" si="46"/>
        <v>46494</v>
      </c>
      <c r="N757" s="6" t="str">
        <f t="shared" si="47"/>
        <v>profit</v>
      </c>
    </row>
    <row r="758" spans="1:14" ht="15.6" thickTop="1" thickBot="1" x14ac:dyDescent="0.35">
      <c r="A758" s="4">
        <v>45556</v>
      </c>
      <c r="B758" s="4" t="s">
        <v>68</v>
      </c>
      <c r="C758" s="5" t="s">
        <v>323</v>
      </c>
      <c r="D758" s="5" t="s">
        <v>32</v>
      </c>
      <c r="E758" s="5" t="s">
        <v>119</v>
      </c>
      <c r="F758" s="5" t="s">
        <v>26</v>
      </c>
      <c r="G758" s="5" t="s">
        <v>27</v>
      </c>
      <c r="H758" s="5">
        <v>66</v>
      </c>
      <c r="I758" s="5">
        <v>958</v>
      </c>
      <c r="J758" s="5">
        <v>1017</v>
      </c>
      <c r="K758" s="6">
        <f t="shared" si="44"/>
        <v>63228</v>
      </c>
      <c r="L758" s="6">
        <f t="shared" si="45"/>
        <v>67122</v>
      </c>
      <c r="M758" s="6">
        <f t="shared" si="46"/>
        <v>3894</v>
      </c>
      <c r="N758" s="6" t="str">
        <f t="shared" si="47"/>
        <v>profit</v>
      </c>
    </row>
    <row r="759" spans="1:14" ht="15.6" thickTop="1" thickBot="1" x14ac:dyDescent="0.35">
      <c r="A759" s="4">
        <v>45557</v>
      </c>
      <c r="B759" s="4" t="s">
        <v>68</v>
      </c>
      <c r="C759" s="5" t="s">
        <v>324</v>
      </c>
      <c r="D759" s="5" t="s">
        <v>32</v>
      </c>
      <c r="E759" s="5" t="s">
        <v>119</v>
      </c>
      <c r="F759" s="5" t="s">
        <v>43</v>
      </c>
      <c r="G759" s="5" t="s">
        <v>27</v>
      </c>
      <c r="H759" s="5">
        <v>54</v>
      </c>
      <c r="I759" s="5">
        <v>663</v>
      </c>
      <c r="J759" s="5">
        <v>943</v>
      </c>
      <c r="K759" s="6">
        <f t="shared" si="44"/>
        <v>35802</v>
      </c>
      <c r="L759" s="6">
        <f t="shared" si="45"/>
        <v>50922</v>
      </c>
      <c r="M759" s="6">
        <f t="shared" si="46"/>
        <v>15120</v>
      </c>
      <c r="N759" s="6" t="str">
        <f t="shared" si="47"/>
        <v>profit</v>
      </c>
    </row>
    <row r="760" spans="1:14" ht="15.6" thickTop="1" thickBot="1" x14ac:dyDescent="0.35">
      <c r="A760" s="4">
        <v>45558</v>
      </c>
      <c r="B760" s="4" t="s">
        <v>68</v>
      </c>
      <c r="C760" s="5" t="s">
        <v>325</v>
      </c>
      <c r="D760" s="5" t="s">
        <v>32</v>
      </c>
      <c r="E760" s="5" t="s">
        <v>119</v>
      </c>
      <c r="F760" s="5" t="s">
        <v>48</v>
      </c>
      <c r="G760" s="5" t="s">
        <v>18</v>
      </c>
      <c r="H760" s="5">
        <v>73</v>
      </c>
      <c r="I760" s="5">
        <v>540</v>
      </c>
      <c r="J760" s="5">
        <v>1397</v>
      </c>
      <c r="K760" s="6">
        <f t="shared" si="44"/>
        <v>39420</v>
      </c>
      <c r="L760" s="6">
        <f t="shared" si="45"/>
        <v>101981</v>
      </c>
      <c r="M760" s="6">
        <f t="shared" si="46"/>
        <v>62561</v>
      </c>
      <c r="N760" s="6" t="str">
        <f t="shared" si="47"/>
        <v>profit</v>
      </c>
    </row>
    <row r="761" spans="1:14" ht="15.6" thickTop="1" thickBot="1" x14ac:dyDescent="0.35">
      <c r="A761" s="4">
        <v>45559</v>
      </c>
      <c r="B761" s="4" t="s">
        <v>68</v>
      </c>
      <c r="C761" s="5" t="s">
        <v>326</v>
      </c>
      <c r="D761" s="5" t="s">
        <v>32</v>
      </c>
      <c r="E761" s="5" t="s">
        <v>119</v>
      </c>
      <c r="F761" s="5" t="s">
        <v>26</v>
      </c>
      <c r="G761" s="5" t="s">
        <v>27</v>
      </c>
      <c r="H761" s="5">
        <v>76</v>
      </c>
      <c r="I761" s="5">
        <v>744</v>
      </c>
      <c r="J761" s="5">
        <v>1145</v>
      </c>
      <c r="K761" s="6">
        <f t="shared" si="44"/>
        <v>56544</v>
      </c>
      <c r="L761" s="6">
        <f t="shared" si="45"/>
        <v>87020</v>
      </c>
      <c r="M761" s="6">
        <f t="shared" si="46"/>
        <v>30476</v>
      </c>
      <c r="N761" s="6" t="str">
        <f t="shared" si="47"/>
        <v>profit</v>
      </c>
    </row>
    <row r="762" spans="1:14" ht="15.6" thickTop="1" thickBot="1" x14ac:dyDescent="0.35">
      <c r="A762" s="4">
        <v>45560</v>
      </c>
      <c r="B762" s="4" t="s">
        <v>68</v>
      </c>
      <c r="C762" s="5" t="s">
        <v>327</v>
      </c>
      <c r="D762" s="5" t="s">
        <v>32</v>
      </c>
      <c r="E762" s="5" t="s">
        <v>119</v>
      </c>
      <c r="F762" s="5" t="s">
        <v>51</v>
      </c>
      <c r="G762" s="5" t="s">
        <v>27</v>
      </c>
      <c r="H762" s="5">
        <v>94</v>
      </c>
      <c r="I762" s="5">
        <v>874</v>
      </c>
      <c r="J762" s="5">
        <v>895</v>
      </c>
      <c r="K762" s="6">
        <f t="shared" si="44"/>
        <v>82156</v>
      </c>
      <c r="L762" s="6">
        <f t="shared" si="45"/>
        <v>84130</v>
      </c>
      <c r="M762" s="6">
        <f t="shared" si="46"/>
        <v>1974</v>
      </c>
      <c r="N762" s="6" t="str">
        <f t="shared" si="47"/>
        <v>profit</v>
      </c>
    </row>
    <row r="763" spans="1:14" ht="15.6" thickTop="1" thickBot="1" x14ac:dyDescent="0.35">
      <c r="A763" s="4">
        <v>45561</v>
      </c>
      <c r="B763" s="4" t="s">
        <v>68</v>
      </c>
      <c r="C763" s="5" t="s">
        <v>328</v>
      </c>
      <c r="D763" s="5" t="s">
        <v>32</v>
      </c>
      <c r="E763" s="5" t="s">
        <v>119</v>
      </c>
      <c r="F763" s="5" t="s">
        <v>53</v>
      </c>
      <c r="G763" s="5" t="s">
        <v>27</v>
      </c>
      <c r="H763" s="5">
        <v>97</v>
      </c>
      <c r="I763" s="5">
        <v>752</v>
      </c>
      <c r="J763" s="5">
        <v>1286</v>
      </c>
      <c r="K763" s="6">
        <f t="shared" si="44"/>
        <v>72944</v>
      </c>
      <c r="L763" s="6">
        <f t="shared" si="45"/>
        <v>124742</v>
      </c>
      <c r="M763" s="6">
        <f t="shared" si="46"/>
        <v>51798</v>
      </c>
      <c r="N763" s="6" t="str">
        <f t="shared" si="47"/>
        <v>profit</v>
      </c>
    </row>
    <row r="764" spans="1:14" ht="15.6" thickTop="1" thickBot="1" x14ac:dyDescent="0.35">
      <c r="A764" s="4">
        <v>45569</v>
      </c>
      <c r="B764" s="4" t="s">
        <v>84</v>
      </c>
      <c r="C764" s="5" t="s">
        <v>329</v>
      </c>
      <c r="D764" s="5" t="s">
        <v>32</v>
      </c>
      <c r="E764" s="5" t="s">
        <v>98</v>
      </c>
      <c r="F764" s="5" t="s">
        <v>29</v>
      </c>
      <c r="G764" s="5" t="s">
        <v>18</v>
      </c>
      <c r="H764" s="5">
        <v>77</v>
      </c>
      <c r="I764" s="5">
        <v>951</v>
      </c>
      <c r="J764" s="5">
        <v>1432</v>
      </c>
      <c r="K764" s="6">
        <f t="shared" si="44"/>
        <v>73227</v>
      </c>
      <c r="L764" s="6">
        <f t="shared" si="45"/>
        <v>110264</v>
      </c>
      <c r="M764" s="6">
        <f t="shared" si="46"/>
        <v>37037</v>
      </c>
      <c r="N764" s="6" t="str">
        <f t="shared" si="47"/>
        <v>profit</v>
      </c>
    </row>
    <row r="765" spans="1:14" ht="15.6" thickTop="1" thickBot="1" x14ac:dyDescent="0.35">
      <c r="A765" s="4">
        <v>45570</v>
      </c>
      <c r="B765" s="4" t="s">
        <v>84</v>
      </c>
      <c r="C765" s="5" t="s">
        <v>330</v>
      </c>
      <c r="D765" s="5" t="s">
        <v>32</v>
      </c>
      <c r="E765" s="5" t="s">
        <v>98</v>
      </c>
      <c r="F765" s="5" t="s">
        <v>112</v>
      </c>
      <c r="G765" s="5" t="s">
        <v>18</v>
      </c>
      <c r="H765" s="5">
        <v>52</v>
      </c>
      <c r="I765" s="5">
        <v>633</v>
      </c>
      <c r="J765" s="5">
        <v>1226</v>
      </c>
      <c r="K765" s="6">
        <f t="shared" si="44"/>
        <v>32916</v>
      </c>
      <c r="L765" s="6">
        <f t="shared" si="45"/>
        <v>63752</v>
      </c>
      <c r="M765" s="6">
        <f t="shared" si="46"/>
        <v>30836</v>
      </c>
      <c r="N765" s="6" t="str">
        <f t="shared" si="47"/>
        <v>profit</v>
      </c>
    </row>
    <row r="766" spans="1:14" ht="15.6" thickTop="1" thickBot="1" x14ac:dyDescent="0.35">
      <c r="A766" s="4">
        <v>45572</v>
      </c>
      <c r="B766" s="4" t="s">
        <v>84</v>
      </c>
      <c r="C766" s="5" t="s">
        <v>331</v>
      </c>
      <c r="D766" s="5" t="s">
        <v>32</v>
      </c>
      <c r="E766" s="5" t="s">
        <v>98</v>
      </c>
      <c r="F766" s="5" t="s">
        <v>152</v>
      </c>
      <c r="G766" s="5" t="s">
        <v>18</v>
      </c>
      <c r="H766" s="5">
        <v>80</v>
      </c>
      <c r="I766" s="5">
        <v>982</v>
      </c>
      <c r="J766" s="5">
        <v>1224</v>
      </c>
      <c r="K766" s="6">
        <f t="shared" si="44"/>
        <v>78560</v>
      </c>
      <c r="L766" s="6">
        <f t="shared" si="45"/>
        <v>97920</v>
      </c>
      <c r="M766" s="6">
        <f t="shared" si="46"/>
        <v>19360</v>
      </c>
      <c r="N766" s="6" t="str">
        <f t="shared" si="47"/>
        <v>profit</v>
      </c>
    </row>
    <row r="767" spans="1:14" ht="15.6" thickTop="1" thickBot="1" x14ac:dyDescent="0.35">
      <c r="A767" s="4">
        <v>45573</v>
      </c>
      <c r="B767" s="4" t="s">
        <v>84</v>
      </c>
      <c r="C767" s="5" t="s">
        <v>332</v>
      </c>
      <c r="D767" s="5" t="s">
        <v>32</v>
      </c>
      <c r="E767" s="5" t="s">
        <v>98</v>
      </c>
      <c r="F767" s="5" t="s">
        <v>154</v>
      </c>
      <c r="G767" s="5" t="s">
        <v>18</v>
      </c>
      <c r="H767" s="5">
        <v>81</v>
      </c>
      <c r="I767" s="5">
        <v>917</v>
      </c>
      <c r="J767" s="5">
        <v>1344</v>
      </c>
      <c r="K767" s="6">
        <f t="shared" si="44"/>
        <v>74277</v>
      </c>
      <c r="L767" s="6">
        <f t="shared" si="45"/>
        <v>108864</v>
      </c>
      <c r="M767" s="6">
        <f t="shared" si="46"/>
        <v>34587</v>
      </c>
      <c r="N767" s="6" t="str">
        <f t="shared" si="47"/>
        <v>profit</v>
      </c>
    </row>
    <row r="768" spans="1:14" ht="15.6" thickTop="1" thickBot="1" x14ac:dyDescent="0.35">
      <c r="A768" s="4">
        <v>45574</v>
      </c>
      <c r="B768" s="4" t="s">
        <v>84</v>
      </c>
      <c r="C768" s="5" t="s">
        <v>333</v>
      </c>
      <c r="D768" s="5" t="s">
        <v>32</v>
      </c>
      <c r="E768" s="5" t="s">
        <v>119</v>
      </c>
      <c r="F768" s="5" t="s">
        <v>17</v>
      </c>
      <c r="G768" s="5" t="s">
        <v>18</v>
      </c>
      <c r="H768" s="5">
        <v>63</v>
      </c>
      <c r="I768" s="5">
        <v>747</v>
      </c>
      <c r="J768" s="5">
        <v>778</v>
      </c>
      <c r="K768" s="6">
        <f t="shared" si="44"/>
        <v>47061</v>
      </c>
      <c r="L768" s="6">
        <f t="shared" si="45"/>
        <v>49014</v>
      </c>
      <c r="M768" s="6">
        <f t="shared" si="46"/>
        <v>1953</v>
      </c>
      <c r="N768" s="6" t="str">
        <f t="shared" si="47"/>
        <v>profit</v>
      </c>
    </row>
    <row r="769" spans="1:14" ht="15.6" thickTop="1" thickBot="1" x14ac:dyDescent="0.35">
      <c r="A769" s="4">
        <v>45488</v>
      </c>
      <c r="B769" s="4" t="s">
        <v>39</v>
      </c>
      <c r="C769" s="5" t="s">
        <v>116</v>
      </c>
      <c r="D769" s="5" t="s">
        <v>45</v>
      </c>
      <c r="E769" s="5" t="s">
        <v>117</v>
      </c>
      <c r="F769" s="5" t="s">
        <v>38</v>
      </c>
      <c r="G769" s="5" t="s">
        <v>18</v>
      </c>
      <c r="H769" s="5">
        <v>23</v>
      </c>
      <c r="I769" s="5">
        <v>559</v>
      </c>
      <c r="J769" s="5">
        <v>1456</v>
      </c>
      <c r="K769" s="6">
        <f t="shared" si="44"/>
        <v>12857</v>
      </c>
      <c r="L769" s="6">
        <f t="shared" si="45"/>
        <v>33488</v>
      </c>
      <c r="M769" s="6">
        <f t="shared" si="46"/>
        <v>20631</v>
      </c>
      <c r="N769" s="6" t="str">
        <f t="shared" si="47"/>
        <v>profit</v>
      </c>
    </row>
    <row r="770" spans="1:14" ht="15.6" thickTop="1" thickBot="1" x14ac:dyDescent="0.35">
      <c r="A770" s="4">
        <v>45575</v>
      </c>
      <c r="B770" s="4" t="s">
        <v>84</v>
      </c>
      <c r="C770" s="5" t="s">
        <v>334</v>
      </c>
      <c r="D770" s="5" t="s">
        <v>32</v>
      </c>
      <c r="E770" s="5" t="s">
        <v>119</v>
      </c>
      <c r="F770" s="5" t="s">
        <v>20</v>
      </c>
      <c r="G770" s="5" t="s">
        <v>18</v>
      </c>
      <c r="H770" s="5">
        <v>88</v>
      </c>
      <c r="I770" s="5">
        <v>978</v>
      </c>
      <c r="J770" s="5">
        <v>1231</v>
      </c>
      <c r="K770" s="6">
        <f t="shared" ref="K770:K833" si="48">H770*I770</f>
        <v>86064</v>
      </c>
      <c r="L770" s="6">
        <f t="shared" ref="L770:L833" si="49">H770*J770</f>
        <v>108328</v>
      </c>
      <c r="M770" s="6">
        <f t="shared" ref="M770:M833" si="50">L770-K770</f>
        <v>22264</v>
      </c>
      <c r="N770" s="6" t="str">
        <f t="shared" ref="N770:N833" si="51">IF(M770&gt;0,"profit","loss")</f>
        <v>profit</v>
      </c>
    </row>
    <row r="771" spans="1:14" ht="15.6" thickTop="1" thickBot="1" x14ac:dyDescent="0.35">
      <c r="A771" s="4">
        <v>45576</v>
      </c>
      <c r="B771" s="4" t="s">
        <v>84</v>
      </c>
      <c r="C771" s="5" t="s">
        <v>335</v>
      </c>
      <c r="D771" s="5" t="s">
        <v>32</v>
      </c>
      <c r="E771" s="5" t="s">
        <v>119</v>
      </c>
      <c r="F771" s="5" t="s">
        <v>22</v>
      </c>
      <c r="G771" s="5" t="s">
        <v>18</v>
      </c>
      <c r="H771" s="5">
        <v>82</v>
      </c>
      <c r="I771" s="5">
        <v>652</v>
      </c>
      <c r="J771" s="5">
        <v>994</v>
      </c>
      <c r="K771" s="6">
        <f t="shared" si="48"/>
        <v>53464</v>
      </c>
      <c r="L771" s="6">
        <f t="shared" si="49"/>
        <v>81508</v>
      </c>
      <c r="M771" s="6">
        <f t="shared" si="50"/>
        <v>28044</v>
      </c>
      <c r="N771" s="6" t="str">
        <f t="shared" si="51"/>
        <v>profit</v>
      </c>
    </row>
    <row r="772" spans="1:14" ht="15.6" thickTop="1" thickBot="1" x14ac:dyDescent="0.35">
      <c r="A772" s="4">
        <v>45577</v>
      </c>
      <c r="B772" s="4" t="s">
        <v>84</v>
      </c>
      <c r="C772" s="5" t="s">
        <v>336</v>
      </c>
      <c r="D772" s="5" t="s">
        <v>32</v>
      </c>
      <c r="E772" s="5" t="s">
        <v>119</v>
      </c>
      <c r="F772" s="5" t="s">
        <v>24</v>
      </c>
      <c r="G772" s="5" t="s">
        <v>18</v>
      </c>
      <c r="H772" s="5">
        <v>80</v>
      </c>
      <c r="I772" s="5">
        <v>841</v>
      </c>
      <c r="J772" s="5">
        <v>1490</v>
      </c>
      <c r="K772" s="6">
        <f t="shared" si="48"/>
        <v>67280</v>
      </c>
      <c r="L772" s="6">
        <f t="shared" si="49"/>
        <v>119200</v>
      </c>
      <c r="M772" s="6">
        <f t="shared" si="50"/>
        <v>51920</v>
      </c>
      <c r="N772" s="6" t="str">
        <f t="shared" si="51"/>
        <v>profit</v>
      </c>
    </row>
    <row r="773" spans="1:14" ht="15.6" thickTop="1" thickBot="1" x14ac:dyDescent="0.35">
      <c r="A773" s="4">
        <v>45579</v>
      </c>
      <c r="B773" s="4" t="s">
        <v>84</v>
      </c>
      <c r="C773" s="5" t="s">
        <v>337</v>
      </c>
      <c r="D773" s="5" t="s">
        <v>32</v>
      </c>
      <c r="E773" s="5" t="s">
        <v>119</v>
      </c>
      <c r="F773" s="5" t="s">
        <v>26</v>
      </c>
      <c r="G773" s="5" t="s">
        <v>27</v>
      </c>
      <c r="H773" s="5">
        <v>70</v>
      </c>
      <c r="I773" s="5">
        <v>798</v>
      </c>
      <c r="J773" s="5">
        <v>1318</v>
      </c>
      <c r="K773" s="6">
        <f t="shared" si="48"/>
        <v>55860</v>
      </c>
      <c r="L773" s="6">
        <f t="shared" si="49"/>
        <v>92260</v>
      </c>
      <c r="M773" s="6">
        <f t="shared" si="50"/>
        <v>36400</v>
      </c>
      <c r="N773" s="6" t="str">
        <f t="shared" si="51"/>
        <v>profit</v>
      </c>
    </row>
    <row r="774" spans="1:14" ht="15.6" thickTop="1" thickBot="1" x14ac:dyDescent="0.35">
      <c r="A774" s="4">
        <v>45592</v>
      </c>
      <c r="B774" s="4" t="s">
        <v>84</v>
      </c>
      <c r="C774" s="5" t="s">
        <v>338</v>
      </c>
      <c r="D774" s="5" t="s">
        <v>32</v>
      </c>
      <c r="E774" s="5" t="s">
        <v>33</v>
      </c>
      <c r="F774" s="5" t="s">
        <v>112</v>
      </c>
      <c r="G774" s="5" t="s">
        <v>27</v>
      </c>
      <c r="H774" s="5">
        <v>69</v>
      </c>
      <c r="I774" s="5">
        <v>921</v>
      </c>
      <c r="J774" s="5">
        <v>1177</v>
      </c>
      <c r="K774" s="6">
        <f t="shared" si="48"/>
        <v>63549</v>
      </c>
      <c r="L774" s="6">
        <f t="shared" si="49"/>
        <v>81213</v>
      </c>
      <c r="M774" s="6">
        <f t="shared" si="50"/>
        <v>17664</v>
      </c>
      <c r="N774" s="6" t="str">
        <f t="shared" si="51"/>
        <v>profit</v>
      </c>
    </row>
    <row r="775" spans="1:14" ht="15.6" thickTop="1" thickBot="1" x14ac:dyDescent="0.35">
      <c r="A775" s="4">
        <v>45593</v>
      </c>
      <c r="B775" s="4" t="s">
        <v>84</v>
      </c>
      <c r="C775" s="5" t="s">
        <v>339</v>
      </c>
      <c r="D775" s="5" t="s">
        <v>32</v>
      </c>
      <c r="E775" s="5" t="s">
        <v>33</v>
      </c>
      <c r="F775" s="5" t="s">
        <v>43</v>
      </c>
      <c r="G775" s="5" t="s">
        <v>27</v>
      </c>
      <c r="H775" s="5">
        <v>60</v>
      </c>
      <c r="I775" s="5">
        <v>729</v>
      </c>
      <c r="J775" s="5">
        <v>759</v>
      </c>
      <c r="K775" s="6">
        <f t="shared" si="48"/>
        <v>43740</v>
      </c>
      <c r="L775" s="6">
        <f t="shared" si="49"/>
        <v>45540</v>
      </c>
      <c r="M775" s="6">
        <f t="shared" si="50"/>
        <v>1800</v>
      </c>
      <c r="N775" s="6" t="str">
        <f t="shared" si="51"/>
        <v>profit</v>
      </c>
    </row>
    <row r="776" spans="1:14" ht="15.6" thickTop="1" thickBot="1" x14ac:dyDescent="0.35">
      <c r="A776" s="4">
        <v>45594</v>
      </c>
      <c r="B776" s="4" t="s">
        <v>84</v>
      </c>
      <c r="C776" s="5" t="s">
        <v>340</v>
      </c>
      <c r="D776" s="5" t="s">
        <v>32</v>
      </c>
      <c r="E776" s="5" t="s">
        <v>33</v>
      </c>
      <c r="F776" s="5" t="s">
        <v>152</v>
      </c>
      <c r="G776" s="5" t="s">
        <v>18</v>
      </c>
      <c r="H776" s="5">
        <v>99</v>
      </c>
      <c r="I776" s="5">
        <v>880</v>
      </c>
      <c r="J776" s="5">
        <v>1318</v>
      </c>
      <c r="K776" s="6">
        <f t="shared" si="48"/>
        <v>87120</v>
      </c>
      <c r="L776" s="6">
        <f t="shared" si="49"/>
        <v>130482</v>
      </c>
      <c r="M776" s="6">
        <f t="shared" si="50"/>
        <v>43362</v>
      </c>
      <c r="N776" s="6" t="str">
        <f t="shared" si="51"/>
        <v>profit</v>
      </c>
    </row>
    <row r="777" spans="1:14" ht="15.6" thickTop="1" thickBot="1" x14ac:dyDescent="0.35">
      <c r="A777" s="4">
        <v>45595</v>
      </c>
      <c r="B777" s="4" t="s">
        <v>84</v>
      </c>
      <c r="C777" s="5" t="s">
        <v>341</v>
      </c>
      <c r="D777" s="5" t="s">
        <v>32</v>
      </c>
      <c r="E777" s="5" t="s">
        <v>33</v>
      </c>
      <c r="F777" s="5" t="s">
        <v>154</v>
      </c>
      <c r="G777" s="5" t="s">
        <v>27</v>
      </c>
      <c r="H777" s="5">
        <v>88</v>
      </c>
      <c r="I777" s="5">
        <v>552</v>
      </c>
      <c r="J777" s="5">
        <v>1422</v>
      </c>
      <c r="K777" s="6">
        <f t="shared" si="48"/>
        <v>48576</v>
      </c>
      <c r="L777" s="6">
        <f t="shared" si="49"/>
        <v>125136</v>
      </c>
      <c r="M777" s="6">
        <f t="shared" si="50"/>
        <v>76560</v>
      </c>
      <c r="N777" s="6" t="str">
        <f t="shared" si="51"/>
        <v>profit</v>
      </c>
    </row>
    <row r="778" spans="1:14" ht="15.6" thickTop="1" thickBot="1" x14ac:dyDescent="0.35">
      <c r="A778" s="4">
        <v>45603</v>
      </c>
      <c r="B778" s="4" t="s">
        <v>160</v>
      </c>
      <c r="C778" s="5" t="s">
        <v>342</v>
      </c>
      <c r="D778" s="5" t="s">
        <v>32</v>
      </c>
      <c r="E778" s="5" t="s">
        <v>162</v>
      </c>
      <c r="F778" s="5" t="s">
        <v>24</v>
      </c>
      <c r="G778" s="5" t="s">
        <v>18</v>
      </c>
      <c r="H778" s="5">
        <v>60</v>
      </c>
      <c r="I778" s="5">
        <v>827</v>
      </c>
      <c r="J778" s="5">
        <v>762</v>
      </c>
      <c r="K778" s="6">
        <f t="shared" si="48"/>
        <v>49620</v>
      </c>
      <c r="L778" s="6">
        <f t="shared" si="49"/>
        <v>45720</v>
      </c>
      <c r="M778" s="6">
        <f t="shared" si="50"/>
        <v>-3900</v>
      </c>
      <c r="N778" s="6" t="str">
        <f t="shared" si="51"/>
        <v>loss</v>
      </c>
    </row>
    <row r="779" spans="1:14" ht="15.6" thickTop="1" thickBot="1" x14ac:dyDescent="0.35">
      <c r="A779" s="4">
        <v>45604</v>
      </c>
      <c r="B779" s="4" t="s">
        <v>160</v>
      </c>
      <c r="C779" s="5" t="s">
        <v>343</v>
      </c>
      <c r="D779" s="5" t="s">
        <v>32</v>
      </c>
      <c r="E779" s="5" t="s">
        <v>162</v>
      </c>
      <c r="F779" s="5" t="s">
        <v>75</v>
      </c>
      <c r="G779" s="5" t="s">
        <v>18</v>
      </c>
      <c r="H779" s="5">
        <v>64</v>
      </c>
      <c r="I779" s="5">
        <v>529</v>
      </c>
      <c r="J779" s="5">
        <v>1195</v>
      </c>
      <c r="K779" s="6">
        <f t="shared" si="48"/>
        <v>33856</v>
      </c>
      <c r="L779" s="6">
        <f t="shared" si="49"/>
        <v>76480</v>
      </c>
      <c r="M779" s="6">
        <f t="shared" si="50"/>
        <v>42624</v>
      </c>
      <c r="N779" s="6" t="str">
        <f t="shared" si="51"/>
        <v>profit</v>
      </c>
    </row>
    <row r="780" spans="1:14" ht="15.6" thickTop="1" thickBot="1" x14ac:dyDescent="0.35">
      <c r="A780" s="4">
        <v>45606</v>
      </c>
      <c r="B780" s="4" t="s">
        <v>160</v>
      </c>
      <c r="C780" s="5" t="s">
        <v>344</v>
      </c>
      <c r="D780" s="5" t="s">
        <v>32</v>
      </c>
      <c r="E780" s="5" t="s">
        <v>162</v>
      </c>
      <c r="F780" s="5" t="s">
        <v>43</v>
      </c>
      <c r="G780" s="5" t="s">
        <v>18</v>
      </c>
      <c r="H780" s="5">
        <v>51</v>
      </c>
      <c r="I780" s="5">
        <v>859</v>
      </c>
      <c r="J780" s="5">
        <v>1243</v>
      </c>
      <c r="K780" s="6">
        <f t="shared" si="48"/>
        <v>43809</v>
      </c>
      <c r="L780" s="6">
        <f t="shared" si="49"/>
        <v>63393</v>
      </c>
      <c r="M780" s="6">
        <f t="shared" si="50"/>
        <v>19584</v>
      </c>
      <c r="N780" s="6" t="str">
        <f t="shared" si="51"/>
        <v>profit</v>
      </c>
    </row>
    <row r="781" spans="1:14" ht="15.6" thickTop="1" thickBot="1" x14ac:dyDescent="0.35">
      <c r="A781" s="4">
        <v>45607</v>
      </c>
      <c r="B781" s="4" t="s">
        <v>160</v>
      </c>
      <c r="C781" s="5" t="s">
        <v>345</v>
      </c>
      <c r="D781" s="5" t="s">
        <v>32</v>
      </c>
      <c r="E781" s="5" t="s">
        <v>162</v>
      </c>
      <c r="F781" s="5" t="s">
        <v>24</v>
      </c>
      <c r="G781" s="5" t="s">
        <v>18</v>
      </c>
      <c r="H781" s="5">
        <v>68</v>
      </c>
      <c r="I781" s="5">
        <v>756</v>
      </c>
      <c r="J781" s="5">
        <v>887</v>
      </c>
      <c r="K781" s="6">
        <f t="shared" si="48"/>
        <v>51408</v>
      </c>
      <c r="L781" s="6">
        <f t="shared" si="49"/>
        <v>60316</v>
      </c>
      <c r="M781" s="6">
        <f t="shared" si="50"/>
        <v>8908</v>
      </c>
      <c r="N781" s="6" t="str">
        <f t="shared" si="51"/>
        <v>profit</v>
      </c>
    </row>
    <row r="782" spans="1:14" ht="15.6" thickTop="1" thickBot="1" x14ac:dyDescent="0.35">
      <c r="A782" s="4">
        <v>45608</v>
      </c>
      <c r="B782" s="4" t="s">
        <v>160</v>
      </c>
      <c r="C782" s="5" t="s">
        <v>346</v>
      </c>
      <c r="D782" s="5" t="s">
        <v>32</v>
      </c>
      <c r="E782" s="5" t="s">
        <v>162</v>
      </c>
      <c r="F782" s="5" t="s">
        <v>63</v>
      </c>
      <c r="G782" s="5" t="s">
        <v>18</v>
      </c>
      <c r="H782" s="5">
        <v>87</v>
      </c>
      <c r="I782" s="5">
        <v>882</v>
      </c>
      <c r="J782" s="5">
        <v>1211</v>
      </c>
      <c r="K782" s="6">
        <f t="shared" si="48"/>
        <v>76734</v>
      </c>
      <c r="L782" s="6">
        <f t="shared" si="49"/>
        <v>105357</v>
      </c>
      <c r="M782" s="6">
        <f t="shared" si="50"/>
        <v>28623</v>
      </c>
      <c r="N782" s="6" t="str">
        <f t="shared" si="51"/>
        <v>profit</v>
      </c>
    </row>
    <row r="783" spans="1:14" ht="15.6" thickTop="1" thickBot="1" x14ac:dyDescent="0.35">
      <c r="A783" s="4">
        <v>45636</v>
      </c>
      <c r="B783" s="4" t="s">
        <v>189</v>
      </c>
      <c r="C783" s="5" t="s">
        <v>191</v>
      </c>
      <c r="D783" s="5" t="s">
        <v>32</v>
      </c>
      <c r="E783" s="5" t="s">
        <v>98</v>
      </c>
      <c r="F783" s="5" t="s">
        <v>17</v>
      </c>
      <c r="G783" s="5" t="s">
        <v>27</v>
      </c>
      <c r="H783" s="5">
        <v>51</v>
      </c>
      <c r="I783" s="5">
        <v>685</v>
      </c>
      <c r="J783" s="5">
        <v>1224</v>
      </c>
      <c r="K783" s="6">
        <f t="shared" si="48"/>
        <v>34935</v>
      </c>
      <c r="L783" s="6">
        <f t="shared" si="49"/>
        <v>62424</v>
      </c>
      <c r="M783" s="6">
        <f t="shared" si="50"/>
        <v>27489</v>
      </c>
      <c r="N783" s="6" t="str">
        <f t="shared" si="51"/>
        <v>profit</v>
      </c>
    </row>
    <row r="784" spans="1:14" ht="15.6" thickTop="1" thickBot="1" x14ac:dyDescent="0.35">
      <c r="A784" s="4">
        <v>45638</v>
      </c>
      <c r="B784" s="4" t="s">
        <v>189</v>
      </c>
      <c r="C784" s="5" t="s">
        <v>347</v>
      </c>
      <c r="D784" s="5" t="s">
        <v>32</v>
      </c>
      <c r="E784" s="5" t="s">
        <v>98</v>
      </c>
      <c r="F784" s="5" t="s">
        <v>22</v>
      </c>
      <c r="G784" s="5" t="s">
        <v>18</v>
      </c>
      <c r="H784" s="5">
        <v>72</v>
      </c>
      <c r="I784" s="5">
        <v>765</v>
      </c>
      <c r="J784" s="5">
        <v>1368</v>
      </c>
      <c r="K784" s="6">
        <f t="shared" si="48"/>
        <v>55080</v>
      </c>
      <c r="L784" s="6">
        <f t="shared" si="49"/>
        <v>98496</v>
      </c>
      <c r="M784" s="6">
        <f t="shared" si="50"/>
        <v>43416</v>
      </c>
      <c r="N784" s="6" t="str">
        <f t="shared" si="51"/>
        <v>profit</v>
      </c>
    </row>
    <row r="785" spans="1:14" ht="15.6" thickTop="1" thickBot="1" x14ac:dyDescent="0.35">
      <c r="A785" s="4">
        <v>45639</v>
      </c>
      <c r="B785" s="4" t="s">
        <v>189</v>
      </c>
      <c r="C785" s="5" t="s">
        <v>348</v>
      </c>
      <c r="D785" s="5" t="s">
        <v>32</v>
      </c>
      <c r="E785" s="5" t="s">
        <v>98</v>
      </c>
      <c r="F785" s="5" t="s">
        <v>24</v>
      </c>
      <c r="G785" s="5" t="s">
        <v>18</v>
      </c>
      <c r="H785" s="5">
        <v>54</v>
      </c>
      <c r="I785" s="5">
        <v>702</v>
      </c>
      <c r="J785" s="5">
        <v>930</v>
      </c>
      <c r="K785" s="6">
        <f t="shared" si="48"/>
        <v>37908</v>
      </c>
      <c r="L785" s="6">
        <f t="shared" si="49"/>
        <v>50220</v>
      </c>
      <c r="M785" s="6">
        <f t="shared" si="50"/>
        <v>12312</v>
      </c>
      <c r="N785" s="6" t="str">
        <f t="shared" si="51"/>
        <v>profit</v>
      </c>
    </row>
    <row r="786" spans="1:14" ht="15.6" thickTop="1" thickBot="1" x14ac:dyDescent="0.35">
      <c r="A786" s="4">
        <v>45640</v>
      </c>
      <c r="B786" s="4" t="s">
        <v>189</v>
      </c>
      <c r="C786" s="5" t="s">
        <v>349</v>
      </c>
      <c r="D786" s="5" t="s">
        <v>32</v>
      </c>
      <c r="E786" s="5" t="s">
        <v>98</v>
      </c>
      <c r="F786" s="5" t="s">
        <v>34</v>
      </c>
      <c r="G786" s="5" t="s">
        <v>18</v>
      </c>
      <c r="H786" s="5">
        <v>97</v>
      </c>
      <c r="I786" s="5">
        <v>917</v>
      </c>
      <c r="J786" s="5">
        <v>1203</v>
      </c>
      <c r="K786" s="6">
        <f t="shared" si="48"/>
        <v>88949</v>
      </c>
      <c r="L786" s="6">
        <f t="shared" si="49"/>
        <v>116691</v>
      </c>
      <c r="M786" s="6">
        <f t="shared" si="50"/>
        <v>27742</v>
      </c>
      <c r="N786" s="6" t="str">
        <f t="shared" si="51"/>
        <v>profit</v>
      </c>
    </row>
    <row r="787" spans="1:14" ht="15.6" thickTop="1" thickBot="1" x14ac:dyDescent="0.35">
      <c r="A787" s="4">
        <v>45641</v>
      </c>
      <c r="B787" s="4" t="s">
        <v>189</v>
      </c>
      <c r="C787" s="5" t="s">
        <v>350</v>
      </c>
      <c r="D787" s="5" t="s">
        <v>32</v>
      </c>
      <c r="E787" s="5" t="s">
        <v>98</v>
      </c>
      <c r="F787" s="5" t="s">
        <v>38</v>
      </c>
      <c r="G787" s="5" t="s">
        <v>18</v>
      </c>
      <c r="H787" s="5">
        <v>84</v>
      </c>
      <c r="I787" s="5">
        <v>516</v>
      </c>
      <c r="J787" s="5">
        <v>820</v>
      </c>
      <c r="K787" s="6">
        <f t="shared" si="48"/>
        <v>43344</v>
      </c>
      <c r="L787" s="6">
        <f t="shared" si="49"/>
        <v>68880</v>
      </c>
      <c r="M787" s="6">
        <f t="shared" si="50"/>
        <v>25536</v>
      </c>
      <c r="N787" s="6" t="str">
        <f t="shared" si="51"/>
        <v>profit</v>
      </c>
    </row>
    <row r="788" spans="1:14" ht="15.6" thickTop="1" thickBot="1" x14ac:dyDescent="0.35">
      <c r="A788" s="4">
        <v>45507</v>
      </c>
      <c r="B788" s="4" t="s">
        <v>56</v>
      </c>
      <c r="C788" s="5" t="s">
        <v>118</v>
      </c>
      <c r="D788" s="5" t="s">
        <v>32</v>
      </c>
      <c r="E788" s="5" t="s">
        <v>119</v>
      </c>
      <c r="F788" s="5" t="s">
        <v>75</v>
      </c>
      <c r="G788" s="5" t="s">
        <v>27</v>
      </c>
      <c r="H788" s="5">
        <v>66</v>
      </c>
      <c r="I788" s="5">
        <v>715</v>
      </c>
      <c r="J788" s="5">
        <v>1460</v>
      </c>
      <c r="K788" s="6">
        <f t="shared" si="48"/>
        <v>47190</v>
      </c>
      <c r="L788" s="6">
        <f t="shared" si="49"/>
        <v>96360</v>
      </c>
      <c r="M788" s="6">
        <f t="shared" si="50"/>
        <v>49170</v>
      </c>
      <c r="N788" s="6" t="str">
        <f t="shared" si="51"/>
        <v>profit</v>
      </c>
    </row>
    <row r="789" spans="1:14" ht="15.6" thickTop="1" thickBot="1" x14ac:dyDescent="0.35">
      <c r="A789" s="4">
        <v>45643</v>
      </c>
      <c r="B789" s="4" t="s">
        <v>189</v>
      </c>
      <c r="C789" s="5" t="s">
        <v>351</v>
      </c>
      <c r="D789" s="5" t="s">
        <v>32</v>
      </c>
      <c r="E789" s="5" t="s">
        <v>98</v>
      </c>
      <c r="F789" s="5" t="s">
        <v>63</v>
      </c>
      <c r="G789" s="5" t="s">
        <v>18</v>
      </c>
      <c r="H789" s="5">
        <v>92</v>
      </c>
      <c r="I789" s="5">
        <v>789</v>
      </c>
      <c r="J789" s="5">
        <v>1229</v>
      </c>
      <c r="K789" s="6">
        <f t="shared" si="48"/>
        <v>72588</v>
      </c>
      <c r="L789" s="6">
        <f t="shared" si="49"/>
        <v>113068</v>
      </c>
      <c r="M789" s="6">
        <f t="shared" si="50"/>
        <v>40480</v>
      </c>
      <c r="N789" s="6" t="str">
        <f t="shared" si="51"/>
        <v>profit</v>
      </c>
    </row>
    <row r="790" spans="1:14" ht="15.6" thickTop="1" thickBot="1" x14ac:dyDescent="0.35">
      <c r="A790" s="4">
        <v>45644</v>
      </c>
      <c r="B790" s="4" t="s">
        <v>189</v>
      </c>
      <c r="C790" s="5" t="s">
        <v>352</v>
      </c>
      <c r="D790" s="5" t="s">
        <v>32</v>
      </c>
      <c r="E790" s="5" t="s">
        <v>98</v>
      </c>
      <c r="F790" s="5" t="s">
        <v>63</v>
      </c>
      <c r="G790" s="5" t="s">
        <v>18</v>
      </c>
      <c r="H790" s="5">
        <v>53</v>
      </c>
      <c r="I790" s="5">
        <v>962</v>
      </c>
      <c r="J790" s="5">
        <v>1442</v>
      </c>
      <c r="K790" s="6">
        <f t="shared" si="48"/>
        <v>50986</v>
      </c>
      <c r="L790" s="6">
        <f t="shared" si="49"/>
        <v>76426</v>
      </c>
      <c r="M790" s="6">
        <f t="shared" si="50"/>
        <v>25440</v>
      </c>
      <c r="N790" s="6" t="str">
        <f t="shared" si="51"/>
        <v>profit</v>
      </c>
    </row>
    <row r="791" spans="1:14" ht="15.6" thickTop="1" thickBot="1" x14ac:dyDescent="0.35">
      <c r="A791" s="4">
        <v>45645</v>
      </c>
      <c r="B791" s="4" t="s">
        <v>189</v>
      </c>
      <c r="C791" s="5" t="s">
        <v>353</v>
      </c>
      <c r="D791" s="5" t="s">
        <v>32</v>
      </c>
      <c r="E791" s="5" t="s">
        <v>98</v>
      </c>
      <c r="F791" s="5" t="s">
        <v>59</v>
      </c>
      <c r="G791" s="5" t="s">
        <v>18</v>
      </c>
      <c r="H791" s="5">
        <v>81</v>
      </c>
      <c r="I791" s="5">
        <v>565</v>
      </c>
      <c r="J791" s="5">
        <v>1224</v>
      </c>
      <c r="K791" s="6">
        <f t="shared" si="48"/>
        <v>45765</v>
      </c>
      <c r="L791" s="6">
        <f t="shared" si="49"/>
        <v>99144</v>
      </c>
      <c r="M791" s="6">
        <f t="shared" si="50"/>
        <v>53379</v>
      </c>
      <c r="N791" s="6" t="str">
        <f t="shared" si="51"/>
        <v>profit</v>
      </c>
    </row>
    <row r="792" spans="1:14" ht="15.6" thickTop="1" thickBot="1" x14ac:dyDescent="0.35">
      <c r="A792" s="4">
        <v>45647</v>
      </c>
      <c r="B792" s="4" t="s">
        <v>189</v>
      </c>
      <c r="C792" s="5" t="s">
        <v>354</v>
      </c>
      <c r="D792" s="5" t="s">
        <v>32</v>
      </c>
      <c r="E792" s="5" t="s">
        <v>98</v>
      </c>
      <c r="F792" s="5" t="s">
        <v>29</v>
      </c>
      <c r="G792" s="5" t="s">
        <v>18</v>
      </c>
      <c r="H792" s="5">
        <v>96</v>
      </c>
      <c r="I792" s="5">
        <v>715</v>
      </c>
      <c r="J792" s="5">
        <v>1171</v>
      </c>
      <c r="K792" s="6">
        <f t="shared" si="48"/>
        <v>68640</v>
      </c>
      <c r="L792" s="6">
        <f t="shared" si="49"/>
        <v>112416</v>
      </c>
      <c r="M792" s="6">
        <f t="shared" si="50"/>
        <v>43776</v>
      </c>
      <c r="N792" s="6" t="str">
        <f t="shared" si="51"/>
        <v>profit</v>
      </c>
    </row>
    <row r="793" spans="1:14" ht="15.6" thickTop="1" thickBot="1" x14ac:dyDescent="0.35">
      <c r="A793" s="4">
        <v>45512</v>
      </c>
      <c r="B793" s="4" t="s">
        <v>56</v>
      </c>
      <c r="C793" s="5" t="s">
        <v>120</v>
      </c>
      <c r="D793" s="5" t="s">
        <v>15</v>
      </c>
      <c r="E793" s="5" t="s">
        <v>36</v>
      </c>
      <c r="F793" s="5" t="s">
        <v>34</v>
      </c>
      <c r="G793" s="5" t="s">
        <v>18</v>
      </c>
      <c r="H793" s="5">
        <v>10</v>
      </c>
      <c r="I793" s="5">
        <v>812</v>
      </c>
      <c r="J793" s="5">
        <v>1112</v>
      </c>
      <c r="K793" s="6">
        <f t="shared" si="48"/>
        <v>8120</v>
      </c>
      <c r="L793" s="6">
        <f t="shared" si="49"/>
        <v>11120</v>
      </c>
      <c r="M793" s="6">
        <f t="shared" si="50"/>
        <v>3000</v>
      </c>
      <c r="N793" s="6" t="str">
        <f t="shared" si="51"/>
        <v>profit</v>
      </c>
    </row>
    <row r="794" spans="1:14" ht="15.6" thickTop="1" thickBot="1" x14ac:dyDescent="0.35">
      <c r="A794" s="4">
        <v>45649</v>
      </c>
      <c r="B794" s="4" t="s">
        <v>189</v>
      </c>
      <c r="C794" s="5" t="s">
        <v>355</v>
      </c>
      <c r="D794" s="5" t="s">
        <v>32</v>
      </c>
      <c r="E794" s="5" t="s">
        <v>119</v>
      </c>
      <c r="F794" s="5" t="s">
        <v>43</v>
      </c>
      <c r="G794" s="5" t="s">
        <v>18</v>
      </c>
      <c r="H794" s="5">
        <v>69</v>
      </c>
      <c r="I794" s="5">
        <v>699</v>
      </c>
      <c r="J794" s="5">
        <v>835</v>
      </c>
      <c r="K794" s="6">
        <f t="shared" si="48"/>
        <v>48231</v>
      </c>
      <c r="L794" s="6">
        <f t="shared" si="49"/>
        <v>57615</v>
      </c>
      <c r="M794" s="6">
        <f t="shared" si="50"/>
        <v>9384</v>
      </c>
      <c r="N794" s="6" t="str">
        <f t="shared" si="51"/>
        <v>profit</v>
      </c>
    </row>
    <row r="795" spans="1:14" ht="15.6" thickTop="1" thickBot="1" x14ac:dyDescent="0.35">
      <c r="A795" s="4">
        <v>45650</v>
      </c>
      <c r="B795" s="4" t="s">
        <v>189</v>
      </c>
      <c r="C795" s="5" t="s">
        <v>356</v>
      </c>
      <c r="D795" s="5" t="s">
        <v>32</v>
      </c>
      <c r="E795" s="5" t="s">
        <v>119</v>
      </c>
      <c r="F795" s="5" t="s">
        <v>152</v>
      </c>
      <c r="G795" s="5" t="s">
        <v>18</v>
      </c>
      <c r="H795" s="5">
        <v>58</v>
      </c>
      <c r="I795" s="5">
        <v>924</v>
      </c>
      <c r="J795" s="5">
        <v>990</v>
      </c>
      <c r="K795" s="6">
        <f t="shared" si="48"/>
        <v>53592</v>
      </c>
      <c r="L795" s="6">
        <f t="shared" si="49"/>
        <v>57420</v>
      </c>
      <c r="M795" s="6">
        <f t="shared" si="50"/>
        <v>3828</v>
      </c>
      <c r="N795" s="6" t="str">
        <f t="shared" si="51"/>
        <v>profit</v>
      </c>
    </row>
    <row r="796" spans="1:14" ht="15.6" thickTop="1" thickBot="1" x14ac:dyDescent="0.35">
      <c r="A796" s="4">
        <v>45651</v>
      </c>
      <c r="B796" s="4" t="s">
        <v>189</v>
      </c>
      <c r="C796" s="5" t="s">
        <v>357</v>
      </c>
      <c r="D796" s="5" t="s">
        <v>32</v>
      </c>
      <c r="E796" s="5" t="s">
        <v>119</v>
      </c>
      <c r="F796" s="5" t="s">
        <v>154</v>
      </c>
      <c r="G796" s="5" t="s">
        <v>18</v>
      </c>
      <c r="H796" s="5">
        <v>83</v>
      </c>
      <c r="I796" s="5">
        <v>790</v>
      </c>
      <c r="J796" s="5">
        <v>1164</v>
      </c>
      <c r="K796" s="6">
        <f t="shared" si="48"/>
        <v>65570</v>
      </c>
      <c r="L796" s="6">
        <f t="shared" si="49"/>
        <v>96612</v>
      </c>
      <c r="M796" s="6">
        <f t="shared" si="50"/>
        <v>31042</v>
      </c>
      <c r="N796" s="6" t="str">
        <f t="shared" si="51"/>
        <v>profit</v>
      </c>
    </row>
    <row r="797" spans="1:14" ht="15.6" thickTop="1" thickBot="1" x14ac:dyDescent="0.35">
      <c r="A797" s="4">
        <v>45652</v>
      </c>
      <c r="B797" s="4" t="s">
        <v>189</v>
      </c>
      <c r="C797" s="5" t="s">
        <v>358</v>
      </c>
      <c r="D797" s="5" t="s">
        <v>32</v>
      </c>
      <c r="E797" s="5" t="s">
        <v>119</v>
      </c>
      <c r="F797" s="5" t="s">
        <v>17</v>
      </c>
      <c r="G797" s="5" t="s">
        <v>18</v>
      </c>
      <c r="H797" s="5">
        <v>60</v>
      </c>
      <c r="I797" s="5">
        <v>867</v>
      </c>
      <c r="J797" s="5">
        <v>854</v>
      </c>
      <c r="K797" s="6">
        <f t="shared" si="48"/>
        <v>52020</v>
      </c>
      <c r="L797" s="6">
        <f t="shared" si="49"/>
        <v>51240</v>
      </c>
      <c r="M797" s="6">
        <f t="shared" si="50"/>
        <v>-780</v>
      </c>
      <c r="N797" s="6" t="str">
        <f t="shared" si="51"/>
        <v>loss</v>
      </c>
    </row>
    <row r="798" spans="1:14" ht="15.6" thickTop="1" thickBot="1" x14ac:dyDescent="0.35">
      <c r="A798" s="4">
        <v>45654</v>
      </c>
      <c r="B798" s="4" t="s">
        <v>189</v>
      </c>
      <c r="C798" s="5" t="s">
        <v>359</v>
      </c>
      <c r="D798" s="5" t="s">
        <v>32</v>
      </c>
      <c r="E798" s="5" t="s">
        <v>119</v>
      </c>
      <c r="F798" s="5" t="s">
        <v>22</v>
      </c>
      <c r="G798" s="5" t="s">
        <v>27</v>
      </c>
      <c r="H798" s="5">
        <v>89</v>
      </c>
      <c r="I798" s="5">
        <v>702</v>
      </c>
      <c r="J798" s="5">
        <v>1314</v>
      </c>
      <c r="K798" s="6">
        <f t="shared" si="48"/>
        <v>62478</v>
      </c>
      <c r="L798" s="6">
        <f t="shared" si="49"/>
        <v>116946</v>
      </c>
      <c r="M798" s="6">
        <f t="shared" si="50"/>
        <v>54468</v>
      </c>
      <c r="N798" s="6" t="str">
        <f t="shared" si="51"/>
        <v>profit</v>
      </c>
    </row>
    <row r="799" spans="1:14" ht="15.6" thickTop="1" thickBot="1" x14ac:dyDescent="0.35">
      <c r="A799" s="4">
        <v>45655</v>
      </c>
      <c r="B799" s="4" t="s">
        <v>189</v>
      </c>
      <c r="C799" s="5" t="s">
        <v>360</v>
      </c>
      <c r="D799" s="5" t="s">
        <v>32</v>
      </c>
      <c r="E799" s="5" t="s">
        <v>119</v>
      </c>
      <c r="F799" s="5" t="s">
        <v>24</v>
      </c>
      <c r="G799" s="5" t="s">
        <v>27</v>
      </c>
      <c r="H799" s="5">
        <v>91</v>
      </c>
      <c r="I799" s="5">
        <v>805</v>
      </c>
      <c r="J799" s="5">
        <v>1361</v>
      </c>
      <c r="K799" s="6">
        <f t="shared" si="48"/>
        <v>73255</v>
      </c>
      <c r="L799" s="6">
        <f t="shared" si="49"/>
        <v>123851</v>
      </c>
      <c r="M799" s="6">
        <f t="shared" si="50"/>
        <v>50596</v>
      </c>
      <c r="N799" s="6" t="str">
        <f t="shared" si="51"/>
        <v>profit</v>
      </c>
    </row>
    <row r="800" spans="1:14" ht="15.6" thickTop="1" thickBot="1" x14ac:dyDescent="0.35">
      <c r="A800" s="4">
        <v>45656</v>
      </c>
      <c r="B800" s="4" t="s">
        <v>189</v>
      </c>
      <c r="C800" s="5" t="s">
        <v>361</v>
      </c>
      <c r="D800" s="5" t="s">
        <v>32</v>
      </c>
      <c r="E800" s="5" t="s">
        <v>119</v>
      </c>
      <c r="F800" s="5" t="s">
        <v>24</v>
      </c>
      <c r="G800" s="5" t="s">
        <v>27</v>
      </c>
      <c r="H800" s="5">
        <v>78</v>
      </c>
      <c r="I800" s="5">
        <v>682</v>
      </c>
      <c r="J800" s="5">
        <v>962</v>
      </c>
      <c r="K800" s="6">
        <f t="shared" si="48"/>
        <v>53196</v>
      </c>
      <c r="L800" s="6">
        <f t="shared" si="49"/>
        <v>75036</v>
      </c>
      <c r="M800" s="6">
        <f t="shared" si="50"/>
        <v>21840</v>
      </c>
      <c r="N800" s="6" t="str">
        <f t="shared" si="51"/>
        <v>profit</v>
      </c>
    </row>
    <row r="801" spans="1:14" ht="15.6" thickTop="1" thickBot="1" x14ac:dyDescent="0.35">
      <c r="A801" s="4">
        <v>45520</v>
      </c>
      <c r="B801" s="4" t="s">
        <v>56</v>
      </c>
      <c r="C801" s="5" t="s">
        <v>121</v>
      </c>
      <c r="D801" s="5" t="s">
        <v>45</v>
      </c>
      <c r="E801" s="5" t="s">
        <v>117</v>
      </c>
      <c r="F801" s="5" t="s">
        <v>51</v>
      </c>
      <c r="G801" s="5" t="s">
        <v>27</v>
      </c>
      <c r="H801" s="5">
        <v>22</v>
      </c>
      <c r="I801" s="5">
        <v>888</v>
      </c>
      <c r="J801" s="5">
        <v>1284</v>
      </c>
      <c r="K801" s="6">
        <f t="shared" si="48"/>
        <v>19536</v>
      </c>
      <c r="L801" s="6">
        <f t="shared" si="49"/>
        <v>28248</v>
      </c>
      <c r="M801" s="6">
        <f t="shared" si="50"/>
        <v>8712</v>
      </c>
      <c r="N801" s="6" t="str">
        <f t="shared" si="51"/>
        <v>profit</v>
      </c>
    </row>
    <row r="802" spans="1:14" ht="15.6" thickTop="1" thickBot="1" x14ac:dyDescent="0.35">
      <c r="A802" s="4">
        <v>45657</v>
      </c>
      <c r="B802" s="4" t="s">
        <v>189</v>
      </c>
      <c r="C802" s="5" t="s">
        <v>362</v>
      </c>
      <c r="D802" s="5" t="s">
        <v>32</v>
      </c>
      <c r="E802" s="5" t="s">
        <v>119</v>
      </c>
      <c r="F802" s="5" t="s">
        <v>26</v>
      </c>
      <c r="G802" s="5" t="s">
        <v>27</v>
      </c>
      <c r="H802" s="5">
        <v>54</v>
      </c>
      <c r="I802" s="5">
        <v>990</v>
      </c>
      <c r="J802" s="5">
        <v>970</v>
      </c>
      <c r="K802" s="6">
        <f t="shared" si="48"/>
        <v>53460</v>
      </c>
      <c r="L802" s="6">
        <f t="shared" si="49"/>
        <v>52380</v>
      </c>
      <c r="M802" s="6">
        <f t="shared" si="50"/>
        <v>-1080</v>
      </c>
      <c r="N802" s="6" t="str">
        <f t="shared" si="51"/>
        <v>loss</v>
      </c>
    </row>
    <row r="803" spans="1:14" ht="15.6" thickTop="1" thickBot="1" x14ac:dyDescent="0.35">
      <c r="A803" s="4">
        <v>45658</v>
      </c>
      <c r="B803" s="4" t="s">
        <v>94</v>
      </c>
      <c r="C803" s="5" t="s">
        <v>363</v>
      </c>
      <c r="D803" s="5" t="s">
        <v>32</v>
      </c>
      <c r="E803" s="5" t="s">
        <v>119</v>
      </c>
      <c r="F803" s="5" t="s">
        <v>29</v>
      </c>
      <c r="G803" s="5" t="s">
        <v>18</v>
      </c>
      <c r="H803" s="5">
        <v>72</v>
      </c>
      <c r="I803" s="5">
        <v>749</v>
      </c>
      <c r="J803" s="5">
        <v>1262</v>
      </c>
      <c r="K803" s="6">
        <f t="shared" si="48"/>
        <v>53928</v>
      </c>
      <c r="L803" s="6">
        <f t="shared" si="49"/>
        <v>90864</v>
      </c>
      <c r="M803" s="6">
        <f t="shared" si="50"/>
        <v>36936</v>
      </c>
      <c r="N803" s="6" t="str">
        <f t="shared" si="51"/>
        <v>profit</v>
      </c>
    </row>
    <row r="804" spans="1:14" ht="15.6" thickTop="1" thickBot="1" x14ac:dyDescent="0.35">
      <c r="A804" s="4">
        <v>45666</v>
      </c>
      <c r="B804" s="4" t="s">
        <v>94</v>
      </c>
      <c r="C804" s="5" t="s">
        <v>364</v>
      </c>
      <c r="D804" s="5" t="s">
        <v>32</v>
      </c>
      <c r="E804" s="5" t="s">
        <v>98</v>
      </c>
      <c r="F804" s="5" t="s">
        <v>34</v>
      </c>
      <c r="G804" s="5" t="s">
        <v>27</v>
      </c>
      <c r="H804" s="5">
        <v>51</v>
      </c>
      <c r="I804" s="5">
        <v>925</v>
      </c>
      <c r="J804" s="5">
        <v>750</v>
      </c>
      <c r="K804" s="6">
        <f t="shared" si="48"/>
        <v>47175</v>
      </c>
      <c r="L804" s="6">
        <f t="shared" si="49"/>
        <v>38250</v>
      </c>
      <c r="M804" s="6">
        <f t="shared" si="50"/>
        <v>-8925</v>
      </c>
      <c r="N804" s="6" t="str">
        <f t="shared" si="51"/>
        <v>loss</v>
      </c>
    </row>
    <row r="805" spans="1:14" ht="15.6" thickTop="1" thickBot="1" x14ac:dyDescent="0.35">
      <c r="A805" s="4">
        <v>45667</v>
      </c>
      <c r="B805" s="4" t="s">
        <v>94</v>
      </c>
      <c r="C805" s="5" t="s">
        <v>365</v>
      </c>
      <c r="D805" s="5" t="s">
        <v>32</v>
      </c>
      <c r="E805" s="5" t="s">
        <v>98</v>
      </c>
      <c r="F805" s="5" t="s">
        <v>38</v>
      </c>
      <c r="G805" s="5" t="s">
        <v>27</v>
      </c>
      <c r="H805" s="5">
        <v>56</v>
      </c>
      <c r="I805" s="5">
        <v>782</v>
      </c>
      <c r="J805" s="5">
        <v>1353</v>
      </c>
      <c r="K805" s="6">
        <f t="shared" si="48"/>
        <v>43792</v>
      </c>
      <c r="L805" s="6">
        <f t="shared" si="49"/>
        <v>75768</v>
      </c>
      <c r="M805" s="6">
        <f t="shared" si="50"/>
        <v>31976</v>
      </c>
      <c r="N805" s="6" t="str">
        <f t="shared" si="51"/>
        <v>profit</v>
      </c>
    </row>
    <row r="806" spans="1:14" ht="15.6" thickTop="1" thickBot="1" x14ac:dyDescent="0.35">
      <c r="A806" s="4">
        <v>45668</v>
      </c>
      <c r="B806" s="4" t="s">
        <v>94</v>
      </c>
      <c r="C806" s="5" t="s">
        <v>366</v>
      </c>
      <c r="D806" s="5" t="s">
        <v>32</v>
      </c>
      <c r="E806" s="5" t="s">
        <v>98</v>
      </c>
      <c r="F806" s="5" t="s">
        <v>38</v>
      </c>
      <c r="G806" s="5" t="s">
        <v>27</v>
      </c>
      <c r="H806" s="5">
        <v>92</v>
      </c>
      <c r="I806" s="5">
        <v>978</v>
      </c>
      <c r="J806" s="5">
        <v>1062</v>
      </c>
      <c r="K806" s="6">
        <f t="shared" si="48"/>
        <v>89976</v>
      </c>
      <c r="L806" s="6">
        <f t="shared" si="49"/>
        <v>97704</v>
      </c>
      <c r="M806" s="6">
        <f t="shared" si="50"/>
        <v>7728</v>
      </c>
      <c r="N806" s="6" t="str">
        <f t="shared" si="51"/>
        <v>profit</v>
      </c>
    </row>
    <row r="807" spans="1:14" ht="15.6" thickTop="1" thickBot="1" x14ac:dyDescent="0.35">
      <c r="A807" s="4">
        <v>45526</v>
      </c>
      <c r="B807" s="4" t="s">
        <v>56</v>
      </c>
      <c r="C807" s="5" t="s">
        <v>122</v>
      </c>
      <c r="D807" s="5" t="s">
        <v>45</v>
      </c>
      <c r="E807" s="5" t="s">
        <v>117</v>
      </c>
      <c r="F807" s="5" t="s">
        <v>63</v>
      </c>
      <c r="G807" s="5" t="s">
        <v>18</v>
      </c>
      <c r="H807" s="5">
        <v>29</v>
      </c>
      <c r="I807" s="5">
        <v>818</v>
      </c>
      <c r="J807" s="5">
        <v>999</v>
      </c>
      <c r="K807" s="6">
        <f t="shared" si="48"/>
        <v>23722</v>
      </c>
      <c r="L807" s="6">
        <f t="shared" si="49"/>
        <v>28971</v>
      </c>
      <c r="M807" s="6">
        <f t="shared" si="50"/>
        <v>5249</v>
      </c>
      <c r="N807" s="6" t="str">
        <f t="shared" si="51"/>
        <v>profit</v>
      </c>
    </row>
    <row r="808" spans="1:14" ht="15.6" thickTop="1" thickBot="1" x14ac:dyDescent="0.35">
      <c r="A808" s="4">
        <v>45669</v>
      </c>
      <c r="B808" s="4" t="s">
        <v>94</v>
      </c>
      <c r="C808" s="5" t="s">
        <v>367</v>
      </c>
      <c r="D808" s="5" t="s">
        <v>32</v>
      </c>
      <c r="E808" s="5" t="s">
        <v>98</v>
      </c>
      <c r="F808" s="5" t="s">
        <v>63</v>
      </c>
      <c r="G808" s="5" t="s">
        <v>18</v>
      </c>
      <c r="H808" s="5">
        <v>75</v>
      </c>
      <c r="I808" s="5">
        <v>539</v>
      </c>
      <c r="J808" s="5">
        <v>1068</v>
      </c>
      <c r="K808" s="6">
        <f t="shared" si="48"/>
        <v>40425</v>
      </c>
      <c r="L808" s="6">
        <f t="shared" si="49"/>
        <v>80100</v>
      </c>
      <c r="M808" s="6">
        <f t="shared" si="50"/>
        <v>39675</v>
      </c>
      <c r="N808" s="6" t="str">
        <f t="shared" si="51"/>
        <v>profit</v>
      </c>
    </row>
    <row r="809" spans="1:14" ht="15.6" thickTop="1" thickBot="1" x14ac:dyDescent="0.35">
      <c r="A809" s="4">
        <v>45670</v>
      </c>
      <c r="B809" s="4" t="s">
        <v>94</v>
      </c>
      <c r="C809" s="5" t="s">
        <v>368</v>
      </c>
      <c r="D809" s="5" t="s">
        <v>32</v>
      </c>
      <c r="E809" s="5" t="s">
        <v>98</v>
      </c>
      <c r="F809" s="5" t="s">
        <v>63</v>
      </c>
      <c r="G809" s="5" t="s">
        <v>27</v>
      </c>
      <c r="H809" s="5">
        <v>78</v>
      </c>
      <c r="I809" s="5">
        <v>608</v>
      </c>
      <c r="J809" s="5">
        <v>1496</v>
      </c>
      <c r="K809" s="6">
        <f t="shared" si="48"/>
        <v>47424</v>
      </c>
      <c r="L809" s="6">
        <f t="shared" si="49"/>
        <v>116688</v>
      </c>
      <c r="M809" s="6">
        <f t="shared" si="50"/>
        <v>69264</v>
      </c>
      <c r="N809" s="6" t="str">
        <f t="shared" si="51"/>
        <v>profit</v>
      </c>
    </row>
    <row r="810" spans="1:14" ht="15.6" thickTop="1" thickBot="1" x14ac:dyDescent="0.35">
      <c r="A810" s="4">
        <v>45672</v>
      </c>
      <c r="B810" s="4" t="s">
        <v>94</v>
      </c>
      <c r="C810" s="5" t="s">
        <v>369</v>
      </c>
      <c r="D810" s="5" t="s">
        <v>32</v>
      </c>
      <c r="E810" s="5" t="s">
        <v>119</v>
      </c>
      <c r="F810" s="5" t="s">
        <v>38</v>
      </c>
      <c r="G810" s="5" t="s">
        <v>27</v>
      </c>
      <c r="H810" s="5">
        <v>66</v>
      </c>
      <c r="I810" s="5">
        <v>831</v>
      </c>
      <c r="J810" s="5">
        <v>787</v>
      </c>
      <c r="K810" s="6">
        <f t="shared" si="48"/>
        <v>54846</v>
      </c>
      <c r="L810" s="6">
        <f t="shared" si="49"/>
        <v>51942</v>
      </c>
      <c r="M810" s="6">
        <f t="shared" si="50"/>
        <v>-2904</v>
      </c>
      <c r="N810" s="6" t="str">
        <f t="shared" si="51"/>
        <v>loss</v>
      </c>
    </row>
    <row r="811" spans="1:14" ht="15.6" thickTop="1" thickBot="1" x14ac:dyDescent="0.35">
      <c r="A811" s="4">
        <v>45673</v>
      </c>
      <c r="B811" s="4" t="s">
        <v>94</v>
      </c>
      <c r="C811" s="5" t="s">
        <v>370</v>
      </c>
      <c r="D811" s="5" t="s">
        <v>32</v>
      </c>
      <c r="E811" s="5" t="s">
        <v>119</v>
      </c>
      <c r="F811" s="5" t="s">
        <v>29</v>
      </c>
      <c r="G811" s="5" t="s">
        <v>27</v>
      </c>
      <c r="H811" s="5">
        <v>86</v>
      </c>
      <c r="I811" s="5">
        <v>855</v>
      </c>
      <c r="J811" s="5">
        <v>930</v>
      </c>
      <c r="K811" s="6">
        <f t="shared" si="48"/>
        <v>73530</v>
      </c>
      <c r="L811" s="6">
        <f t="shared" si="49"/>
        <v>79980</v>
      </c>
      <c r="M811" s="6">
        <f t="shared" si="50"/>
        <v>6450</v>
      </c>
      <c r="N811" s="6" t="str">
        <f t="shared" si="51"/>
        <v>profit</v>
      </c>
    </row>
    <row r="812" spans="1:14" ht="15.6" thickTop="1" thickBot="1" x14ac:dyDescent="0.35">
      <c r="A812" s="4">
        <v>45674</v>
      </c>
      <c r="B812" s="4" t="s">
        <v>94</v>
      </c>
      <c r="C812" s="5" t="s">
        <v>371</v>
      </c>
      <c r="D812" s="5" t="s">
        <v>32</v>
      </c>
      <c r="E812" s="5" t="s">
        <v>119</v>
      </c>
      <c r="F812" s="5" t="s">
        <v>112</v>
      </c>
      <c r="G812" s="5" t="s">
        <v>18</v>
      </c>
      <c r="H812" s="5">
        <v>84</v>
      </c>
      <c r="I812" s="5">
        <v>948</v>
      </c>
      <c r="J812" s="5">
        <v>1156</v>
      </c>
      <c r="K812" s="6">
        <f t="shared" si="48"/>
        <v>79632</v>
      </c>
      <c r="L812" s="6">
        <f t="shared" si="49"/>
        <v>97104</v>
      </c>
      <c r="M812" s="6">
        <f t="shared" si="50"/>
        <v>17472</v>
      </c>
      <c r="N812" s="6" t="str">
        <f t="shared" si="51"/>
        <v>profit</v>
      </c>
    </row>
    <row r="813" spans="1:14" ht="15.6" thickTop="1" thickBot="1" x14ac:dyDescent="0.35">
      <c r="A813" s="4">
        <v>45675</v>
      </c>
      <c r="B813" s="4" t="s">
        <v>94</v>
      </c>
      <c r="C813" s="5" t="s">
        <v>372</v>
      </c>
      <c r="D813" s="5" t="s">
        <v>32</v>
      </c>
      <c r="E813" s="5" t="s">
        <v>119</v>
      </c>
      <c r="F813" s="5" t="s">
        <v>43</v>
      </c>
      <c r="G813" s="5" t="s">
        <v>18</v>
      </c>
      <c r="H813" s="5">
        <v>90</v>
      </c>
      <c r="I813" s="5">
        <v>962</v>
      </c>
      <c r="J813" s="5">
        <v>970</v>
      </c>
      <c r="K813" s="6">
        <f t="shared" si="48"/>
        <v>86580</v>
      </c>
      <c r="L813" s="6">
        <f t="shared" si="49"/>
        <v>87300</v>
      </c>
      <c r="M813" s="6">
        <f t="shared" si="50"/>
        <v>720</v>
      </c>
      <c r="N813" s="6" t="str">
        <f t="shared" si="51"/>
        <v>profit</v>
      </c>
    </row>
    <row r="814" spans="1:14" ht="15.6" thickTop="1" thickBot="1" x14ac:dyDescent="0.35">
      <c r="A814" s="4">
        <v>45676</v>
      </c>
      <c r="B814" s="4" t="s">
        <v>94</v>
      </c>
      <c r="C814" s="5" t="s">
        <v>373</v>
      </c>
      <c r="D814" s="5" t="s">
        <v>32</v>
      </c>
      <c r="E814" s="5" t="s">
        <v>119</v>
      </c>
      <c r="F814" s="5" t="s">
        <v>152</v>
      </c>
      <c r="G814" s="5" t="s">
        <v>18</v>
      </c>
      <c r="H814" s="5">
        <v>84</v>
      </c>
      <c r="I814" s="5">
        <v>521</v>
      </c>
      <c r="J814" s="5">
        <v>1320</v>
      </c>
      <c r="K814" s="6">
        <f t="shared" si="48"/>
        <v>43764</v>
      </c>
      <c r="L814" s="6">
        <f t="shared" si="49"/>
        <v>110880</v>
      </c>
      <c r="M814" s="6">
        <f t="shared" si="50"/>
        <v>67116</v>
      </c>
      <c r="N814" s="6" t="str">
        <f t="shared" si="51"/>
        <v>profit</v>
      </c>
    </row>
    <row r="815" spans="1:14" ht="15.6" thickTop="1" thickBot="1" x14ac:dyDescent="0.35">
      <c r="A815" s="4">
        <v>45700</v>
      </c>
      <c r="B815" s="4" t="s">
        <v>238</v>
      </c>
      <c r="C815" s="5" t="s">
        <v>374</v>
      </c>
      <c r="D815" s="5" t="s">
        <v>32</v>
      </c>
      <c r="E815" s="5" t="s">
        <v>98</v>
      </c>
      <c r="F815" s="5" t="s">
        <v>38</v>
      </c>
      <c r="G815" s="5" t="s">
        <v>18</v>
      </c>
      <c r="H815" s="5">
        <v>85</v>
      </c>
      <c r="I815" s="5">
        <v>938</v>
      </c>
      <c r="J815" s="5">
        <v>802</v>
      </c>
      <c r="K815" s="6">
        <f t="shared" si="48"/>
        <v>79730</v>
      </c>
      <c r="L815" s="6">
        <f t="shared" si="49"/>
        <v>68170</v>
      </c>
      <c r="M815" s="6">
        <f t="shared" si="50"/>
        <v>-11560</v>
      </c>
      <c r="N815" s="6" t="str">
        <f t="shared" si="51"/>
        <v>loss</v>
      </c>
    </row>
    <row r="816" spans="1:14" ht="15.6" thickTop="1" thickBot="1" x14ac:dyDescent="0.35">
      <c r="A816" s="4">
        <v>45535</v>
      </c>
      <c r="B816" s="4" t="s">
        <v>56</v>
      </c>
      <c r="C816" s="5" t="s">
        <v>123</v>
      </c>
      <c r="D816" s="5" t="s">
        <v>32</v>
      </c>
      <c r="E816" s="5" t="s">
        <v>98</v>
      </c>
      <c r="F816" s="5" t="s">
        <v>20</v>
      </c>
      <c r="G816" s="5" t="s">
        <v>27</v>
      </c>
      <c r="H816" s="5">
        <v>60</v>
      </c>
      <c r="I816" s="5">
        <v>645</v>
      </c>
      <c r="J816" s="5">
        <v>936</v>
      </c>
      <c r="K816" s="6">
        <f t="shared" si="48"/>
        <v>38700</v>
      </c>
      <c r="L816" s="6">
        <f t="shared" si="49"/>
        <v>56160</v>
      </c>
      <c r="M816" s="6">
        <f t="shared" si="50"/>
        <v>17460</v>
      </c>
      <c r="N816" s="6" t="str">
        <f t="shared" si="51"/>
        <v>profit</v>
      </c>
    </row>
    <row r="817" spans="1:14" ht="15.6" thickTop="1" thickBot="1" x14ac:dyDescent="0.35">
      <c r="A817" s="4">
        <v>45701</v>
      </c>
      <c r="B817" s="4" t="s">
        <v>238</v>
      </c>
      <c r="C817" s="5" t="s">
        <v>375</v>
      </c>
      <c r="D817" s="5" t="s">
        <v>32</v>
      </c>
      <c r="E817" s="5" t="s">
        <v>98</v>
      </c>
      <c r="F817" s="5" t="s">
        <v>38</v>
      </c>
      <c r="G817" s="5" t="s">
        <v>18</v>
      </c>
      <c r="H817" s="5">
        <v>62</v>
      </c>
      <c r="I817" s="5">
        <v>562</v>
      </c>
      <c r="J817" s="5">
        <v>884</v>
      </c>
      <c r="K817" s="6">
        <f t="shared" si="48"/>
        <v>34844</v>
      </c>
      <c r="L817" s="6">
        <f t="shared" si="49"/>
        <v>54808</v>
      </c>
      <c r="M817" s="6">
        <f t="shared" si="50"/>
        <v>19964</v>
      </c>
      <c r="N817" s="6" t="str">
        <f t="shared" si="51"/>
        <v>profit</v>
      </c>
    </row>
    <row r="818" spans="1:14" ht="15.6" thickTop="1" thickBot="1" x14ac:dyDescent="0.35">
      <c r="A818" s="4">
        <v>45703</v>
      </c>
      <c r="B818" s="4" t="s">
        <v>238</v>
      </c>
      <c r="C818" s="5" t="s">
        <v>376</v>
      </c>
      <c r="D818" s="5" t="s">
        <v>32</v>
      </c>
      <c r="E818" s="5" t="s">
        <v>98</v>
      </c>
      <c r="F818" s="5" t="s">
        <v>63</v>
      </c>
      <c r="G818" s="5" t="s">
        <v>18</v>
      </c>
      <c r="H818" s="5">
        <v>50</v>
      </c>
      <c r="I818" s="5">
        <v>887</v>
      </c>
      <c r="J818" s="5">
        <v>1068</v>
      </c>
      <c r="K818" s="6">
        <f t="shared" si="48"/>
        <v>44350</v>
      </c>
      <c r="L818" s="6">
        <f t="shared" si="49"/>
        <v>53400</v>
      </c>
      <c r="M818" s="6">
        <f t="shared" si="50"/>
        <v>9050</v>
      </c>
      <c r="N818" s="6" t="str">
        <f t="shared" si="51"/>
        <v>profit</v>
      </c>
    </row>
    <row r="819" spans="1:14" ht="15.6" thickTop="1" thickBot="1" x14ac:dyDescent="0.35">
      <c r="A819" s="4">
        <v>45704</v>
      </c>
      <c r="B819" s="4" t="s">
        <v>238</v>
      </c>
      <c r="C819" s="5" t="s">
        <v>377</v>
      </c>
      <c r="D819" s="5" t="s">
        <v>32</v>
      </c>
      <c r="E819" s="5" t="s">
        <v>98</v>
      </c>
      <c r="F819" s="5" t="s">
        <v>59</v>
      </c>
      <c r="G819" s="5" t="s">
        <v>27</v>
      </c>
      <c r="H819" s="5">
        <v>66</v>
      </c>
      <c r="I819" s="5">
        <v>771</v>
      </c>
      <c r="J819" s="5">
        <v>1492</v>
      </c>
      <c r="K819" s="6">
        <f t="shared" si="48"/>
        <v>50886</v>
      </c>
      <c r="L819" s="6">
        <f t="shared" si="49"/>
        <v>98472</v>
      </c>
      <c r="M819" s="6">
        <f t="shared" si="50"/>
        <v>47586</v>
      </c>
      <c r="N819" s="6" t="str">
        <f t="shared" si="51"/>
        <v>profit</v>
      </c>
    </row>
    <row r="820" spans="1:14" ht="15.6" thickTop="1" thickBot="1" x14ac:dyDescent="0.35">
      <c r="A820" s="4">
        <v>45705</v>
      </c>
      <c r="B820" s="4" t="s">
        <v>238</v>
      </c>
      <c r="C820" s="5" t="s">
        <v>378</v>
      </c>
      <c r="D820" s="5" t="s">
        <v>32</v>
      </c>
      <c r="E820" s="5" t="s">
        <v>98</v>
      </c>
      <c r="F820" s="5" t="s">
        <v>38</v>
      </c>
      <c r="G820" s="5" t="s">
        <v>27</v>
      </c>
      <c r="H820" s="5">
        <v>61</v>
      </c>
      <c r="I820" s="5">
        <v>529</v>
      </c>
      <c r="J820" s="5">
        <v>1419</v>
      </c>
      <c r="K820" s="6">
        <f t="shared" si="48"/>
        <v>32269</v>
      </c>
      <c r="L820" s="6">
        <f t="shared" si="49"/>
        <v>86559</v>
      </c>
      <c r="M820" s="6">
        <f t="shared" si="50"/>
        <v>54290</v>
      </c>
      <c r="N820" s="6" t="str">
        <f t="shared" si="51"/>
        <v>profit</v>
      </c>
    </row>
    <row r="821" spans="1:14" ht="15.6" thickTop="1" thickBot="1" x14ac:dyDescent="0.35">
      <c r="A821" s="4">
        <v>45540</v>
      </c>
      <c r="B821" s="4" t="s">
        <v>68</v>
      </c>
      <c r="C821" s="5" t="s">
        <v>124</v>
      </c>
      <c r="D821" s="5" t="s">
        <v>32</v>
      </c>
      <c r="E821" s="5" t="s">
        <v>119</v>
      </c>
      <c r="F821" s="5" t="s">
        <v>29</v>
      </c>
      <c r="G821" s="5" t="s">
        <v>18</v>
      </c>
      <c r="H821" s="5">
        <v>68</v>
      </c>
      <c r="I821" s="5">
        <v>777</v>
      </c>
      <c r="J821" s="5">
        <v>1433</v>
      </c>
      <c r="K821" s="6">
        <f t="shared" si="48"/>
        <v>52836</v>
      </c>
      <c r="L821" s="6">
        <f t="shared" si="49"/>
        <v>97444</v>
      </c>
      <c r="M821" s="6">
        <f t="shared" si="50"/>
        <v>44608</v>
      </c>
      <c r="N821" s="6" t="str">
        <f t="shared" si="51"/>
        <v>profit</v>
      </c>
    </row>
    <row r="822" spans="1:14" ht="15.6" thickTop="1" thickBot="1" x14ac:dyDescent="0.35">
      <c r="A822" s="4">
        <v>45706</v>
      </c>
      <c r="B822" s="4" t="s">
        <v>238</v>
      </c>
      <c r="C822" s="5" t="s">
        <v>379</v>
      </c>
      <c r="D822" s="5" t="s">
        <v>32</v>
      </c>
      <c r="E822" s="5" t="s">
        <v>98</v>
      </c>
      <c r="F822" s="5" t="s">
        <v>29</v>
      </c>
      <c r="G822" s="5" t="s">
        <v>27</v>
      </c>
      <c r="H822" s="5">
        <v>78</v>
      </c>
      <c r="I822" s="5">
        <v>511</v>
      </c>
      <c r="J822" s="5">
        <v>1368</v>
      </c>
      <c r="K822" s="6">
        <f t="shared" si="48"/>
        <v>39858</v>
      </c>
      <c r="L822" s="6">
        <f t="shared" si="49"/>
        <v>106704</v>
      </c>
      <c r="M822" s="6">
        <f t="shared" si="50"/>
        <v>66846</v>
      </c>
      <c r="N822" s="6" t="str">
        <f t="shared" si="51"/>
        <v>profit</v>
      </c>
    </row>
    <row r="823" spans="1:14" ht="15.6" thickTop="1" thickBot="1" x14ac:dyDescent="0.35">
      <c r="A823" s="4">
        <v>45707</v>
      </c>
      <c r="B823" s="4" t="s">
        <v>238</v>
      </c>
      <c r="C823" s="5" t="s">
        <v>380</v>
      </c>
      <c r="D823" s="5" t="s">
        <v>32</v>
      </c>
      <c r="E823" s="5" t="s">
        <v>98</v>
      </c>
      <c r="F823" s="5" t="s">
        <v>112</v>
      </c>
      <c r="G823" s="5" t="s">
        <v>27</v>
      </c>
      <c r="H823" s="5">
        <v>96</v>
      </c>
      <c r="I823" s="5">
        <v>790</v>
      </c>
      <c r="J823" s="5">
        <v>1335</v>
      </c>
      <c r="K823" s="6">
        <f t="shared" si="48"/>
        <v>75840</v>
      </c>
      <c r="L823" s="6">
        <f t="shared" si="49"/>
        <v>128160</v>
      </c>
      <c r="M823" s="6">
        <f t="shared" si="50"/>
        <v>52320</v>
      </c>
      <c r="N823" s="6" t="str">
        <f t="shared" si="51"/>
        <v>profit</v>
      </c>
    </row>
    <row r="824" spans="1:14" ht="15.6" thickTop="1" thickBot="1" x14ac:dyDescent="0.35">
      <c r="A824" s="4">
        <v>45708</v>
      </c>
      <c r="B824" s="4" t="s">
        <v>238</v>
      </c>
      <c r="C824" s="5" t="s">
        <v>381</v>
      </c>
      <c r="D824" s="5" t="s">
        <v>32</v>
      </c>
      <c r="E824" s="5" t="s">
        <v>98</v>
      </c>
      <c r="F824" s="5" t="s">
        <v>43</v>
      </c>
      <c r="G824" s="5" t="s">
        <v>18</v>
      </c>
      <c r="H824" s="5">
        <v>63</v>
      </c>
      <c r="I824" s="5">
        <v>722</v>
      </c>
      <c r="J824" s="5">
        <v>1374</v>
      </c>
      <c r="K824" s="6">
        <f t="shared" si="48"/>
        <v>45486</v>
      </c>
      <c r="L824" s="6">
        <f t="shared" si="49"/>
        <v>86562</v>
      </c>
      <c r="M824" s="6">
        <f t="shared" si="50"/>
        <v>41076</v>
      </c>
      <c r="N824" s="6" t="str">
        <f t="shared" si="51"/>
        <v>profit</v>
      </c>
    </row>
    <row r="825" spans="1:14" ht="15.6" thickTop="1" thickBot="1" x14ac:dyDescent="0.35">
      <c r="A825" s="4">
        <v>45710</v>
      </c>
      <c r="B825" s="4" t="s">
        <v>238</v>
      </c>
      <c r="C825" s="5" t="s">
        <v>382</v>
      </c>
      <c r="D825" s="5" t="s">
        <v>32</v>
      </c>
      <c r="E825" s="5" t="s">
        <v>98</v>
      </c>
      <c r="F825" s="5" t="s">
        <v>154</v>
      </c>
      <c r="G825" s="5" t="s">
        <v>27</v>
      </c>
      <c r="H825" s="5">
        <v>92</v>
      </c>
      <c r="I825" s="5">
        <v>521</v>
      </c>
      <c r="J825" s="5">
        <v>1414</v>
      </c>
      <c r="K825" s="6">
        <f t="shared" si="48"/>
        <v>47932</v>
      </c>
      <c r="L825" s="6">
        <f t="shared" si="49"/>
        <v>130088</v>
      </c>
      <c r="M825" s="6">
        <f t="shared" si="50"/>
        <v>82156</v>
      </c>
      <c r="N825" s="6" t="str">
        <f t="shared" si="51"/>
        <v>profit</v>
      </c>
    </row>
    <row r="826" spans="1:14" ht="15.6" thickTop="1" thickBot="1" x14ac:dyDescent="0.35">
      <c r="A826" s="4">
        <v>45711</v>
      </c>
      <c r="B826" s="4" t="s">
        <v>238</v>
      </c>
      <c r="C826" s="5" t="s">
        <v>383</v>
      </c>
      <c r="D826" s="5" t="s">
        <v>32</v>
      </c>
      <c r="E826" s="5" t="s">
        <v>98</v>
      </c>
      <c r="F826" s="5" t="s">
        <v>17</v>
      </c>
      <c r="G826" s="5" t="s">
        <v>27</v>
      </c>
      <c r="H826" s="5">
        <v>65</v>
      </c>
      <c r="I826" s="5">
        <v>661</v>
      </c>
      <c r="J826" s="5">
        <v>1425</v>
      </c>
      <c r="K826" s="6">
        <f t="shared" si="48"/>
        <v>42965</v>
      </c>
      <c r="L826" s="6">
        <f t="shared" si="49"/>
        <v>92625</v>
      </c>
      <c r="M826" s="6">
        <f t="shared" si="50"/>
        <v>49660</v>
      </c>
      <c r="N826" s="6" t="str">
        <f t="shared" si="51"/>
        <v>profit</v>
      </c>
    </row>
    <row r="827" spans="1:14" ht="15.6" thickTop="1" thickBot="1" x14ac:dyDescent="0.35">
      <c r="A827" s="4">
        <v>45712</v>
      </c>
      <c r="B827" s="4" t="s">
        <v>238</v>
      </c>
      <c r="C827" s="5" t="s">
        <v>384</v>
      </c>
      <c r="D827" s="5" t="s">
        <v>32</v>
      </c>
      <c r="E827" s="5" t="s">
        <v>119</v>
      </c>
      <c r="F827" s="5" t="s">
        <v>20</v>
      </c>
      <c r="G827" s="5" t="s">
        <v>27</v>
      </c>
      <c r="H827" s="5">
        <v>77</v>
      </c>
      <c r="I827" s="5">
        <v>595</v>
      </c>
      <c r="J827" s="5">
        <v>1470</v>
      </c>
      <c r="K827" s="6">
        <f t="shared" si="48"/>
        <v>45815</v>
      </c>
      <c r="L827" s="6">
        <f t="shared" si="49"/>
        <v>113190</v>
      </c>
      <c r="M827" s="6">
        <f t="shared" si="50"/>
        <v>67375</v>
      </c>
      <c r="N827" s="6" t="str">
        <f t="shared" si="51"/>
        <v>profit</v>
      </c>
    </row>
    <row r="828" spans="1:14" ht="15.6" thickTop="1" thickBot="1" x14ac:dyDescent="0.35">
      <c r="A828" s="4">
        <v>45713</v>
      </c>
      <c r="B828" s="4" t="s">
        <v>238</v>
      </c>
      <c r="C828" s="5" t="s">
        <v>385</v>
      </c>
      <c r="D828" s="5" t="s">
        <v>32</v>
      </c>
      <c r="E828" s="5" t="s">
        <v>386</v>
      </c>
      <c r="F828" s="5" t="s">
        <v>20</v>
      </c>
      <c r="G828" s="5" t="s">
        <v>27</v>
      </c>
      <c r="H828" s="5">
        <v>62</v>
      </c>
      <c r="I828" s="5">
        <v>774</v>
      </c>
      <c r="J828" s="5">
        <v>1050</v>
      </c>
      <c r="K828" s="6">
        <f t="shared" si="48"/>
        <v>47988</v>
      </c>
      <c r="L828" s="6">
        <f t="shared" si="49"/>
        <v>65100</v>
      </c>
      <c r="M828" s="6">
        <f t="shared" si="50"/>
        <v>17112</v>
      </c>
      <c r="N828" s="6" t="str">
        <f t="shared" si="51"/>
        <v>profit</v>
      </c>
    </row>
    <row r="829" spans="1:14" ht="15.6" thickTop="1" thickBot="1" x14ac:dyDescent="0.35">
      <c r="A829" s="4">
        <v>45387</v>
      </c>
      <c r="B829" s="4" t="s">
        <v>30</v>
      </c>
      <c r="C829" s="5" t="s">
        <v>254</v>
      </c>
      <c r="D829" s="5" t="s">
        <v>32</v>
      </c>
      <c r="E829" s="5" t="s">
        <v>33</v>
      </c>
      <c r="F829" s="5" t="s">
        <v>75</v>
      </c>
      <c r="G829" s="5" t="s">
        <v>27</v>
      </c>
      <c r="H829" s="5">
        <v>65</v>
      </c>
      <c r="I829" s="5">
        <v>816</v>
      </c>
      <c r="J829" s="5">
        <v>1347</v>
      </c>
      <c r="K829" s="6">
        <f t="shared" si="48"/>
        <v>53040</v>
      </c>
      <c r="L829" s="6">
        <f t="shared" si="49"/>
        <v>87555</v>
      </c>
      <c r="M829" s="6">
        <f t="shared" si="50"/>
        <v>34515</v>
      </c>
      <c r="N829" s="6" t="str">
        <f t="shared" si="51"/>
        <v>profit</v>
      </c>
    </row>
    <row r="830" spans="1:14" ht="15.6" thickTop="1" thickBot="1" x14ac:dyDescent="0.35">
      <c r="A830" s="4">
        <v>45549</v>
      </c>
      <c r="B830" s="4" t="s">
        <v>68</v>
      </c>
      <c r="C830" s="5" t="s">
        <v>125</v>
      </c>
      <c r="D830" s="5" t="s">
        <v>15</v>
      </c>
      <c r="E830" s="5" t="s">
        <v>36</v>
      </c>
      <c r="F830" s="5" t="s">
        <v>34</v>
      </c>
      <c r="G830" s="5" t="s">
        <v>18</v>
      </c>
      <c r="H830" s="5">
        <v>19</v>
      </c>
      <c r="I830" s="5">
        <v>576</v>
      </c>
      <c r="J830" s="5">
        <v>1181</v>
      </c>
      <c r="K830" s="6">
        <f t="shared" si="48"/>
        <v>10944</v>
      </c>
      <c r="L830" s="6">
        <f t="shared" si="49"/>
        <v>22439</v>
      </c>
      <c r="M830" s="6">
        <f t="shared" si="50"/>
        <v>11495</v>
      </c>
      <c r="N830" s="6" t="str">
        <f t="shared" si="51"/>
        <v>profit</v>
      </c>
    </row>
    <row r="831" spans="1:14" ht="15.6" thickTop="1" thickBot="1" x14ac:dyDescent="0.35">
      <c r="A831" s="4">
        <v>45388</v>
      </c>
      <c r="B831" s="4" t="s">
        <v>30</v>
      </c>
      <c r="C831" s="5" t="s">
        <v>255</v>
      </c>
      <c r="D831" s="5" t="s">
        <v>32</v>
      </c>
      <c r="E831" s="5" t="s">
        <v>33</v>
      </c>
      <c r="F831" s="5" t="s">
        <v>77</v>
      </c>
      <c r="G831" s="5" t="s">
        <v>27</v>
      </c>
      <c r="H831" s="5">
        <v>100</v>
      </c>
      <c r="I831" s="5">
        <v>893</v>
      </c>
      <c r="J831" s="5">
        <v>1460</v>
      </c>
      <c r="K831" s="6">
        <f t="shared" si="48"/>
        <v>89300</v>
      </c>
      <c r="L831" s="6">
        <f t="shared" si="49"/>
        <v>146000</v>
      </c>
      <c r="M831" s="6">
        <f t="shared" si="50"/>
        <v>56700</v>
      </c>
      <c r="N831" s="6" t="str">
        <f t="shared" si="51"/>
        <v>profit</v>
      </c>
    </row>
    <row r="832" spans="1:14" ht="15.6" thickTop="1" thickBot="1" x14ac:dyDescent="0.35">
      <c r="A832" s="4">
        <v>45390</v>
      </c>
      <c r="B832" s="4" t="s">
        <v>30</v>
      </c>
      <c r="C832" s="5" t="s">
        <v>256</v>
      </c>
      <c r="D832" s="5" t="s">
        <v>32</v>
      </c>
      <c r="E832" s="5" t="s">
        <v>33</v>
      </c>
      <c r="F832" s="5" t="s">
        <v>43</v>
      </c>
      <c r="G832" s="5" t="s">
        <v>27</v>
      </c>
      <c r="H832" s="5">
        <v>79</v>
      </c>
      <c r="I832" s="5">
        <v>632</v>
      </c>
      <c r="J832" s="5">
        <v>1271</v>
      </c>
      <c r="K832" s="6">
        <f t="shared" si="48"/>
        <v>49928</v>
      </c>
      <c r="L832" s="6">
        <f t="shared" si="49"/>
        <v>100409</v>
      </c>
      <c r="M832" s="6">
        <f t="shared" si="50"/>
        <v>50481</v>
      </c>
      <c r="N832" s="6" t="str">
        <f t="shared" si="51"/>
        <v>profit</v>
      </c>
    </row>
    <row r="833" spans="1:14" ht="15.6" thickTop="1" thickBot="1" x14ac:dyDescent="0.35">
      <c r="A833" s="4">
        <v>45397</v>
      </c>
      <c r="B833" s="4" t="s">
        <v>30</v>
      </c>
      <c r="C833" s="5" t="s">
        <v>257</v>
      </c>
      <c r="D833" s="5" t="s">
        <v>32</v>
      </c>
      <c r="E833" s="5" t="s">
        <v>162</v>
      </c>
      <c r="F833" s="5" t="s">
        <v>43</v>
      </c>
      <c r="G833" s="5" t="s">
        <v>18</v>
      </c>
      <c r="H833" s="5">
        <v>74</v>
      </c>
      <c r="I833" s="5">
        <v>859</v>
      </c>
      <c r="J833" s="5">
        <v>1315</v>
      </c>
      <c r="K833" s="6">
        <f t="shared" si="48"/>
        <v>63566</v>
      </c>
      <c r="L833" s="6">
        <f t="shared" si="49"/>
        <v>97310</v>
      </c>
      <c r="M833" s="6">
        <f t="shared" si="50"/>
        <v>33744</v>
      </c>
      <c r="N833" s="6" t="str">
        <f t="shared" si="51"/>
        <v>profit</v>
      </c>
    </row>
    <row r="834" spans="1:14" ht="15.6" thickTop="1" thickBot="1" x14ac:dyDescent="0.35">
      <c r="A834" s="4">
        <v>45398</v>
      </c>
      <c r="B834" s="4" t="s">
        <v>30</v>
      </c>
      <c r="C834" s="5" t="s">
        <v>258</v>
      </c>
      <c r="D834" s="5" t="s">
        <v>32</v>
      </c>
      <c r="E834" s="5" t="s">
        <v>162</v>
      </c>
      <c r="F834" s="5" t="s">
        <v>48</v>
      </c>
      <c r="G834" s="5" t="s">
        <v>18</v>
      </c>
      <c r="H834" s="5">
        <v>77</v>
      </c>
      <c r="I834" s="5">
        <v>579</v>
      </c>
      <c r="J834" s="5">
        <v>1178</v>
      </c>
      <c r="K834" s="6">
        <f t="shared" ref="K834:K897" si="52">H834*I834</f>
        <v>44583</v>
      </c>
      <c r="L834" s="6">
        <f t="shared" ref="L834:L897" si="53">H834*J834</f>
        <v>90706</v>
      </c>
      <c r="M834" s="6">
        <f t="shared" ref="M834:M897" si="54">L834-K834</f>
        <v>46123</v>
      </c>
      <c r="N834" s="6" t="str">
        <f t="shared" ref="N834:N897" si="55">IF(M834&gt;0,"profit","loss")</f>
        <v>profit</v>
      </c>
    </row>
    <row r="835" spans="1:14" ht="15.6" thickTop="1" thickBot="1" x14ac:dyDescent="0.35">
      <c r="A835" s="4">
        <v>45554</v>
      </c>
      <c r="B835" s="4" t="s">
        <v>68</v>
      </c>
      <c r="C835" s="5" t="s">
        <v>126</v>
      </c>
      <c r="D835" s="5" t="s">
        <v>15</v>
      </c>
      <c r="E835" s="5" t="s">
        <v>36</v>
      </c>
      <c r="F835" s="5" t="s">
        <v>38</v>
      </c>
      <c r="G835" s="5" t="s">
        <v>27</v>
      </c>
      <c r="H835" s="5">
        <v>16</v>
      </c>
      <c r="I835" s="5">
        <v>689</v>
      </c>
      <c r="J835" s="5">
        <v>1068</v>
      </c>
      <c r="K835" s="6">
        <f t="shared" si="52"/>
        <v>11024</v>
      </c>
      <c r="L835" s="6">
        <f t="shared" si="53"/>
        <v>17088</v>
      </c>
      <c r="M835" s="6">
        <f t="shared" si="54"/>
        <v>6064</v>
      </c>
      <c r="N835" s="6" t="str">
        <f t="shared" si="55"/>
        <v>profit</v>
      </c>
    </row>
    <row r="836" spans="1:14" ht="15.6" thickTop="1" thickBot="1" x14ac:dyDescent="0.35">
      <c r="A836" s="4">
        <v>45399</v>
      </c>
      <c r="B836" s="4" t="s">
        <v>30</v>
      </c>
      <c r="C836" s="5" t="s">
        <v>259</v>
      </c>
      <c r="D836" s="5" t="s">
        <v>32</v>
      </c>
      <c r="E836" s="5" t="s">
        <v>162</v>
      </c>
      <c r="F836" s="5" t="s">
        <v>26</v>
      </c>
      <c r="G836" s="5" t="s">
        <v>18</v>
      </c>
      <c r="H836" s="5">
        <v>61</v>
      </c>
      <c r="I836" s="5">
        <v>865</v>
      </c>
      <c r="J836" s="5">
        <v>894</v>
      </c>
      <c r="K836" s="6">
        <f t="shared" si="52"/>
        <v>52765</v>
      </c>
      <c r="L836" s="6">
        <f t="shared" si="53"/>
        <v>54534</v>
      </c>
      <c r="M836" s="6">
        <f t="shared" si="54"/>
        <v>1769</v>
      </c>
      <c r="N836" s="6" t="str">
        <f t="shared" si="55"/>
        <v>profit</v>
      </c>
    </row>
    <row r="837" spans="1:14" ht="15.6" thickTop="1" thickBot="1" x14ac:dyDescent="0.35">
      <c r="A837" s="4">
        <v>45400</v>
      </c>
      <c r="B837" s="4" t="s">
        <v>30</v>
      </c>
      <c r="C837" s="5" t="s">
        <v>260</v>
      </c>
      <c r="D837" s="5" t="s">
        <v>32</v>
      </c>
      <c r="E837" s="5" t="s">
        <v>162</v>
      </c>
      <c r="F837" s="5" t="s">
        <v>51</v>
      </c>
      <c r="G837" s="5" t="s">
        <v>18</v>
      </c>
      <c r="H837" s="5">
        <v>57</v>
      </c>
      <c r="I837" s="5">
        <v>881</v>
      </c>
      <c r="J837" s="5">
        <v>1185</v>
      </c>
      <c r="K837" s="6">
        <f t="shared" si="52"/>
        <v>50217</v>
      </c>
      <c r="L837" s="6">
        <f t="shared" si="53"/>
        <v>67545</v>
      </c>
      <c r="M837" s="6">
        <f t="shared" si="54"/>
        <v>17328</v>
      </c>
      <c r="N837" s="6" t="str">
        <f t="shared" si="55"/>
        <v>profit</v>
      </c>
    </row>
    <row r="838" spans="1:14" ht="15.6" thickTop="1" thickBot="1" x14ac:dyDescent="0.35">
      <c r="A838" s="4">
        <v>45401</v>
      </c>
      <c r="B838" s="4" t="s">
        <v>30</v>
      </c>
      <c r="C838" s="5" t="s">
        <v>261</v>
      </c>
      <c r="D838" s="5" t="s">
        <v>32</v>
      </c>
      <c r="E838" s="5" t="s">
        <v>162</v>
      </c>
      <c r="F838" s="5" t="s">
        <v>53</v>
      </c>
      <c r="G838" s="5" t="s">
        <v>18</v>
      </c>
      <c r="H838" s="5">
        <v>57</v>
      </c>
      <c r="I838" s="5">
        <v>548</v>
      </c>
      <c r="J838" s="5">
        <v>1306</v>
      </c>
      <c r="K838" s="6">
        <f t="shared" si="52"/>
        <v>31236</v>
      </c>
      <c r="L838" s="6">
        <f t="shared" si="53"/>
        <v>74442</v>
      </c>
      <c r="M838" s="6">
        <f t="shared" si="54"/>
        <v>43206</v>
      </c>
      <c r="N838" s="6" t="str">
        <f t="shared" si="55"/>
        <v>profit</v>
      </c>
    </row>
    <row r="839" spans="1:14" ht="15.6" thickTop="1" thickBot="1" x14ac:dyDescent="0.35">
      <c r="A839" s="4">
        <v>45402</v>
      </c>
      <c r="B839" s="4" t="s">
        <v>30</v>
      </c>
      <c r="C839" s="5" t="s">
        <v>262</v>
      </c>
      <c r="D839" s="5" t="s">
        <v>32</v>
      </c>
      <c r="E839" s="5" t="s">
        <v>162</v>
      </c>
      <c r="F839" s="5" t="s">
        <v>34</v>
      </c>
      <c r="G839" s="5" t="s">
        <v>27</v>
      </c>
      <c r="H839" s="5">
        <v>84</v>
      </c>
      <c r="I839" s="5">
        <v>702</v>
      </c>
      <c r="J839" s="5">
        <v>787</v>
      </c>
      <c r="K839" s="6">
        <f t="shared" si="52"/>
        <v>58968</v>
      </c>
      <c r="L839" s="6">
        <f t="shared" si="53"/>
        <v>66108</v>
      </c>
      <c r="M839" s="6">
        <f t="shared" si="54"/>
        <v>7140</v>
      </c>
      <c r="N839" s="6" t="str">
        <f t="shared" si="55"/>
        <v>profit</v>
      </c>
    </row>
    <row r="840" spans="1:14" ht="15.6" thickTop="1" thickBot="1" x14ac:dyDescent="0.35">
      <c r="A840" s="4">
        <v>45403</v>
      </c>
      <c r="B840" s="4" t="s">
        <v>30</v>
      </c>
      <c r="C840" s="5" t="s">
        <v>263</v>
      </c>
      <c r="D840" s="5" t="s">
        <v>32</v>
      </c>
      <c r="E840" s="5" t="s">
        <v>162</v>
      </c>
      <c r="F840" s="5" t="s">
        <v>38</v>
      </c>
      <c r="G840" s="5" t="s">
        <v>27</v>
      </c>
      <c r="H840" s="5">
        <v>76</v>
      </c>
      <c r="I840" s="5">
        <v>875</v>
      </c>
      <c r="J840" s="5">
        <v>1268</v>
      </c>
      <c r="K840" s="6">
        <f t="shared" si="52"/>
        <v>66500</v>
      </c>
      <c r="L840" s="6">
        <f t="shared" si="53"/>
        <v>96368</v>
      </c>
      <c r="M840" s="6">
        <f t="shared" si="54"/>
        <v>29868</v>
      </c>
      <c r="N840" s="6" t="str">
        <f t="shared" si="55"/>
        <v>profit</v>
      </c>
    </row>
    <row r="841" spans="1:14" ht="15.6" thickTop="1" thickBot="1" x14ac:dyDescent="0.35">
      <c r="A841" s="4">
        <v>45431</v>
      </c>
      <c r="B841" s="4" t="s">
        <v>96</v>
      </c>
      <c r="C841" s="5" t="s">
        <v>264</v>
      </c>
      <c r="D841" s="5" t="s">
        <v>32</v>
      </c>
      <c r="E841" s="5" t="s">
        <v>98</v>
      </c>
      <c r="F841" s="5" t="s">
        <v>59</v>
      </c>
      <c r="G841" s="5" t="s">
        <v>27</v>
      </c>
      <c r="H841" s="5">
        <v>50</v>
      </c>
      <c r="I841" s="5">
        <v>885</v>
      </c>
      <c r="J841" s="5">
        <v>927</v>
      </c>
      <c r="K841" s="6">
        <f t="shared" si="52"/>
        <v>44250</v>
      </c>
      <c r="L841" s="6">
        <f t="shared" si="53"/>
        <v>46350</v>
      </c>
      <c r="M841" s="6">
        <f t="shared" si="54"/>
        <v>2100</v>
      </c>
      <c r="N841" s="6" t="str">
        <f t="shared" si="55"/>
        <v>profit</v>
      </c>
    </row>
    <row r="842" spans="1:14" ht="15.6" thickTop="1" thickBot="1" x14ac:dyDescent="0.35">
      <c r="A842" s="4">
        <v>45433</v>
      </c>
      <c r="B842" s="4" t="s">
        <v>96</v>
      </c>
      <c r="C842" s="5" t="s">
        <v>265</v>
      </c>
      <c r="D842" s="5" t="s">
        <v>32</v>
      </c>
      <c r="E842" s="5" t="s">
        <v>98</v>
      </c>
      <c r="F842" s="5" t="s">
        <v>38</v>
      </c>
      <c r="G842" s="5" t="s">
        <v>18</v>
      </c>
      <c r="H842" s="5">
        <v>53</v>
      </c>
      <c r="I842" s="5">
        <v>950</v>
      </c>
      <c r="J842" s="5">
        <v>875</v>
      </c>
      <c r="K842" s="6">
        <f t="shared" si="52"/>
        <v>50350</v>
      </c>
      <c r="L842" s="6">
        <f t="shared" si="53"/>
        <v>46375</v>
      </c>
      <c r="M842" s="6">
        <f t="shared" si="54"/>
        <v>-3975</v>
      </c>
      <c r="N842" s="6" t="str">
        <f t="shared" si="55"/>
        <v>loss</v>
      </c>
    </row>
    <row r="843" spans="1:14" ht="15.6" thickTop="1" thickBot="1" x14ac:dyDescent="0.35">
      <c r="A843" s="4">
        <v>45434</v>
      </c>
      <c r="B843" s="4" t="s">
        <v>96</v>
      </c>
      <c r="C843" s="5" t="s">
        <v>266</v>
      </c>
      <c r="D843" s="5" t="s">
        <v>32</v>
      </c>
      <c r="E843" s="5" t="s">
        <v>98</v>
      </c>
      <c r="F843" s="5" t="s">
        <v>38</v>
      </c>
      <c r="G843" s="5" t="s">
        <v>18</v>
      </c>
      <c r="H843" s="5">
        <v>62</v>
      </c>
      <c r="I843" s="5">
        <v>623</v>
      </c>
      <c r="J843" s="5">
        <v>1253</v>
      </c>
      <c r="K843" s="6">
        <f t="shared" si="52"/>
        <v>38626</v>
      </c>
      <c r="L843" s="6">
        <f t="shared" si="53"/>
        <v>77686</v>
      </c>
      <c r="M843" s="6">
        <f t="shared" si="54"/>
        <v>39060</v>
      </c>
      <c r="N843" s="6" t="str">
        <f t="shared" si="55"/>
        <v>profit</v>
      </c>
    </row>
    <row r="844" spans="1:14" ht="15.6" thickTop="1" thickBot="1" x14ac:dyDescent="0.35">
      <c r="A844" s="4">
        <v>45563</v>
      </c>
      <c r="B844" s="4" t="s">
        <v>68</v>
      </c>
      <c r="C844" s="5" t="s">
        <v>127</v>
      </c>
      <c r="D844" s="5" t="s">
        <v>15</v>
      </c>
      <c r="E844" s="5" t="s">
        <v>16</v>
      </c>
      <c r="F844" s="5" t="s">
        <v>38</v>
      </c>
      <c r="G844" s="5" t="s">
        <v>18</v>
      </c>
      <c r="H844" s="5">
        <v>18</v>
      </c>
      <c r="I844" s="5">
        <v>835</v>
      </c>
      <c r="J844" s="5">
        <v>1234</v>
      </c>
      <c r="K844" s="6">
        <f t="shared" si="52"/>
        <v>15030</v>
      </c>
      <c r="L844" s="6">
        <f t="shared" si="53"/>
        <v>22212</v>
      </c>
      <c r="M844" s="6">
        <f t="shared" si="54"/>
        <v>7182</v>
      </c>
      <c r="N844" s="6" t="str">
        <f t="shared" si="55"/>
        <v>profit</v>
      </c>
    </row>
    <row r="845" spans="1:14" ht="15.6" thickTop="1" thickBot="1" x14ac:dyDescent="0.35">
      <c r="A845" s="4">
        <v>45435</v>
      </c>
      <c r="B845" s="4" t="s">
        <v>96</v>
      </c>
      <c r="C845" s="5" t="s">
        <v>267</v>
      </c>
      <c r="D845" s="5" t="s">
        <v>32</v>
      </c>
      <c r="E845" s="5" t="s">
        <v>98</v>
      </c>
      <c r="F845" s="5" t="s">
        <v>43</v>
      </c>
      <c r="G845" s="5" t="s">
        <v>18</v>
      </c>
      <c r="H845" s="5">
        <v>72</v>
      </c>
      <c r="I845" s="5">
        <v>920</v>
      </c>
      <c r="J845" s="5">
        <v>753</v>
      </c>
      <c r="K845" s="6">
        <f t="shared" si="52"/>
        <v>66240</v>
      </c>
      <c r="L845" s="6">
        <f t="shared" si="53"/>
        <v>54216</v>
      </c>
      <c r="M845" s="6">
        <f t="shared" si="54"/>
        <v>-12024</v>
      </c>
      <c r="N845" s="6" t="str">
        <f t="shared" si="55"/>
        <v>loss</v>
      </c>
    </row>
    <row r="846" spans="1:14" ht="15.6" thickTop="1" thickBot="1" x14ac:dyDescent="0.35">
      <c r="A846" s="4">
        <v>45565</v>
      </c>
      <c r="B846" s="4" t="s">
        <v>68</v>
      </c>
      <c r="C846" s="5" t="s">
        <v>128</v>
      </c>
      <c r="D846" s="5" t="s">
        <v>15</v>
      </c>
      <c r="E846" s="5" t="s">
        <v>16</v>
      </c>
      <c r="F846" s="5" t="s">
        <v>63</v>
      </c>
      <c r="G846" s="5" t="s">
        <v>18</v>
      </c>
      <c r="H846" s="5">
        <v>13</v>
      </c>
      <c r="I846" s="5">
        <v>855</v>
      </c>
      <c r="J846" s="5">
        <v>951</v>
      </c>
      <c r="K846" s="6">
        <f t="shared" si="52"/>
        <v>11115</v>
      </c>
      <c r="L846" s="6">
        <f t="shared" si="53"/>
        <v>12363</v>
      </c>
      <c r="M846" s="6">
        <f t="shared" si="54"/>
        <v>1248</v>
      </c>
      <c r="N846" s="6" t="str">
        <f t="shared" si="55"/>
        <v>profit</v>
      </c>
    </row>
    <row r="847" spans="1:14" ht="15.6" thickTop="1" thickBot="1" x14ac:dyDescent="0.35">
      <c r="A847" s="4">
        <v>45436</v>
      </c>
      <c r="B847" s="4" t="s">
        <v>96</v>
      </c>
      <c r="C847" s="5" t="s">
        <v>268</v>
      </c>
      <c r="D847" s="5" t="s">
        <v>32</v>
      </c>
      <c r="E847" s="5" t="s">
        <v>98</v>
      </c>
      <c r="F847" s="5" t="s">
        <v>26</v>
      </c>
      <c r="G847" s="5" t="s">
        <v>18</v>
      </c>
      <c r="H847" s="5">
        <v>69</v>
      </c>
      <c r="I847" s="5">
        <v>860</v>
      </c>
      <c r="J847" s="5">
        <v>1081</v>
      </c>
      <c r="K847" s="6">
        <f t="shared" si="52"/>
        <v>59340</v>
      </c>
      <c r="L847" s="6">
        <f t="shared" si="53"/>
        <v>74589</v>
      </c>
      <c r="M847" s="6">
        <f t="shared" si="54"/>
        <v>15249</v>
      </c>
      <c r="N847" s="6" t="str">
        <f t="shared" si="55"/>
        <v>profit</v>
      </c>
    </row>
    <row r="848" spans="1:14" ht="15.6" thickTop="1" thickBot="1" x14ac:dyDescent="0.35">
      <c r="A848" s="4">
        <v>45437</v>
      </c>
      <c r="B848" s="4" t="s">
        <v>96</v>
      </c>
      <c r="C848" s="5" t="s">
        <v>269</v>
      </c>
      <c r="D848" s="5" t="s">
        <v>32</v>
      </c>
      <c r="E848" s="5" t="s">
        <v>98</v>
      </c>
      <c r="F848" s="5" t="s">
        <v>43</v>
      </c>
      <c r="G848" s="5" t="s">
        <v>18</v>
      </c>
      <c r="H848" s="5">
        <v>80</v>
      </c>
      <c r="I848" s="5">
        <v>765</v>
      </c>
      <c r="J848" s="5">
        <v>924</v>
      </c>
      <c r="K848" s="6">
        <f t="shared" si="52"/>
        <v>61200</v>
      </c>
      <c r="L848" s="6">
        <f t="shared" si="53"/>
        <v>73920</v>
      </c>
      <c r="M848" s="6">
        <f t="shared" si="54"/>
        <v>12720</v>
      </c>
      <c r="N848" s="6" t="str">
        <f t="shared" si="55"/>
        <v>profit</v>
      </c>
    </row>
    <row r="849" spans="1:14" ht="15.6" thickTop="1" thickBot="1" x14ac:dyDescent="0.35">
      <c r="A849" s="4">
        <v>45438</v>
      </c>
      <c r="B849" s="4" t="s">
        <v>96</v>
      </c>
      <c r="C849" s="5" t="s">
        <v>270</v>
      </c>
      <c r="D849" s="5" t="s">
        <v>32</v>
      </c>
      <c r="E849" s="5" t="s">
        <v>98</v>
      </c>
      <c r="F849" s="5" t="s">
        <v>48</v>
      </c>
      <c r="G849" s="5" t="s">
        <v>18</v>
      </c>
      <c r="H849" s="5">
        <v>75</v>
      </c>
      <c r="I849" s="5">
        <v>690</v>
      </c>
      <c r="J849" s="5">
        <v>817</v>
      </c>
      <c r="K849" s="6">
        <f t="shared" si="52"/>
        <v>51750</v>
      </c>
      <c r="L849" s="6">
        <f t="shared" si="53"/>
        <v>61275</v>
      </c>
      <c r="M849" s="6">
        <f t="shared" si="54"/>
        <v>9525</v>
      </c>
      <c r="N849" s="6" t="str">
        <f t="shared" si="55"/>
        <v>profit</v>
      </c>
    </row>
    <row r="850" spans="1:14" ht="15.6" thickTop="1" thickBot="1" x14ac:dyDescent="0.35">
      <c r="A850" s="4">
        <v>45439</v>
      </c>
      <c r="B850" s="4" t="s">
        <v>96</v>
      </c>
      <c r="C850" s="5" t="s">
        <v>271</v>
      </c>
      <c r="D850" s="5" t="s">
        <v>32</v>
      </c>
      <c r="E850" s="5" t="s">
        <v>98</v>
      </c>
      <c r="F850" s="5" t="s">
        <v>26</v>
      </c>
      <c r="G850" s="5" t="s">
        <v>18</v>
      </c>
      <c r="H850" s="5">
        <v>100</v>
      </c>
      <c r="I850" s="5">
        <v>795</v>
      </c>
      <c r="J850" s="5">
        <v>1136</v>
      </c>
      <c r="K850" s="6">
        <f t="shared" si="52"/>
        <v>79500</v>
      </c>
      <c r="L850" s="6">
        <f t="shared" si="53"/>
        <v>113600</v>
      </c>
      <c r="M850" s="6">
        <f t="shared" si="54"/>
        <v>34100</v>
      </c>
      <c r="N850" s="6" t="str">
        <f t="shared" si="55"/>
        <v>profit</v>
      </c>
    </row>
    <row r="851" spans="1:14" ht="15.6" thickTop="1" thickBot="1" x14ac:dyDescent="0.35">
      <c r="A851" s="4">
        <v>45440</v>
      </c>
      <c r="B851" s="4" t="s">
        <v>96</v>
      </c>
      <c r="C851" s="5" t="s">
        <v>272</v>
      </c>
      <c r="D851" s="5" t="s">
        <v>32</v>
      </c>
      <c r="E851" s="5" t="s">
        <v>98</v>
      </c>
      <c r="F851" s="5" t="s">
        <v>51</v>
      </c>
      <c r="G851" s="5" t="s">
        <v>27</v>
      </c>
      <c r="H851" s="5">
        <v>85</v>
      </c>
      <c r="I851" s="5">
        <v>845</v>
      </c>
      <c r="J851" s="5">
        <v>1155</v>
      </c>
      <c r="K851" s="6">
        <f t="shared" si="52"/>
        <v>71825</v>
      </c>
      <c r="L851" s="6">
        <f t="shared" si="53"/>
        <v>98175</v>
      </c>
      <c r="M851" s="6">
        <f t="shared" si="54"/>
        <v>26350</v>
      </c>
      <c r="N851" s="6" t="str">
        <f t="shared" si="55"/>
        <v>profit</v>
      </c>
    </row>
    <row r="852" spans="1:14" ht="15.6" thickTop="1" thickBot="1" x14ac:dyDescent="0.35">
      <c r="A852" s="4">
        <v>45571</v>
      </c>
      <c r="B852" s="4" t="s">
        <v>84</v>
      </c>
      <c r="C852" s="5" t="s">
        <v>129</v>
      </c>
      <c r="D852" s="5" t="s">
        <v>32</v>
      </c>
      <c r="E852" s="5" t="s">
        <v>98</v>
      </c>
      <c r="F852" s="5" t="s">
        <v>43</v>
      </c>
      <c r="G852" s="5" t="s">
        <v>18</v>
      </c>
      <c r="H852" s="5">
        <v>79</v>
      </c>
      <c r="I852" s="5">
        <v>683</v>
      </c>
      <c r="J852" s="5">
        <v>1444</v>
      </c>
      <c r="K852" s="6">
        <f t="shared" si="52"/>
        <v>53957</v>
      </c>
      <c r="L852" s="6">
        <f t="shared" si="53"/>
        <v>114076</v>
      </c>
      <c r="M852" s="6">
        <f t="shared" si="54"/>
        <v>60119</v>
      </c>
      <c r="N852" s="6" t="str">
        <f t="shared" si="55"/>
        <v>profit</v>
      </c>
    </row>
    <row r="853" spans="1:14" ht="15.6" thickTop="1" thickBot="1" x14ac:dyDescent="0.35">
      <c r="A853" s="4">
        <v>45442</v>
      </c>
      <c r="B853" s="4" t="s">
        <v>96</v>
      </c>
      <c r="C853" s="5" t="s">
        <v>273</v>
      </c>
      <c r="D853" s="5" t="s">
        <v>32</v>
      </c>
      <c r="E853" s="5" t="s">
        <v>98</v>
      </c>
      <c r="F853" s="5" t="s">
        <v>34</v>
      </c>
      <c r="G853" s="5" t="s">
        <v>27</v>
      </c>
      <c r="H853" s="5">
        <v>51</v>
      </c>
      <c r="I853" s="5">
        <v>876</v>
      </c>
      <c r="J853" s="5">
        <v>1252</v>
      </c>
      <c r="K853" s="6">
        <f t="shared" si="52"/>
        <v>44676</v>
      </c>
      <c r="L853" s="6">
        <f t="shared" si="53"/>
        <v>63852</v>
      </c>
      <c r="M853" s="6">
        <f t="shared" si="54"/>
        <v>19176</v>
      </c>
      <c r="N853" s="6" t="str">
        <f t="shared" si="55"/>
        <v>profit</v>
      </c>
    </row>
    <row r="854" spans="1:14" ht="15.6" thickTop="1" thickBot="1" x14ac:dyDescent="0.35">
      <c r="A854" s="4">
        <v>45443</v>
      </c>
      <c r="B854" s="4" t="s">
        <v>96</v>
      </c>
      <c r="C854" s="5" t="s">
        <v>274</v>
      </c>
      <c r="D854" s="5" t="s">
        <v>32</v>
      </c>
      <c r="E854" s="5" t="s">
        <v>119</v>
      </c>
      <c r="F854" s="5" t="s">
        <v>38</v>
      </c>
      <c r="G854" s="5" t="s">
        <v>27</v>
      </c>
      <c r="H854" s="5">
        <v>55</v>
      </c>
      <c r="I854" s="5">
        <v>793</v>
      </c>
      <c r="J854" s="5">
        <v>1045</v>
      </c>
      <c r="K854" s="6">
        <f t="shared" si="52"/>
        <v>43615</v>
      </c>
      <c r="L854" s="6">
        <f t="shared" si="53"/>
        <v>57475</v>
      </c>
      <c r="M854" s="6">
        <f t="shared" si="54"/>
        <v>13860</v>
      </c>
      <c r="N854" s="6" t="str">
        <f t="shared" si="55"/>
        <v>profit</v>
      </c>
    </row>
    <row r="855" spans="1:14" ht="15.6" thickTop="1" thickBot="1" x14ac:dyDescent="0.35">
      <c r="A855" s="4">
        <v>45444</v>
      </c>
      <c r="B855" s="4" t="s">
        <v>13</v>
      </c>
      <c r="C855" s="5" t="s">
        <v>275</v>
      </c>
      <c r="D855" s="5" t="s">
        <v>32</v>
      </c>
      <c r="E855" s="5" t="s">
        <v>119</v>
      </c>
      <c r="F855" s="5" t="s">
        <v>38</v>
      </c>
      <c r="G855" s="5" t="s">
        <v>18</v>
      </c>
      <c r="H855" s="5">
        <v>82</v>
      </c>
      <c r="I855" s="5">
        <v>641</v>
      </c>
      <c r="J855" s="5">
        <v>809</v>
      </c>
      <c r="K855" s="6">
        <f t="shared" si="52"/>
        <v>52562</v>
      </c>
      <c r="L855" s="6">
        <f t="shared" si="53"/>
        <v>66338</v>
      </c>
      <c r="M855" s="6">
        <f t="shared" si="54"/>
        <v>13776</v>
      </c>
      <c r="N855" s="6" t="str">
        <f t="shared" si="55"/>
        <v>profit</v>
      </c>
    </row>
    <row r="856" spans="1:14" ht="15.6" thickTop="1" thickBot="1" x14ac:dyDescent="0.35">
      <c r="A856" s="4">
        <v>45445</v>
      </c>
      <c r="B856" s="4" t="s">
        <v>13</v>
      </c>
      <c r="C856" s="5" t="s">
        <v>276</v>
      </c>
      <c r="D856" s="5" t="s">
        <v>32</v>
      </c>
      <c r="E856" s="5" t="s">
        <v>119</v>
      </c>
      <c r="F856" s="5" t="s">
        <v>63</v>
      </c>
      <c r="G856" s="5" t="s">
        <v>27</v>
      </c>
      <c r="H856" s="5">
        <v>80</v>
      </c>
      <c r="I856" s="5">
        <v>678</v>
      </c>
      <c r="J856" s="5">
        <v>1016</v>
      </c>
      <c r="K856" s="6">
        <f t="shared" si="52"/>
        <v>54240</v>
      </c>
      <c r="L856" s="6">
        <f t="shared" si="53"/>
        <v>81280</v>
      </c>
      <c r="M856" s="6">
        <f t="shared" si="54"/>
        <v>27040</v>
      </c>
      <c r="N856" s="6" t="str">
        <f t="shared" si="55"/>
        <v>profit</v>
      </c>
    </row>
    <row r="857" spans="1:14" ht="15.6" thickTop="1" thickBot="1" x14ac:dyDescent="0.35">
      <c r="A857" s="4">
        <v>45446</v>
      </c>
      <c r="B857" s="4" t="s">
        <v>13</v>
      </c>
      <c r="C857" s="5" t="s">
        <v>277</v>
      </c>
      <c r="D857" s="5" t="s">
        <v>32</v>
      </c>
      <c r="E857" s="5" t="s">
        <v>119</v>
      </c>
      <c r="F857" s="5" t="s">
        <v>63</v>
      </c>
      <c r="G857" s="5" t="s">
        <v>27</v>
      </c>
      <c r="H857" s="5">
        <v>76</v>
      </c>
      <c r="I857" s="5">
        <v>585</v>
      </c>
      <c r="J857" s="5">
        <v>1366</v>
      </c>
      <c r="K857" s="6">
        <f t="shared" si="52"/>
        <v>44460</v>
      </c>
      <c r="L857" s="6">
        <f t="shared" si="53"/>
        <v>103816</v>
      </c>
      <c r="M857" s="6">
        <f t="shared" si="54"/>
        <v>59356</v>
      </c>
      <c r="N857" s="6" t="str">
        <f t="shared" si="55"/>
        <v>profit</v>
      </c>
    </row>
    <row r="858" spans="1:14" ht="15.6" thickTop="1" thickBot="1" x14ac:dyDescent="0.35">
      <c r="A858" s="4">
        <v>45447</v>
      </c>
      <c r="B858" s="4" t="s">
        <v>13</v>
      </c>
      <c r="C858" s="5" t="s">
        <v>278</v>
      </c>
      <c r="D858" s="5" t="s">
        <v>32</v>
      </c>
      <c r="E858" s="5" t="s">
        <v>119</v>
      </c>
      <c r="F858" s="5" t="s">
        <v>59</v>
      </c>
      <c r="G858" s="5" t="s">
        <v>27</v>
      </c>
      <c r="H858" s="5">
        <v>93</v>
      </c>
      <c r="I858" s="5">
        <v>662</v>
      </c>
      <c r="J858" s="5">
        <v>1319</v>
      </c>
      <c r="K858" s="6">
        <f t="shared" si="52"/>
        <v>61566</v>
      </c>
      <c r="L858" s="6">
        <f t="shared" si="53"/>
        <v>122667</v>
      </c>
      <c r="M858" s="6">
        <f t="shared" si="54"/>
        <v>61101</v>
      </c>
      <c r="N858" s="6" t="str">
        <f t="shared" si="55"/>
        <v>profit</v>
      </c>
    </row>
    <row r="859" spans="1:14" ht="15.6" thickTop="1" thickBot="1" x14ac:dyDescent="0.35">
      <c r="A859" s="4">
        <v>45578</v>
      </c>
      <c r="B859" s="4" t="s">
        <v>84</v>
      </c>
      <c r="C859" s="5" t="s">
        <v>134</v>
      </c>
      <c r="D859" s="5" t="s">
        <v>32</v>
      </c>
      <c r="E859" s="5" t="s">
        <v>119</v>
      </c>
      <c r="F859" s="5" t="s">
        <v>24</v>
      </c>
      <c r="G859" s="5" t="s">
        <v>27</v>
      </c>
      <c r="H859" s="5">
        <v>67</v>
      </c>
      <c r="I859" s="5">
        <v>711</v>
      </c>
      <c r="J859" s="5">
        <v>1280</v>
      </c>
      <c r="K859" s="6">
        <f t="shared" si="52"/>
        <v>47637</v>
      </c>
      <c r="L859" s="6">
        <f t="shared" si="53"/>
        <v>85760</v>
      </c>
      <c r="M859" s="6">
        <f t="shared" si="54"/>
        <v>38123</v>
      </c>
      <c r="N859" s="6" t="str">
        <f t="shared" si="55"/>
        <v>profit</v>
      </c>
    </row>
    <row r="860" spans="1:14" ht="15.6" thickTop="1" thickBot="1" x14ac:dyDescent="0.35">
      <c r="A860" s="4">
        <v>45448</v>
      </c>
      <c r="B860" s="4" t="s">
        <v>13</v>
      </c>
      <c r="C860" s="5" t="s">
        <v>279</v>
      </c>
      <c r="D860" s="5" t="s">
        <v>32</v>
      </c>
      <c r="E860" s="5" t="s">
        <v>119</v>
      </c>
      <c r="F860" s="5" t="s">
        <v>38</v>
      </c>
      <c r="G860" s="5" t="s">
        <v>27</v>
      </c>
      <c r="H860" s="5">
        <v>51</v>
      </c>
      <c r="I860" s="5">
        <v>744</v>
      </c>
      <c r="J860" s="5">
        <v>782</v>
      </c>
      <c r="K860" s="6">
        <f t="shared" si="52"/>
        <v>37944</v>
      </c>
      <c r="L860" s="6">
        <f t="shared" si="53"/>
        <v>39882</v>
      </c>
      <c r="M860" s="6">
        <f t="shared" si="54"/>
        <v>1938</v>
      </c>
      <c r="N860" s="6" t="str">
        <f t="shared" si="55"/>
        <v>profit</v>
      </c>
    </row>
    <row r="861" spans="1:14" ht="15.6" thickTop="1" thickBot="1" x14ac:dyDescent="0.35">
      <c r="A861" s="4">
        <v>45449</v>
      </c>
      <c r="B861" s="4" t="s">
        <v>13</v>
      </c>
      <c r="C861" s="5" t="s">
        <v>280</v>
      </c>
      <c r="D861" s="5" t="s">
        <v>32</v>
      </c>
      <c r="E861" s="5" t="s">
        <v>119</v>
      </c>
      <c r="F861" s="5" t="s">
        <v>29</v>
      </c>
      <c r="G861" s="5" t="s">
        <v>18</v>
      </c>
      <c r="H861" s="5">
        <v>88</v>
      </c>
      <c r="I861" s="5">
        <v>820</v>
      </c>
      <c r="J861" s="5">
        <v>1241</v>
      </c>
      <c r="K861" s="6">
        <f t="shared" si="52"/>
        <v>72160</v>
      </c>
      <c r="L861" s="6">
        <f t="shared" si="53"/>
        <v>109208</v>
      </c>
      <c r="M861" s="6">
        <f t="shared" si="54"/>
        <v>37048</v>
      </c>
      <c r="N861" s="6" t="str">
        <f t="shared" si="55"/>
        <v>profit</v>
      </c>
    </row>
    <row r="862" spans="1:14" ht="15.6" thickTop="1" thickBot="1" x14ac:dyDescent="0.35">
      <c r="A862" s="4">
        <v>45450</v>
      </c>
      <c r="B862" s="4" t="s">
        <v>13</v>
      </c>
      <c r="C862" s="5" t="s">
        <v>281</v>
      </c>
      <c r="D862" s="5" t="s">
        <v>32</v>
      </c>
      <c r="E862" s="5" t="s">
        <v>119</v>
      </c>
      <c r="F862" s="5" t="s">
        <v>112</v>
      </c>
      <c r="G862" s="5" t="s">
        <v>18</v>
      </c>
      <c r="H862" s="5">
        <v>72</v>
      </c>
      <c r="I862" s="5">
        <v>937</v>
      </c>
      <c r="J862" s="5">
        <v>1154</v>
      </c>
      <c r="K862" s="6">
        <f t="shared" si="52"/>
        <v>67464</v>
      </c>
      <c r="L862" s="6">
        <f t="shared" si="53"/>
        <v>83088</v>
      </c>
      <c r="M862" s="6">
        <f t="shared" si="54"/>
        <v>15624</v>
      </c>
      <c r="N862" s="6" t="str">
        <f t="shared" si="55"/>
        <v>profit</v>
      </c>
    </row>
    <row r="863" spans="1:14" ht="15.6" thickTop="1" thickBot="1" x14ac:dyDescent="0.35">
      <c r="A863" s="4">
        <v>45451</v>
      </c>
      <c r="B863" s="4" t="s">
        <v>13</v>
      </c>
      <c r="C863" s="5" t="s">
        <v>282</v>
      </c>
      <c r="D863" s="5" t="s">
        <v>32</v>
      </c>
      <c r="E863" s="5" t="s">
        <v>119</v>
      </c>
      <c r="F863" s="5" t="s">
        <v>43</v>
      </c>
      <c r="G863" s="5" t="s">
        <v>18</v>
      </c>
      <c r="H863" s="5">
        <v>55</v>
      </c>
      <c r="I863" s="5">
        <v>685</v>
      </c>
      <c r="J863" s="5">
        <v>824</v>
      </c>
      <c r="K863" s="6">
        <f t="shared" si="52"/>
        <v>37675</v>
      </c>
      <c r="L863" s="6">
        <f t="shared" si="53"/>
        <v>45320</v>
      </c>
      <c r="M863" s="6">
        <f t="shared" si="54"/>
        <v>7645</v>
      </c>
      <c r="N863" s="6" t="str">
        <f t="shared" si="55"/>
        <v>profit</v>
      </c>
    </row>
    <row r="864" spans="1:14" ht="15.6" thickTop="1" thickBot="1" x14ac:dyDescent="0.35">
      <c r="A864" s="4">
        <v>45583</v>
      </c>
      <c r="B864" s="4" t="s">
        <v>84</v>
      </c>
      <c r="C864" s="5" t="s">
        <v>139</v>
      </c>
      <c r="D864" s="5" t="s">
        <v>15</v>
      </c>
      <c r="E864" s="5" t="s">
        <v>36</v>
      </c>
      <c r="F864" s="5" t="s">
        <v>53</v>
      </c>
      <c r="G864" s="5" t="s">
        <v>18</v>
      </c>
      <c r="H864" s="5">
        <v>20</v>
      </c>
      <c r="I864" s="5">
        <v>963</v>
      </c>
      <c r="J864" s="5">
        <v>865</v>
      </c>
      <c r="K864" s="6">
        <f t="shared" si="52"/>
        <v>19260</v>
      </c>
      <c r="L864" s="6">
        <f t="shared" si="53"/>
        <v>17300</v>
      </c>
      <c r="M864" s="6">
        <f t="shared" si="54"/>
        <v>-1960</v>
      </c>
      <c r="N864" s="6" t="str">
        <f t="shared" si="55"/>
        <v>loss</v>
      </c>
    </row>
    <row r="865" spans="1:14" ht="15.6" thickTop="1" thickBot="1" x14ac:dyDescent="0.35">
      <c r="A865" s="4">
        <v>45452</v>
      </c>
      <c r="B865" s="4" t="s">
        <v>13</v>
      </c>
      <c r="C865" s="5" t="s">
        <v>283</v>
      </c>
      <c r="D865" s="5" t="s">
        <v>32</v>
      </c>
      <c r="E865" s="5" t="s">
        <v>119</v>
      </c>
      <c r="F865" s="5" t="s">
        <v>152</v>
      </c>
      <c r="G865" s="5" t="s">
        <v>18</v>
      </c>
      <c r="H865" s="5">
        <v>55</v>
      </c>
      <c r="I865" s="5">
        <v>661</v>
      </c>
      <c r="J865" s="5">
        <v>1133</v>
      </c>
      <c r="K865" s="6">
        <f t="shared" si="52"/>
        <v>36355</v>
      </c>
      <c r="L865" s="6">
        <f t="shared" si="53"/>
        <v>62315</v>
      </c>
      <c r="M865" s="6">
        <f t="shared" si="54"/>
        <v>25960</v>
      </c>
      <c r="N865" s="6" t="str">
        <f t="shared" si="55"/>
        <v>profit</v>
      </c>
    </row>
    <row r="866" spans="1:14" ht="15.6" thickTop="1" thickBot="1" x14ac:dyDescent="0.35">
      <c r="A866" s="4">
        <v>45453</v>
      </c>
      <c r="B866" s="4" t="s">
        <v>13</v>
      </c>
      <c r="C866" s="5" t="s">
        <v>284</v>
      </c>
      <c r="D866" s="5" t="s">
        <v>32</v>
      </c>
      <c r="E866" s="5" t="s">
        <v>119</v>
      </c>
      <c r="F866" s="5" t="s">
        <v>154</v>
      </c>
      <c r="G866" s="5" t="s">
        <v>18</v>
      </c>
      <c r="H866" s="5">
        <v>72</v>
      </c>
      <c r="I866" s="5">
        <v>804</v>
      </c>
      <c r="J866" s="5">
        <v>833</v>
      </c>
      <c r="K866" s="6">
        <f t="shared" si="52"/>
        <v>57888</v>
      </c>
      <c r="L866" s="6">
        <f t="shared" si="53"/>
        <v>59976</v>
      </c>
      <c r="M866" s="6">
        <f t="shared" si="54"/>
        <v>2088</v>
      </c>
      <c r="N866" s="6" t="str">
        <f t="shared" si="55"/>
        <v>profit</v>
      </c>
    </row>
    <row r="867" spans="1:14" ht="15.6" thickTop="1" thickBot="1" x14ac:dyDescent="0.35">
      <c r="A867" s="4">
        <v>45586</v>
      </c>
      <c r="B867" s="4" t="s">
        <v>84</v>
      </c>
      <c r="C867" s="5" t="s">
        <v>142</v>
      </c>
      <c r="D867" s="5" t="s">
        <v>15</v>
      </c>
      <c r="E867" s="5" t="s">
        <v>36</v>
      </c>
      <c r="F867" s="5" t="s">
        <v>38</v>
      </c>
      <c r="G867" s="5" t="s">
        <v>18</v>
      </c>
      <c r="H867" s="5">
        <v>14</v>
      </c>
      <c r="I867" s="5">
        <v>913</v>
      </c>
      <c r="J867" s="5">
        <v>1155</v>
      </c>
      <c r="K867" s="6">
        <f t="shared" si="52"/>
        <v>12782</v>
      </c>
      <c r="L867" s="6">
        <f t="shared" si="53"/>
        <v>16170</v>
      </c>
      <c r="M867" s="6">
        <f t="shared" si="54"/>
        <v>3388</v>
      </c>
      <c r="N867" s="6" t="str">
        <f t="shared" si="55"/>
        <v>profit</v>
      </c>
    </row>
    <row r="868" spans="1:14" ht="15.6" thickTop="1" thickBot="1" x14ac:dyDescent="0.35">
      <c r="A868" s="4">
        <v>45461</v>
      </c>
      <c r="B868" s="4" t="s">
        <v>13</v>
      </c>
      <c r="C868" s="5" t="s">
        <v>285</v>
      </c>
      <c r="D868" s="5" t="s">
        <v>32</v>
      </c>
      <c r="E868" s="5" t="s">
        <v>98</v>
      </c>
      <c r="F868" s="5" t="s">
        <v>24</v>
      </c>
      <c r="G868" s="5" t="s">
        <v>27</v>
      </c>
      <c r="H868" s="5">
        <v>87</v>
      </c>
      <c r="I868" s="5">
        <v>616</v>
      </c>
      <c r="J868" s="5">
        <v>1447</v>
      </c>
      <c r="K868" s="6">
        <f t="shared" si="52"/>
        <v>53592</v>
      </c>
      <c r="L868" s="6">
        <f t="shared" si="53"/>
        <v>125889</v>
      </c>
      <c r="M868" s="6">
        <f t="shared" si="54"/>
        <v>72297</v>
      </c>
      <c r="N868" s="6" t="str">
        <f t="shared" si="55"/>
        <v>profit</v>
      </c>
    </row>
    <row r="869" spans="1:14" ht="15.6" thickTop="1" thickBot="1" x14ac:dyDescent="0.35">
      <c r="A869" s="4">
        <v>45588</v>
      </c>
      <c r="B869" s="4" t="s">
        <v>84</v>
      </c>
      <c r="C869" s="5" t="s">
        <v>144</v>
      </c>
      <c r="D869" s="5" t="s">
        <v>45</v>
      </c>
      <c r="E869" s="5" t="s">
        <v>46</v>
      </c>
      <c r="F869" s="5" t="s">
        <v>63</v>
      </c>
      <c r="G869" s="5" t="s">
        <v>18</v>
      </c>
      <c r="H869" s="5">
        <v>23</v>
      </c>
      <c r="I869" s="5">
        <v>616</v>
      </c>
      <c r="J869" s="5">
        <v>919</v>
      </c>
      <c r="K869" s="6">
        <f t="shared" si="52"/>
        <v>14168</v>
      </c>
      <c r="L869" s="6">
        <f t="shared" si="53"/>
        <v>21137</v>
      </c>
      <c r="M869" s="6">
        <f t="shared" si="54"/>
        <v>6969</v>
      </c>
      <c r="N869" s="6" t="str">
        <f t="shared" si="55"/>
        <v>profit</v>
      </c>
    </row>
    <row r="870" spans="1:14" ht="15.6" thickTop="1" thickBot="1" x14ac:dyDescent="0.35">
      <c r="A870" s="4">
        <v>45462</v>
      </c>
      <c r="B870" s="4" t="s">
        <v>13</v>
      </c>
      <c r="C870" s="5" t="s">
        <v>286</v>
      </c>
      <c r="D870" s="5" t="s">
        <v>32</v>
      </c>
      <c r="E870" s="5" t="s">
        <v>98</v>
      </c>
      <c r="F870" s="5" t="s">
        <v>75</v>
      </c>
      <c r="G870" s="5" t="s">
        <v>27</v>
      </c>
      <c r="H870" s="5">
        <v>57</v>
      </c>
      <c r="I870" s="5">
        <v>724</v>
      </c>
      <c r="J870" s="5">
        <v>1432</v>
      </c>
      <c r="K870" s="6">
        <f t="shared" si="52"/>
        <v>41268</v>
      </c>
      <c r="L870" s="6">
        <f t="shared" si="53"/>
        <v>81624</v>
      </c>
      <c r="M870" s="6">
        <f t="shared" si="54"/>
        <v>40356</v>
      </c>
      <c r="N870" s="6" t="str">
        <f t="shared" si="55"/>
        <v>profit</v>
      </c>
    </row>
    <row r="871" spans="1:14" ht="15.6" thickTop="1" thickBot="1" x14ac:dyDescent="0.35">
      <c r="A871" s="4">
        <v>45590</v>
      </c>
      <c r="B871" s="4" t="s">
        <v>84</v>
      </c>
      <c r="C871" s="5" t="s">
        <v>146</v>
      </c>
      <c r="D871" s="5" t="s">
        <v>45</v>
      </c>
      <c r="E871" s="5" t="s">
        <v>132</v>
      </c>
      <c r="F871" s="5" t="s">
        <v>38</v>
      </c>
      <c r="G871" s="5" t="s">
        <v>27</v>
      </c>
      <c r="H871" s="5">
        <v>28</v>
      </c>
      <c r="I871" s="5">
        <v>539</v>
      </c>
      <c r="J871" s="5">
        <v>1106</v>
      </c>
      <c r="K871" s="6">
        <f t="shared" si="52"/>
        <v>15092</v>
      </c>
      <c r="L871" s="6">
        <f t="shared" si="53"/>
        <v>30968</v>
      </c>
      <c r="M871" s="6">
        <f t="shared" si="54"/>
        <v>15876</v>
      </c>
      <c r="N871" s="6" t="str">
        <f t="shared" si="55"/>
        <v>profit</v>
      </c>
    </row>
    <row r="872" spans="1:14" ht="15.6" thickTop="1" thickBot="1" x14ac:dyDescent="0.35">
      <c r="A872" s="4">
        <v>45463</v>
      </c>
      <c r="B872" s="4" t="s">
        <v>13</v>
      </c>
      <c r="C872" s="5" t="s">
        <v>287</v>
      </c>
      <c r="D872" s="5" t="s">
        <v>32</v>
      </c>
      <c r="E872" s="5" t="s">
        <v>98</v>
      </c>
      <c r="F872" s="5" t="s">
        <v>70</v>
      </c>
      <c r="G872" s="5" t="s">
        <v>27</v>
      </c>
      <c r="H872" s="5">
        <v>85</v>
      </c>
      <c r="I872" s="5">
        <v>639</v>
      </c>
      <c r="J872" s="5">
        <v>1447</v>
      </c>
      <c r="K872" s="6">
        <f t="shared" si="52"/>
        <v>54315</v>
      </c>
      <c r="L872" s="6">
        <f t="shared" si="53"/>
        <v>122995</v>
      </c>
      <c r="M872" s="6">
        <f t="shared" si="54"/>
        <v>68680</v>
      </c>
      <c r="N872" s="6" t="str">
        <f t="shared" si="55"/>
        <v>profit</v>
      </c>
    </row>
    <row r="873" spans="1:14" ht="15.6" thickTop="1" thickBot="1" x14ac:dyDescent="0.35">
      <c r="A873" s="4">
        <v>45465</v>
      </c>
      <c r="B873" s="4" t="s">
        <v>13</v>
      </c>
      <c r="C873" s="5" t="s">
        <v>288</v>
      </c>
      <c r="D873" s="5" t="s">
        <v>32</v>
      </c>
      <c r="E873" s="5" t="s">
        <v>98</v>
      </c>
      <c r="F873" s="5" t="s">
        <v>24</v>
      </c>
      <c r="G873" s="5" t="s">
        <v>18</v>
      </c>
      <c r="H873" s="5">
        <v>81</v>
      </c>
      <c r="I873" s="5">
        <v>776</v>
      </c>
      <c r="J873" s="5">
        <v>895</v>
      </c>
      <c r="K873" s="6">
        <f t="shared" si="52"/>
        <v>62856</v>
      </c>
      <c r="L873" s="6">
        <f t="shared" si="53"/>
        <v>72495</v>
      </c>
      <c r="M873" s="6">
        <f t="shared" si="54"/>
        <v>9639</v>
      </c>
      <c r="N873" s="6" t="str">
        <f t="shared" si="55"/>
        <v>profit</v>
      </c>
    </row>
    <row r="874" spans="1:14" ht="15.6" thickTop="1" thickBot="1" x14ac:dyDescent="0.35">
      <c r="A874" s="4">
        <v>45466</v>
      </c>
      <c r="B874" s="4" t="s">
        <v>13</v>
      </c>
      <c r="C874" s="5" t="s">
        <v>289</v>
      </c>
      <c r="D874" s="5" t="s">
        <v>32</v>
      </c>
      <c r="E874" s="5" t="s">
        <v>119</v>
      </c>
      <c r="F874" s="5" t="s">
        <v>63</v>
      </c>
      <c r="G874" s="5" t="s">
        <v>18</v>
      </c>
      <c r="H874" s="5">
        <v>86</v>
      </c>
      <c r="I874" s="5">
        <v>705</v>
      </c>
      <c r="J874" s="5">
        <v>1483</v>
      </c>
      <c r="K874" s="6">
        <f t="shared" si="52"/>
        <v>60630</v>
      </c>
      <c r="L874" s="6">
        <f t="shared" si="53"/>
        <v>127538</v>
      </c>
      <c r="M874" s="6">
        <f t="shared" si="54"/>
        <v>66908</v>
      </c>
      <c r="N874" s="6" t="str">
        <f t="shared" si="55"/>
        <v>profit</v>
      </c>
    </row>
    <row r="875" spans="1:14" ht="15.6" thickTop="1" thickBot="1" x14ac:dyDescent="0.35">
      <c r="A875" s="4">
        <v>45467</v>
      </c>
      <c r="B875" s="4" t="s">
        <v>13</v>
      </c>
      <c r="C875" s="5" t="s">
        <v>290</v>
      </c>
      <c r="D875" s="5" t="s">
        <v>32</v>
      </c>
      <c r="E875" s="5" t="s">
        <v>119</v>
      </c>
      <c r="F875" s="5" t="s">
        <v>75</v>
      </c>
      <c r="G875" s="5" t="s">
        <v>27</v>
      </c>
      <c r="H875" s="5">
        <v>80</v>
      </c>
      <c r="I875" s="5">
        <v>901</v>
      </c>
      <c r="J875" s="5">
        <v>1109</v>
      </c>
      <c r="K875" s="6">
        <f t="shared" si="52"/>
        <v>72080</v>
      </c>
      <c r="L875" s="6">
        <f t="shared" si="53"/>
        <v>88720</v>
      </c>
      <c r="M875" s="6">
        <f t="shared" si="54"/>
        <v>16640</v>
      </c>
      <c r="N875" s="6" t="str">
        <f t="shared" si="55"/>
        <v>profit</v>
      </c>
    </row>
    <row r="876" spans="1:14" ht="15.6" thickTop="1" thickBot="1" x14ac:dyDescent="0.35">
      <c r="A876" s="4">
        <v>45468</v>
      </c>
      <c r="B876" s="4" t="s">
        <v>13</v>
      </c>
      <c r="C876" s="5" t="s">
        <v>291</v>
      </c>
      <c r="D876" s="5" t="s">
        <v>32</v>
      </c>
      <c r="E876" s="5" t="s">
        <v>119</v>
      </c>
      <c r="F876" s="5" t="s">
        <v>77</v>
      </c>
      <c r="G876" s="5" t="s">
        <v>27</v>
      </c>
      <c r="H876" s="5">
        <v>59</v>
      </c>
      <c r="I876" s="5">
        <v>502</v>
      </c>
      <c r="J876" s="5">
        <v>1212</v>
      </c>
      <c r="K876" s="6">
        <f t="shared" si="52"/>
        <v>29618</v>
      </c>
      <c r="L876" s="6">
        <f t="shared" si="53"/>
        <v>71508</v>
      </c>
      <c r="M876" s="6">
        <f t="shared" si="54"/>
        <v>41890</v>
      </c>
      <c r="N876" s="6" t="str">
        <f t="shared" si="55"/>
        <v>profit</v>
      </c>
    </row>
    <row r="877" spans="1:14" ht="15.6" thickTop="1" thickBot="1" x14ac:dyDescent="0.35">
      <c r="A877" s="4">
        <v>45469</v>
      </c>
      <c r="B877" s="4" t="s">
        <v>13</v>
      </c>
      <c r="C877" s="5" t="s">
        <v>292</v>
      </c>
      <c r="D877" s="5" t="s">
        <v>32</v>
      </c>
      <c r="E877" s="5" t="s">
        <v>119</v>
      </c>
      <c r="F877" s="5" t="s">
        <v>34</v>
      </c>
      <c r="G877" s="5" t="s">
        <v>27</v>
      </c>
      <c r="H877" s="5">
        <v>52</v>
      </c>
      <c r="I877" s="5">
        <v>556</v>
      </c>
      <c r="J877" s="5">
        <v>1402</v>
      </c>
      <c r="K877" s="6">
        <f t="shared" si="52"/>
        <v>28912</v>
      </c>
      <c r="L877" s="6">
        <f t="shared" si="53"/>
        <v>72904</v>
      </c>
      <c r="M877" s="6">
        <f t="shared" si="54"/>
        <v>43992</v>
      </c>
      <c r="N877" s="6" t="str">
        <f t="shared" si="55"/>
        <v>profit</v>
      </c>
    </row>
    <row r="878" spans="1:14" ht="15.6" thickTop="1" thickBot="1" x14ac:dyDescent="0.35">
      <c r="A878" s="4">
        <v>45470</v>
      </c>
      <c r="B878" s="4" t="s">
        <v>13</v>
      </c>
      <c r="C878" s="5" t="s">
        <v>293</v>
      </c>
      <c r="D878" s="5" t="s">
        <v>32</v>
      </c>
      <c r="E878" s="5" t="s">
        <v>119</v>
      </c>
      <c r="F878" s="5" t="s">
        <v>43</v>
      </c>
      <c r="G878" s="5" t="s">
        <v>27</v>
      </c>
      <c r="H878" s="5">
        <v>92</v>
      </c>
      <c r="I878" s="5">
        <v>953</v>
      </c>
      <c r="J878" s="5">
        <v>790</v>
      </c>
      <c r="K878" s="6">
        <f t="shared" si="52"/>
        <v>87676</v>
      </c>
      <c r="L878" s="6">
        <f t="shared" si="53"/>
        <v>72680</v>
      </c>
      <c r="M878" s="6">
        <f t="shared" si="54"/>
        <v>-14996</v>
      </c>
      <c r="N878" s="6" t="str">
        <f t="shared" si="55"/>
        <v>loss</v>
      </c>
    </row>
    <row r="879" spans="1:14" ht="15.6" thickTop="1" thickBot="1" x14ac:dyDescent="0.35">
      <c r="A879" s="4">
        <v>45471</v>
      </c>
      <c r="B879" s="4" t="s">
        <v>13</v>
      </c>
      <c r="C879" s="5" t="s">
        <v>294</v>
      </c>
      <c r="D879" s="5" t="s">
        <v>32</v>
      </c>
      <c r="E879" s="5" t="s">
        <v>119</v>
      </c>
      <c r="F879" s="5" t="s">
        <v>59</v>
      </c>
      <c r="G879" s="5" t="s">
        <v>27</v>
      </c>
      <c r="H879" s="5">
        <v>96</v>
      </c>
      <c r="I879" s="5">
        <v>961</v>
      </c>
      <c r="J879" s="5">
        <v>1174</v>
      </c>
      <c r="K879" s="6">
        <f t="shared" si="52"/>
        <v>92256</v>
      </c>
      <c r="L879" s="6">
        <f t="shared" si="53"/>
        <v>112704</v>
      </c>
      <c r="M879" s="6">
        <f t="shared" si="54"/>
        <v>20448</v>
      </c>
      <c r="N879" s="6" t="str">
        <f t="shared" si="55"/>
        <v>profit</v>
      </c>
    </row>
    <row r="880" spans="1:14" ht="15.6" thickTop="1" thickBot="1" x14ac:dyDescent="0.35">
      <c r="A880" s="4">
        <v>45495</v>
      </c>
      <c r="B880" s="4" t="s">
        <v>39</v>
      </c>
      <c r="C880" s="5" t="s">
        <v>295</v>
      </c>
      <c r="D880" s="5" t="s">
        <v>32</v>
      </c>
      <c r="E880" s="5" t="s">
        <v>98</v>
      </c>
      <c r="F880" s="5" t="s">
        <v>20</v>
      </c>
      <c r="G880" s="5" t="s">
        <v>18</v>
      </c>
      <c r="H880" s="5">
        <v>79</v>
      </c>
      <c r="I880" s="5">
        <v>880</v>
      </c>
      <c r="J880" s="5">
        <v>1403</v>
      </c>
      <c r="K880" s="6">
        <f t="shared" si="52"/>
        <v>69520</v>
      </c>
      <c r="L880" s="6">
        <f t="shared" si="53"/>
        <v>110837</v>
      </c>
      <c r="M880" s="6">
        <f t="shared" si="54"/>
        <v>41317</v>
      </c>
      <c r="N880" s="6" t="str">
        <f t="shared" si="55"/>
        <v>profit</v>
      </c>
    </row>
    <row r="881" spans="1:14" ht="15.6" thickTop="1" thickBot="1" x14ac:dyDescent="0.35">
      <c r="A881" s="4">
        <v>45496</v>
      </c>
      <c r="B881" s="4" t="s">
        <v>39</v>
      </c>
      <c r="C881" s="5" t="s">
        <v>296</v>
      </c>
      <c r="D881" s="5" t="s">
        <v>32</v>
      </c>
      <c r="E881" s="5" t="s">
        <v>98</v>
      </c>
      <c r="F881" s="5" t="s">
        <v>22</v>
      </c>
      <c r="G881" s="5" t="s">
        <v>18</v>
      </c>
      <c r="H881" s="5">
        <v>62</v>
      </c>
      <c r="I881" s="5">
        <v>936</v>
      </c>
      <c r="J881" s="5">
        <v>1364</v>
      </c>
      <c r="K881" s="6">
        <f t="shared" si="52"/>
        <v>58032</v>
      </c>
      <c r="L881" s="6">
        <f t="shared" si="53"/>
        <v>84568</v>
      </c>
      <c r="M881" s="6">
        <f t="shared" si="54"/>
        <v>26536</v>
      </c>
      <c r="N881" s="6" t="str">
        <f t="shared" si="55"/>
        <v>profit</v>
      </c>
    </row>
    <row r="882" spans="1:14" ht="15.6" thickTop="1" thickBot="1" x14ac:dyDescent="0.35">
      <c r="A882" s="4">
        <v>45497</v>
      </c>
      <c r="B882" s="4" t="s">
        <v>39</v>
      </c>
      <c r="C882" s="5" t="s">
        <v>297</v>
      </c>
      <c r="D882" s="5" t="s">
        <v>32</v>
      </c>
      <c r="E882" s="5" t="s">
        <v>98</v>
      </c>
      <c r="F882" s="5" t="s">
        <v>24</v>
      </c>
      <c r="G882" s="5" t="s">
        <v>18</v>
      </c>
      <c r="H882" s="5">
        <v>53</v>
      </c>
      <c r="I882" s="5">
        <v>791</v>
      </c>
      <c r="J882" s="5">
        <v>1253</v>
      </c>
      <c r="K882" s="6">
        <f t="shared" si="52"/>
        <v>41923</v>
      </c>
      <c r="L882" s="6">
        <f t="shared" si="53"/>
        <v>66409</v>
      </c>
      <c r="M882" s="6">
        <f t="shared" si="54"/>
        <v>24486</v>
      </c>
      <c r="N882" s="6" t="str">
        <f t="shared" si="55"/>
        <v>profit</v>
      </c>
    </row>
    <row r="883" spans="1:14" ht="15.6" thickTop="1" thickBot="1" x14ac:dyDescent="0.35">
      <c r="A883" s="4">
        <v>45602</v>
      </c>
      <c r="B883" s="4" t="s">
        <v>160</v>
      </c>
      <c r="C883" s="5" t="s">
        <v>161</v>
      </c>
      <c r="D883" s="5" t="s">
        <v>32</v>
      </c>
      <c r="E883" s="5" t="s">
        <v>162</v>
      </c>
      <c r="F883" s="5" t="s">
        <v>29</v>
      </c>
      <c r="G883" s="5" t="s">
        <v>18</v>
      </c>
      <c r="H883" s="5">
        <v>74</v>
      </c>
      <c r="I883" s="5">
        <v>636</v>
      </c>
      <c r="J883" s="5">
        <v>955</v>
      </c>
      <c r="K883" s="6">
        <f t="shared" si="52"/>
        <v>47064</v>
      </c>
      <c r="L883" s="6">
        <f t="shared" si="53"/>
        <v>70670</v>
      </c>
      <c r="M883" s="6">
        <f t="shared" si="54"/>
        <v>23606</v>
      </c>
      <c r="N883" s="6" t="str">
        <f t="shared" si="55"/>
        <v>profit</v>
      </c>
    </row>
    <row r="884" spans="1:14" ht="15.6" thickTop="1" thickBot="1" x14ac:dyDescent="0.35">
      <c r="A884" s="4">
        <v>45498</v>
      </c>
      <c r="B884" s="4" t="s">
        <v>39</v>
      </c>
      <c r="C884" s="5" t="s">
        <v>298</v>
      </c>
      <c r="D884" s="5" t="s">
        <v>32</v>
      </c>
      <c r="E884" s="5" t="s">
        <v>98</v>
      </c>
      <c r="F884" s="5" t="s">
        <v>24</v>
      </c>
      <c r="G884" s="5" t="s">
        <v>18</v>
      </c>
      <c r="H884" s="5">
        <v>56</v>
      </c>
      <c r="I884" s="5">
        <v>740</v>
      </c>
      <c r="J884" s="5">
        <v>1464</v>
      </c>
      <c r="K884" s="6">
        <f t="shared" si="52"/>
        <v>41440</v>
      </c>
      <c r="L884" s="6">
        <f t="shared" si="53"/>
        <v>81984</v>
      </c>
      <c r="M884" s="6">
        <f t="shared" si="54"/>
        <v>40544</v>
      </c>
      <c r="N884" s="6" t="str">
        <f t="shared" si="55"/>
        <v>profit</v>
      </c>
    </row>
    <row r="885" spans="1:14" ht="15.6" thickTop="1" thickBot="1" x14ac:dyDescent="0.35">
      <c r="A885" s="4">
        <v>45499</v>
      </c>
      <c r="B885" s="4" t="s">
        <v>39</v>
      </c>
      <c r="C885" s="5" t="s">
        <v>299</v>
      </c>
      <c r="D885" s="5" t="s">
        <v>32</v>
      </c>
      <c r="E885" s="5" t="s">
        <v>98</v>
      </c>
      <c r="F885" s="5" t="s">
        <v>26</v>
      </c>
      <c r="G885" s="5" t="s">
        <v>18</v>
      </c>
      <c r="H885" s="5">
        <v>63</v>
      </c>
      <c r="I885" s="5">
        <v>519</v>
      </c>
      <c r="J885" s="5">
        <v>826</v>
      </c>
      <c r="K885" s="6">
        <f t="shared" si="52"/>
        <v>32697</v>
      </c>
      <c r="L885" s="6">
        <f t="shared" si="53"/>
        <v>52038</v>
      </c>
      <c r="M885" s="6">
        <f t="shared" si="54"/>
        <v>19341</v>
      </c>
      <c r="N885" s="6" t="str">
        <f t="shared" si="55"/>
        <v>profit</v>
      </c>
    </row>
    <row r="886" spans="1:14" ht="15.6" thickTop="1" thickBot="1" x14ac:dyDescent="0.35">
      <c r="A886" s="4">
        <v>45605</v>
      </c>
      <c r="B886" s="4" t="s">
        <v>160</v>
      </c>
      <c r="C886" s="5" t="s">
        <v>165</v>
      </c>
      <c r="D886" s="5" t="s">
        <v>32</v>
      </c>
      <c r="E886" s="5" t="s">
        <v>162</v>
      </c>
      <c r="F886" s="5" t="s">
        <v>70</v>
      </c>
      <c r="G886" s="5" t="s">
        <v>18</v>
      </c>
      <c r="H886" s="5">
        <v>83</v>
      </c>
      <c r="I886" s="5">
        <v>569</v>
      </c>
      <c r="J886" s="5">
        <v>1232</v>
      </c>
      <c r="K886" s="6">
        <f t="shared" si="52"/>
        <v>47227</v>
      </c>
      <c r="L886" s="6">
        <f t="shared" si="53"/>
        <v>102256</v>
      </c>
      <c r="M886" s="6">
        <f t="shared" si="54"/>
        <v>55029</v>
      </c>
      <c r="N886" s="6" t="str">
        <f t="shared" si="55"/>
        <v>profit</v>
      </c>
    </row>
    <row r="887" spans="1:14" ht="15.6" thickTop="1" thickBot="1" x14ac:dyDescent="0.35">
      <c r="A887" s="4">
        <v>45500</v>
      </c>
      <c r="B887" s="4" t="s">
        <v>39</v>
      </c>
      <c r="C887" s="5" t="s">
        <v>300</v>
      </c>
      <c r="D887" s="5" t="s">
        <v>32</v>
      </c>
      <c r="E887" s="5" t="s">
        <v>98</v>
      </c>
      <c r="F887" s="5" t="s">
        <v>29</v>
      </c>
      <c r="G887" s="5" t="s">
        <v>18</v>
      </c>
      <c r="H887" s="5">
        <v>73</v>
      </c>
      <c r="I887" s="5">
        <v>857</v>
      </c>
      <c r="J887" s="5">
        <v>1024</v>
      </c>
      <c r="K887" s="6">
        <f t="shared" si="52"/>
        <v>62561</v>
      </c>
      <c r="L887" s="6">
        <f t="shared" si="53"/>
        <v>74752</v>
      </c>
      <c r="M887" s="6">
        <f t="shared" si="54"/>
        <v>12191</v>
      </c>
      <c r="N887" s="6" t="str">
        <f t="shared" si="55"/>
        <v>profit</v>
      </c>
    </row>
    <row r="888" spans="1:14" ht="15.6" thickTop="1" thickBot="1" x14ac:dyDescent="0.35">
      <c r="A888" s="4">
        <v>45501</v>
      </c>
      <c r="B888" s="4" t="s">
        <v>39</v>
      </c>
      <c r="C888" s="5" t="s">
        <v>301</v>
      </c>
      <c r="D888" s="5" t="s">
        <v>32</v>
      </c>
      <c r="E888" s="5" t="s">
        <v>98</v>
      </c>
      <c r="F888" s="5" t="s">
        <v>24</v>
      </c>
      <c r="G888" s="5" t="s">
        <v>18</v>
      </c>
      <c r="H888" s="5">
        <v>67</v>
      </c>
      <c r="I888" s="5">
        <v>725</v>
      </c>
      <c r="J888" s="5">
        <v>884</v>
      </c>
      <c r="K888" s="6">
        <f t="shared" si="52"/>
        <v>48575</v>
      </c>
      <c r="L888" s="6">
        <f t="shared" si="53"/>
        <v>59228</v>
      </c>
      <c r="M888" s="6">
        <f t="shared" si="54"/>
        <v>10653</v>
      </c>
      <c r="N888" s="6" t="str">
        <f t="shared" si="55"/>
        <v>profit</v>
      </c>
    </row>
    <row r="889" spans="1:14" ht="15.6" thickTop="1" thickBot="1" x14ac:dyDescent="0.35">
      <c r="A889" s="4">
        <v>45502</v>
      </c>
      <c r="B889" s="4" t="s">
        <v>39</v>
      </c>
      <c r="C889" s="5" t="s">
        <v>302</v>
      </c>
      <c r="D889" s="5" t="s">
        <v>32</v>
      </c>
      <c r="E889" s="5" t="s">
        <v>98</v>
      </c>
      <c r="F889" s="5" t="s">
        <v>75</v>
      </c>
      <c r="G889" s="5" t="s">
        <v>18</v>
      </c>
      <c r="H889" s="5">
        <v>74</v>
      </c>
      <c r="I889" s="5">
        <v>691</v>
      </c>
      <c r="J889" s="5">
        <v>871</v>
      </c>
      <c r="K889" s="6">
        <f t="shared" si="52"/>
        <v>51134</v>
      </c>
      <c r="L889" s="6">
        <f t="shared" si="53"/>
        <v>64454</v>
      </c>
      <c r="M889" s="6">
        <f t="shared" si="54"/>
        <v>13320</v>
      </c>
      <c r="N889" s="6" t="str">
        <f t="shared" si="55"/>
        <v>profit</v>
      </c>
    </row>
    <row r="890" spans="1:14" ht="15.6" thickTop="1" thickBot="1" x14ac:dyDescent="0.35">
      <c r="A890" s="4">
        <v>45503</v>
      </c>
      <c r="B890" s="4" t="s">
        <v>39</v>
      </c>
      <c r="C890" s="5" t="s">
        <v>303</v>
      </c>
      <c r="D890" s="5" t="s">
        <v>32</v>
      </c>
      <c r="E890" s="5" t="s">
        <v>98</v>
      </c>
      <c r="F890" s="5" t="s">
        <v>70</v>
      </c>
      <c r="G890" s="5" t="s">
        <v>27</v>
      </c>
      <c r="H890" s="5">
        <v>92</v>
      </c>
      <c r="I890" s="5">
        <v>981</v>
      </c>
      <c r="J890" s="5">
        <v>1157</v>
      </c>
      <c r="K890" s="6">
        <f t="shared" si="52"/>
        <v>90252</v>
      </c>
      <c r="L890" s="6">
        <f t="shared" si="53"/>
        <v>106444</v>
      </c>
      <c r="M890" s="6">
        <f t="shared" si="54"/>
        <v>16192</v>
      </c>
      <c r="N890" s="6" t="str">
        <f t="shared" si="55"/>
        <v>profit</v>
      </c>
    </row>
    <row r="891" spans="1:14" ht="15.6" thickTop="1" thickBot="1" x14ac:dyDescent="0.35">
      <c r="A891" s="4">
        <v>45610</v>
      </c>
      <c r="B891" s="4" t="s">
        <v>160</v>
      </c>
      <c r="C891" s="5" t="s">
        <v>170</v>
      </c>
      <c r="D891" s="5" t="s">
        <v>45</v>
      </c>
      <c r="E891" s="5" t="s">
        <v>62</v>
      </c>
      <c r="F891" s="5" t="s">
        <v>77</v>
      </c>
      <c r="G891" s="5" t="s">
        <v>27</v>
      </c>
      <c r="H891" s="5">
        <v>23</v>
      </c>
      <c r="I891" s="5">
        <v>663</v>
      </c>
      <c r="J891" s="5">
        <v>1215</v>
      </c>
      <c r="K891" s="6">
        <f t="shared" si="52"/>
        <v>15249</v>
      </c>
      <c r="L891" s="6">
        <f t="shared" si="53"/>
        <v>27945</v>
      </c>
      <c r="M891" s="6">
        <f t="shared" si="54"/>
        <v>12696</v>
      </c>
      <c r="N891" s="6" t="str">
        <f t="shared" si="55"/>
        <v>profit</v>
      </c>
    </row>
    <row r="892" spans="1:14" ht="15.6" thickTop="1" thickBot="1" x14ac:dyDescent="0.35">
      <c r="A892" s="4">
        <v>45504</v>
      </c>
      <c r="B892" s="4" t="s">
        <v>39</v>
      </c>
      <c r="C892" s="5" t="s">
        <v>304</v>
      </c>
      <c r="D892" s="5" t="s">
        <v>32</v>
      </c>
      <c r="E892" s="5" t="s">
        <v>98</v>
      </c>
      <c r="F892" s="5" t="s">
        <v>43</v>
      </c>
      <c r="G892" s="5" t="s">
        <v>27</v>
      </c>
      <c r="H892" s="5">
        <v>63</v>
      </c>
      <c r="I892" s="5">
        <v>547</v>
      </c>
      <c r="J892" s="5">
        <v>1150</v>
      </c>
      <c r="K892" s="6">
        <f t="shared" si="52"/>
        <v>34461</v>
      </c>
      <c r="L892" s="6">
        <f t="shared" si="53"/>
        <v>72450</v>
      </c>
      <c r="M892" s="6">
        <f t="shared" si="54"/>
        <v>37989</v>
      </c>
      <c r="N892" s="6" t="str">
        <f t="shared" si="55"/>
        <v>profit</v>
      </c>
    </row>
    <row r="893" spans="1:14" ht="15.6" thickTop="1" thickBot="1" x14ac:dyDescent="0.35">
      <c r="A893" s="4">
        <v>45505</v>
      </c>
      <c r="B893" s="4" t="s">
        <v>56</v>
      </c>
      <c r="C893" s="5" t="s">
        <v>305</v>
      </c>
      <c r="D893" s="5" t="s">
        <v>32</v>
      </c>
      <c r="E893" s="5" t="s">
        <v>98</v>
      </c>
      <c r="F893" s="5" t="s">
        <v>24</v>
      </c>
      <c r="G893" s="5" t="s">
        <v>27</v>
      </c>
      <c r="H893" s="5">
        <v>69</v>
      </c>
      <c r="I893" s="5">
        <v>531</v>
      </c>
      <c r="J893" s="5">
        <v>1210</v>
      </c>
      <c r="K893" s="6">
        <f t="shared" si="52"/>
        <v>36639</v>
      </c>
      <c r="L893" s="6">
        <f t="shared" si="53"/>
        <v>83490</v>
      </c>
      <c r="M893" s="6">
        <f t="shared" si="54"/>
        <v>46851</v>
      </c>
      <c r="N893" s="6" t="str">
        <f t="shared" si="55"/>
        <v>profit</v>
      </c>
    </row>
    <row r="894" spans="1:14" ht="15.6" thickTop="1" thickBot="1" x14ac:dyDescent="0.35">
      <c r="A894" s="4">
        <v>45506</v>
      </c>
      <c r="B894" s="4" t="s">
        <v>56</v>
      </c>
      <c r="C894" s="5" t="s">
        <v>306</v>
      </c>
      <c r="D894" s="5" t="s">
        <v>32</v>
      </c>
      <c r="E894" s="5" t="s">
        <v>98</v>
      </c>
      <c r="F894" s="5" t="s">
        <v>63</v>
      </c>
      <c r="G894" s="5" t="s">
        <v>27</v>
      </c>
      <c r="H894" s="5">
        <v>84</v>
      </c>
      <c r="I894" s="5">
        <v>806</v>
      </c>
      <c r="J894" s="5">
        <v>1242</v>
      </c>
      <c r="K894" s="6">
        <f t="shared" si="52"/>
        <v>67704</v>
      </c>
      <c r="L894" s="6">
        <f t="shared" si="53"/>
        <v>104328</v>
      </c>
      <c r="M894" s="6">
        <f t="shared" si="54"/>
        <v>36624</v>
      </c>
      <c r="N894" s="6" t="str">
        <f t="shared" si="55"/>
        <v>profit</v>
      </c>
    </row>
    <row r="895" spans="1:14" ht="15.6" thickTop="1" thickBot="1" x14ac:dyDescent="0.35">
      <c r="A895" s="4">
        <v>45614</v>
      </c>
      <c r="B895" s="4" t="s">
        <v>160</v>
      </c>
      <c r="C895" s="5" t="s">
        <v>174</v>
      </c>
      <c r="D895" s="5" t="s">
        <v>45</v>
      </c>
      <c r="E895" s="5" t="s">
        <v>62</v>
      </c>
      <c r="F895" s="5" t="s">
        <v>34</v>
      </c>
      <c r="G895" s="5" t="s">
        <v>18</v>
      </c>
      <c r="H895" s="5">
        <v>26</v>
      </c>
      <c r="I895" s="5">
        <v>878</v>
      </c>
      <c r="J895" s="5">
        <v>1492</v>
      </c>
      <c r="K895" s="6">
        <f t="shared" si="52"/>
        <v>22828</v>
      </c>
      <c r="L895" s="6">
        <f t="shared" si="53"/>
        <v>38792</v>
      </c>
      <c r="M895" s="6">
        <f t="shared" si="54"/>
        <v>15964</v>
      </c>
      <c r="N895" s="6" t="str">
        <f t="shared" si="55"/>
        <v>profit</v>
      </c>
    </row>
    <row r="896" spans="1:14" ht="15.6" thickTop="1" thickBot="1" x14ac:dyDescent="0.35">
      <c r="A896" s="4">
        <v>45508</v>
      </c>
      <c r="B896" s="4" t="s">
        <v>56</v>
      </c>
      <c r="C896" s="5" t="s">
        <v>307</v>
      </c>
      <c r="D896" s="5" t="s">
        <v>32</v>
      </c>
      <c r="E896" s="5" t="s">
        <v>119</v>
      </c>
      <c r="F896" s="5" t="s">
        <v>77</v>
      </c>
      <c r="G896" s="5" t="s">
        <v>18</v>
      </c>
      <c r="H896" s="5">
        <v>71</v>
      </c>
      <c r="I896" s="5">
        <v>565</v>
      </c>
      <c r="J896" s="5">
        <v>807</v>
      </c>
      <c r="K896" s="6">
        <f t="shared" si="52"/>
        <v>40115</v>
      </c>
      <c r="L896" s="6">
        <f t="shared" si="53"/>
        <v>57297</v>
      </c>
      <c r="M896" s="6">
        <f t="shared" si="54"/>
        <v>17182</v>
      </c>
      <c r="N896" s="6" t="str">
        <f t="shared" si="55"/>
        <v>profit</v>
      </c>
    </row>
    <row r="897" spans="1:14" ht="15.6" thickTop="1" thickBot="1" x14ac:dyDescent="0.35">
      <c r="A897" s="4">
        <v>45616</v>
      </c>
      <c r="B897" s="4" t="s">
        <v>160</v>
      </c>
      <c r="C897" s="5" t="s">
        <v>176</v>
      </c>
      <c r="D897" s="5" t="s">
        <v>45</v>
      </c>
      <c r="E897" s="5" t="s">
        <v>62</v>
      </c>
      <c r="F897" s="5" t="s">
        <v>38</v>
      </c>
      <c r="G897" s="5" t="s">
        <v>18</v>
      </c>
      <c r="H897" s="5">
        <v>25</v>
      </c>
      <c r="I897" s="5">
        <v>547</v>
      </c>
      <c r="J897" s="5">
        <v>1342</v>
      </c>
      <c r="K897" s="6">
        <f t="shared" si="52"/>
        <v>13675</v>
      </c>
      <c r="L897" s="6">
        <f t="shared" si="53"/>
        <v>33550</v>
      </c>
      <c r="M897" s="6">
        <f t="shared" si="54"/>
        <v>19875</v>
      </c>
      <c r="N897" s="6" t="str">
        <f t="shared" si="55"/>
        <v>profit</v>
      </c>
    </row>
    <row r="898" spans="1:14" ht="15.6" thickTop="1" thickBot="1" x14ac:dyDescent="0.35">
      <c r="A898" s="4">
        <v>45509</v>
      </c>
      <c r="B898" s="4" t="s">
        <v>56</v>
      </c>
      <c r="C898" s="5" t="s">
        <v>308</v>
      </c>
      <c r="D898" s="5" t="s">
        <v>32</v>
      </c>
      <c r="E898" s="5" t="s">
        <v>119</v>
      </c>
      <c r="F898" s="5" t="s">
        <v>34</v>
      </c>
      <c r="G898" s="5" t="s">
        <v>18</v>
      </c>
      <c r="H898" s="5">
        <v>90</v>
      </c>
      <c r="I898" s="5">
        <v>634</v>
      </c>
      <c r="J898" s="5">
        <v>1465</v>
      </c>
      <c r="K898" s="6">
        <f t="shared" ref="K898:K961" si="56">H898*I898</f>
        <v>57060</v>
      </c>
      <c r="L898" s="6">
        <f t="shared" ref="L898:L961" si="57">H898*J898</f>
        <v>131850</v>
      </c>
      <c r="M898" s="6">
        <f t="shared" ref="M898:M961" si="58">L898-K898</f>
        <v>74790</v>
      </c>
      <c r="N898" s="6" t="str">
        <f t="shared" ref="N898:N961" si="59">IF(M898&gt;0,"profit","loss")</f>
        <v>profit</v>
      </c>
    </row>
    <row r="899" spans="1:14" ht="15.6" thickTop="1" thickBot="1" x14ac:dyDescent="0.35">
      <c r="A899" s="4">
        <v>45528</v>
      </c>
      <c r="B899" s="4" t="s">
        <v>56</v>
      </c>
      <c r="C899" s="5" t="s">
        <v>309</v>
      </c>
      <c r="D899" s="5" t="s">
        <v>32</v>
      </c>
      <c r="E899" s="5" t="s">
        <v>98</v>
      </c>
      <c r="F899" s="5" t="s">
        <v>38</v>
      </c>
      <c r="G899" s="5" t="s">
        <v>18</v>
      </c>
      <c r="H899" s="5">
        <v>61</v>
      </c>
      <c r="I899" s="5">
        <v>675</v>
      </c>
      <c r="J899" s="5">
        <v>770</v>
      </c>
      <c r="K899" s="6">
        <f t="shared" si="56"/>
        <v>41175</v>
      </c>
      <c r="L899" s="6">
        <f t="shared" si="57"/>
        <v>46970</v>
      </c>
      <c r="M899" s="6">
        <f t="shared" si="58"/>
        <v>5795</v>
      </c>
      <c r="N899" s="6" t="str">
        <f t="shared" si="59"/>
        <v>profit</v>
      </c>
    </row>
    <row r="900" spans="1:14" ht="15.6" thickTop="1" thickBot="1" x14ac:dyDescent="0.35">
      <c r="A900" s="4">
        <v>45529</v>
      </c>
      <c r="B900" s="4" t="s">
        <v>56</v>
      </c>
      <c r="C900" s="5" t="s">
        <v>310</v>
      </c>
      <c r="D900" s="5" t="s">
        <v>32</v>
      </c>
      <c r="E900" s="5" t="s">
        <v>98</v>
      </c>
      <c r="F900" s="5" t="s">
        <v>29</v>
      </c>
      <c r="G900" s="5" t="s">
        <v>18</v>
      </c>
      <c r="H900" s="5">
        <v>58</v>
      </c>
      <c r="I900" s="5">
        <v>720</v>
      </c>
      <c r="J900" s="5">
        <v>1356</v>
      </c>
      <c r="K900" s="6">
        <f t="shared" si="56"/>
        <v>41760</v>
      </c>
      <c r="L900" s="6">
        <f t="shared" si="57"/>
        <v>78648</v>
      </c>
      <c r="M900" s="6">
        <f t="shared" si="58"/>
        <v>36888</v>
      </c>
      <c r="N900" s="6" t="str">
        <f t="shared" si="59"/>
        <v>profit</v>
      </c>
    </row>
    <row r="901" spans="1:14" ht="15.6" thickTop="1" thickBot="1" x14ac:dyDescent="0.35">
      <c r="A901" s="4">
        <v>45530</v>
      </c>
      <c r="B901" s="4" t="s">
        <v>56</v>
      </c>
      <c r="C901" s="5" t="s">
        <v>311</v>
      </c>
      <c r="D901" s="5" t="s">
        <v>32</v>
      </c>
      <c r="E901" s="5" t="s">
        <v>98</v>
      </c>
      <c r="F901" s="5" t="s">
        <v>112</v>
      </c>
      <c r="G901" s="5" t="s">
        <v>18</v>
      </c>
      <c r="H901" s="5">
        <v>60</v>
      </c>
      <c r="I901" s="5">
        <v>676</v>
      </c>
      <c r="J901" s="5">
        <v>768</v>
      </c>
      <c r="K901" s="6">
        <f t="shared" si="56"/>
        <v>40560</v>
      </c>
      <c r="L901" s="6">
        <f t="shared" si="57"/>
        <v>46080</v>
      </c>
      <c r="M901" s="6">
        <f t="shared" si="58"/>
        <v>5520</v>
      </c>
      <c r="N901" s="6" t="str">
        <f t="shared" si="59"/>
        <v>profit</v>
      </c>
    </row>
    <row r="902" spans="1:14" ht="15.6" thickTop="1" thickBot="1" x14ac:dyDescent="0.35">
      <c r="A902" s="4">
        <v>45531</v>
      </c>
      <c r="B902" s="4" t="s">
        <v>56</v>
      </c>
      <c r="C902" s="5" t="s">
        <v>312</v>
      </c>
      <c r="D902" s="5" t="s">
        <v>32</v>
      </c>
      <c r="E902" s="5" t="s">
        <v>98</v>
      </c>
      <c r="F902" s="5" t="s">
        <v>43</v>
      </c>
      <c r="G902" s="5" t="s">
        <v>18</v>
      </c>
      <c r="H902" s="5">
        <v>91</v>
      </c>
      <c r="I902" s="5">
        <v>808</v>
      </c>
      <c r="J902" s="5">
        <v>928</v>
      </c>
      <c r="K902" s="6">
        <f t="shared" si="56"/>
        <v>73528</v>
      </c>
      <c r="L902" s="6">
        <f t="shared" si="57"/>
        <v>84448</v>
      </c>
      <c r="M902" s="6">
        <f t="shared" si="58"/>
        <v>10920</v>
      </c>
      <c r="N902" s="6" t="str">
        <f t="shared" si="59"/>
        <v>profit</v>
      </c>
    </row>
    <row r="903" spans="1:14" ht="15.6" thickTop="1" thickBot="1" x14ac:dyDescent="0.35">
      <c r="A903" s="4">
        <v>45532</v>
      </c>
      <c r="B903" s="4" t="s">
        <v>56</v>
      </c>
      <c r="C903" s="5" t="s">
        <v>313</v>
      </c>
      <c r="D903" s="5" t="s">
        <v>32</v>
      </c>
      <c r="E903" s="5" t="s">
        <v>98</v>
      </c>
      <c r="F903" s="5" t="s">
        <v>152</v>
      </c>
      <c r="G903" s="5" t="s">
        <v>18</v>
      </c>
      <c r="H903" s="5">
        <v>99</v>
      </c>
      <c r="I903" s="5">
        <v>528</v>
      </c>
      <c r="J903" s="5">
        <v>985</v>
      </c>
      <c r="K903" s="6">
        <f t="shared" si="56"/>
        <v>52272</v>
      </c>
      <c r="L903" s="6">
        <f t="shared" si="57"/>
        <v>97515</v>
      </c>
      <c r="M903" s="6">
        <f t="shared" si="58"/>
        <v>45243</v>
      </c>
      <c r="N903" s="6" t="str">
        <f t="shared" si="59"/>
        <v>profit</v>
      </c>
    </row>
    <row r="904" spans="1:14" ht="15.6" thickTop="1" thickBot="1" x14ac:dyDescent="0.35">
      <c r="A904" s="4">
        <v>45533</v>
      </c>
      <c r="B904" s="4" t="s">
        <v>56</v>
      </c>
      <c r="C904" s="5" t="s">
        <v>314</v>
      </c>
      <c r="D904" s="5" t="s">
        <v>32</v>
      </c>
      <c r="E904" s="5" t="s">
        <v>98</v>
      </c>
      <c r="F904" s="5" t="s">
        <v>154</v>
      </c>
      <c r="G904" s="5" t="s">
        <v>18</v>
      </c>
      <c r="H904" s="5">
        <v>73</v>
      </c>
      <c r="I904" s="5">
        <v>783</v>
      </c>
      <c r="J904" s="5">
        <v>903</v>
      </c>
      <c r="K904" s="6">
        <f t="shared" si="56"/>
        <v>57159</v>
      </c>
      <c r="L904" s="6">
        <f t="shared" si="57"/>
        <v>65919</v>
      </c>
      <c r="M904" s="6">
        <f t="shared" si="58"/>
        <v>8760</v>
      </c>
      <c r="N904" s="6" t="str">
        <f t="shared" si="59"/>
        <v>profit</v>
      </c>
    </row>
    <row r="905" spans="1:14" ht="15.6" thickTop="1" thickBot="1" x14ac:dyDescent="0.35">
      <c r="A905" s="4">
        <v>45534</v>
      </c>
      <c r="B905" s="4" t="s">
        <v>56</v>
      </c>
      <c r="C905" s="5" t="s">
        <v>315</v>
      </c>
      <c r="D905" s="5" t="s">
        <v>32</v>
      </c>
      <c r="E905" s="5" t="s">
        <v>98</v>
      </c>
      <c r="F905" s="5" t="s">
        <v>17</v>
      </c>
      <c r="G905" s="5" t="s">
        <v>27</v>
      </c>
      <c r="H905" s="5">
        <v>59</v>
      </c>
      <c r="I905" s="5">
        <v>638</v>
      </c>
      <c r="J905" s="5">
        <v>1080</v>
      </c>
      <c r="K905" s="6">
        <f t="shared" si="56"/>
        <v>37642</v>
      </c>
      <c r="L905" s="6">
        <f t="shared" si="57"/>
        <v>63720</v>
      </c>
      <c r="M905" s="6">
        <f t="shared" si="58"/>
        <v>26078</v>
      </c>
      <c r="N905" s="6" t="str">
        <f t="shared" si="59"/>
        <v>profit</v>
      </c>
    </row>
    <row r="906" spans="1:14" ht="15.6" thickTop="1" thickBot="1" x14ac:dyDescent="0.35">
      <c r="A906" s="4">
        <v>45536</v>
      </c>
      <c r="B906" s="4" t="s">
        <v>68</v>
      </c>
      <c r="C906" s="5" t="s">
        <v>316</v>
      </c>
      <c r="D906" s="5" t="s">
        <v>32</v>
      </c>
      <c r="E906" s="5" t="s">
        <v>98</v>
      </c>
      <c r="F906" s="5" t="s">
        <v>22</v>
      </c>
      <c r="G906" s="5" t="s">
        <v>27</v>
      </c>
      <c r="H906" s="5">
        <v>68</v>
      </c>
      <c r="I906" s="5">
        <v>881</v>
      </c>
      <c r="J906" s="5">
        <v>1266</v>
      </c>
      <c r="K906" s="6">
        <f t="shared" si="56"/>
        <v>59908</v>
      </c>
      <c r="L906" s="6">
        <f t="shared" si="57"/>
        <v>86088</v>
      </c>
      <c r="M906" s="6">
        <f t="shared" si="58"/>
        <v>26180</v>
      </c>
      <c r="N906" s="6" t="str">
        <f t="shared" si="59"/>
        <v>profit</v>
      </c>
    </row>
    <row r="907" spans="1:14" ht="15.6" thickTop="1" thickBot="1" x14ac:dyDescent="0.35">
      <c r="A907" s="4">
        <v>45626</v>
      </c>
      <c r="B907" s="4" t="s">
        <v>160</v>
      </c>
      <c r="C907" s="5" t="s">
        <v>186</v>
      </c>
      <c r="D907" s="5" t="s">
        <v>45</v>
      </c>
      <c r="E907" s="5" t="s">
        <v>117</v>
      </c>
      <c r="F907" s="5" t="s">
        <v>38</v>
      </c>
      <c r="G907" s="5" t="s">
        <v>18</v>
      </c>
      <c r="H907" s="5">
        <v>22</v>
      </c>
      <c r="I907" s="5">
        <v>606</v>
      </c>
      <c r="J907" s="5">
        <v>1459</v>
      </c>
      <c r="K907" s="6">
        <f t="shared" si="56"/>
        <v>13332</v>
      </c>
      <c r="L907" s="6">
        <f t="shared" si="57"/>
        <v>32098</v>
      </c>
      <c r="M907" s="6">
        <f t="shared" si="58"/>
        <v>18766</v>
      </c>
      <c r="N907" s="6" t="str">
        <f t="shared" si="59"/>
        <v>profit</v>
      </c>
    </row>
    <row r="908" spans="1:14" ht="15.6" thickTop="1" thickBot="1" x14ac:dyDescent="0.35">
      <c r="A908" s="4">
        <v>45537</v>
      </c>
      <c r="B908" s="4" t="s">
        <v>68</v>
      </c>
      <c r="C908" s="5" t="s">
        <v>317</v>
      </c>
      <c r="D908" s="5" t="s">
        <v>32</v>
      </c>
      <c r="E908" s="5" t="s">
        <v>119</v>
      </c>
      <c r="F908" s="5" t="s">
        <v>24</v>
      </c>
      <c r="G908" s="5" t="s">
        <v>27</v>
      </c>
      <c r="H908" s="5">
        <v>55</v>
      </c>
      <c r="I908" s="5">
        <v>639</v>
      </c>
      <c r="J908" s="5">
        <v>1311</v>
      </c>
      <c r="K908" s="6">
        <f t="shared" si="56"/>
        <v>35145</v>
      </c>
      <c r="L908" s="6">
        <f t="shared" si="57"/>
        <v>72105</v>
      </c>
      <c r="M908" s="6">
        <f t="shared" si="58"/>
        <v>36960</v>
      </c>
      <c r="N908" s="6" t="str">
        <f t="shared" si="59"/>
        <v>profit</v>
      </c>
    </row>
    <row r="909" spans="1:14" ht="15.6" thickTop="1" thickBot="1" x14ac:dyDescent="0.35">
      <c r="A909" s="4">
        <v>45538</v>
      </c>
      <c r="B909" s="4" t="s">
        <v>68</v>
      </c>
      <c r="C909" s="5" t="s">
        <v>318</v>
      </c>
      <c r="D909" s="5" t="s">
        <v>32</v>
      </c>
      <c r="E909" s="5" t="s">
        <v>119</v>
      </c>
      <c r="F909" s="5" t="s">
        <v>24</v>
      </c>
      <c r="G909" s="5" t="s">
        <v>27</v>
      </c>
      <c r="H909" s="5">
        <v>52</v>
      </c>
      <c r="I909" s="5">
        <v>718</v>
      </c>
      <c r="J909" s="5">
        <v>919</v>
      </c>
      <c r="K909" s="6">
        <f t="shared" si="56"/>
        <v>37336</v>
      </c>
      <c r="L909" s="6">
        <f t="shared" si="57"/>
        <v>47788</v>
      </c>
      <c r="M909" s="6">
        <f t="shared" si="58"/>
        <v>10452</v>
      </c>
      <c r="N909" s="6" t="str">
        <f t="shared" si="59"/>
        <v>profit</v>
      </c>
    </row>
    <row r="910" spans="1:14" ht="15.6" thickTop="1" thickBot="1" x14ac:dyDescent="0.35">
      <c r="A910" s="4">
        <v>45629</v>
      </c>
      <c r="B910" s="4" t="s">
        <v>189</v>
      </c>
      <c r="C910" s="5" t="s">
        <v>190</v>
      </c>
      <c r="D910" s="5" t="s">
        <v>45</v>
      </c>
      <c r="E910" s="5" t="s">
        <v>117</v>
      </c>
      <c r="F910" s="5" t="s">
        <v>59</v>
      </c>
      <c r="G910" s="5" t="s">
        <v>27</v>
      </c>
      <c r="H910" s="5">
        <v>28</v>
      </c>
      <c r="I910" s="5">
        <v>507</v>
      </c>
      <c r="J910" s="5">
        <v>1379</v>
      </c>
      <c r="K910" s="6">
        <f t="shared" si="56"/>
        <v>14196</v>
      </c>
      <c r="L910" s="6">
        <f t="shared" si="57"/>
        <v>38612</v>
      </c>
      <c r="M910" s="6">
        <f t="shared" si="58"/>
        <v>24416</v>
      </c>
      <c r="N910" s="6" t="str">
        <f t="shared" si="59"/>
        <v>profit</v>
      </c>
    </row>
    <row r="911" spans="1:14" ht="15.6" thickTop="1" thickBot="1" x14ac:dyDescent="0.35">
      <c r="A911" s="4">
        <v>45539</v>
      </c>
      <c r="B911" s="4" t="s">
        <v>68</v>
      </c>
      <c r="C911" s="5" t="s">
        <v>319</v>
      </c>
      <c r="D911" s="5" t="s">
        <v>32</v>
      </c>
      <c r="E911" s="5" t="s">
        <v>119</v>
      </c>
      <c r="F911" s="5" t="s">
        <v>26</v>
      </c>
      <c r="G911" s="5" t="s">
        <v>18</v>
      </c>
      <c r="H911" s="5">
        <v>95</v>
      </c>
      <c r="I911" s="5">
        <v>944</v>
      </c>
      <c r="J911" s="5">
        <v>1263</v>
      </c>
      <c r="K911" s="6">
        <f t="shared" si="56"/>
        <v>89680</v>
      </c>
      <c r="L911" s="6">
        <f t="shared" si="57"/>
        <v>119985</v>
      </c>
      <c r="M911" s="6">
        <f t="shared" si="58"/>
        <v>30305</v>
      </c>
      <c r="N911" s="6" t="str">
        <f t="shared" si="59"/>
        <v>profit</v>
      </c>
    </row>
    <row r="912" spans="1:14" ht="15.6" thickTop="1" thickBot="1" x14ac:dyDescent="0.35">
      <c r="A912" s="4">
        <v>45541</v>
      </c>
      <c r="B912" s="4" t="s">
        <v>68</v>
      </c>
      <c r="C912" s="5" t="s">
        <v>320</v>
      </c>
      <c r="D912" s="5" t="s">
        <v>32</v>
      </c>
      <c r="E912" s="5" t="s">
        <v>119</v>
      </c>
      <c r="F912" s="5" t="s">
        <v>24</v>
      </c>
      <c r="G912" s="5" t="s">
        <v>18</v>
      </c>
      <c r="H912" s="5">
        <v>99</v>
      </c>
      <c r="I912" s="5">
        <v>523</v>
      </c>
      <c r="J912" s="5">
        <v>1350</v>
      </c>
      <c r="K912" s="6">
        <f t="shared" si="56"/>
        <v>51777</v>
      </c>
      <c r="L912" s="6">
        <f t="shared" si="57"/>
        <v>133650</v>
      </c>
      <c r="M912" s="6">
        <f t="shared" si="58"/>
        <v>81873</v>
      </c>
      <c r="N912" s="6" t="str">
        <f t="shared" si="59"/>
        <v>profit</v>
      </c>
    </row>
    <row r="913" spans="1:14" ht="15.6" thickTop="1" thickBot="1" x14ac:dyDescent="0.35">
      <c r="A913" s="4">
        <v>45542</v>
      </c>
      <c r="B913" s="4" t="s">
        <v>68</v>
      </c>
      <c r="C913" s="5" t="s">
        <v>321</v>
      </c>
      <c r="D913" s="5" t="s">
        <v>32</v>
      </c>
      <c r="E913" s="5" t="s">
        <v>119</v>
      </c>
      <c r="F913" s="5" t="s">
        <v>75</v>
      </c>
      <c r="G913" s="5" t="s">
        <v>27</v>
      </c>
      <c r="H913" s="5">
        <v>92</v>
      </c>
      <c r="I913" s="5">
        <v>814</v>
      </c>
      <c r="J913" s="5">
        <v>865</v>
      </c>
      <c r="K913" s="6">
        <f t="shared" si="56"/>
        <v>74888</v>
      </c>
      <c r="L913" s="6">
        <f t="shared" si="57"/>
        <v>79580</v>
      </c>
      <c r="M913" s="6">
        <f t="shared" si="58"/>
        <v>4692</v>
      </c>
      <c r="N913" s="6" t="str">
        <f t="shared" si="59"/>
        <v>profit</v>
      </c>
    </row>
    <row r="914" spans="1:14" ht="15.6" thickTop="1" thickBot="1" x14ac:dyDescent="0.35">
      <c r="A914" s="4">
        <v>45555</v>
      </c>
      <c r="B914" s="4" t="s">
        <v>68</v>
      </c>
      <c r="C914" s="5" t="s">
        <v>322</v>
      </c>
      <c r="D914" s="5" t="s">
        <v>32</v>
      </c>
      <c r="E914" s="5" t="s">
        <v>119</v>
      </c>
      <c r="F914" s="5" t="s">
        <v>43</v>
      </c>
      <c r="G914" s="5" t="s">
        <v>27</v>
      </c>
      <c r="H914" s="5">
        <v>62</v>
      </c>
      <c r="I914" s="5">
        <v>891</v>
      </c>
      <c r="J914" s="5">
        <v>1170</v>
      </c>
      <c r="K914" s="6">
        <f t="shared" si="56"/>
        <v>55242</v>
      </c>
      <c r="L914" s="6">
        <f t="shared" si="57"/>
        <v>72540</v>
      </c>
      <c r="M914" s="6">
        <f t="shared" si="58"/>
        <v>17298</v>
      </c>
      <c r="N914" s="6" t="str">
        <f t="shared" si="59"/>
        <v>profit</v>
      </c>
    </row>
    <row r="915" spans="1:14" ht="15.6" thickTop="1" thickBot="1" x14ac:dyDescent="0.35">
      <c r="A915" s="4">
        <v>45634</v>
      </c>
      <c r="B915" s="4" t="s">
        <v>189</v>
      </c>
      <c r="C915" s="5" t="s">
        <v>195</v>
      </c>
      <c r="D915" s="5" t="s">
        <v>45</v>
      </c>
      <c r="E915" s="5" t="s">
        <v>117</v>
      </c>
      <c r="F915" s="5" t="s">
        <v>152</v>
      </c>
      <c r="G915" s="5" t="s">
        <v>27</v>
      </c>
      <c r="H915" s="5">
        <v>29</v>
      </c>
      <c r="I915" s="5">
        <v>989</v>
      </c>
      <c r="J915" s="5">
        <v>836</v>
      </c>
      <c r="K915" s="6">
        <f t="shared" si="56"/>
        <v>28681</v>
      </c>
      <c r="L915" s="6">
        <f t="shared" si="57"/>
        <v>24244</v>
      </c>
      <c r="M915" s="6">
        <f t="shared" si="58"/>
        <v>-4437</v>
      </c>
      <c r="N915" s="6" t="str">
        <f t="shared" si="59"/>
        <v>loss</v>
      </c>
    </row>
    <row r="916" spans="1:14" ht="15.6" thickTop="1" thickBot="1" x14ac:dyDescent="0.35">
      <c r="A916" s="4">
        <v>45556</v>
      </c>
      <c r="B916" s="4" t="s">
        <v>68</v>
      </c>
      <c r="C916" s="5" t="s">
        <v>323</v>
      </c>
      <c r="D916" s="5" t="s">
        <v>32</v>
      </c>
      <c r="E916" s="5" t="s">
        <v>119</v>
      </c>
      <c r="F916" s="5" t="s">
        <v>26</v>
      </c>
      <c r="G916" s="5" t="s">
        <v>27</v>
      </c>
      <c r="H916" s="5">
        <v>89</v>
      </c>
      <c r="I916" s="5">
        <v>990</v>
      </c>
      <c r="J916" s="5">
        <v>1047</v>
      </c>
      <c r="K916" s="6">
        <f t="shared" si="56"/>
        <v>88110</v>
      </c>
      <c r="L916" s="6">
        <f t="shared" si="57"/>
        <v>93183</v>
      </c>
      <c r="M916" s="6">
        <f t="shared" si="58"/>
        <v>5073</v>
      </c>
      <c r="N916" s="6" t="str">
        <f t="shared" si="59"/>
        <v>profit</v>
      </c>
    </row>
    <row r="917" spans="1:14" ht="15.6" thickTop="1" thickBot="1" x14ac:dyDescent="0.35">
      <c r="A917" s="4">
        <v>45557</v>
      </c>
      <c r="B917" s="4" t="s">
        <v>68</v>
      </c>
      <c r="C917" s="5" t="s">
        <v>324</v>
      </c>
      <c r="D917" s="5" t="s">
        <v>32</v>
      </c>
      <c r="E917" s="5" t="s">
        <v>119</v>
      </c>
      <c r="F917" s="5" t="s">
        <v>43</v>
      </c>
      <c r="G917" s="5" t="s">
        <v>27</v>
      </c>
      <c r="H917" s="5">
        <v>61</v>
      </c>
      <c r="I917" s="5">
        <v>907</v>
      </c>
      <c r="J917" s="5">
        <v>1327</v>
      </c>
      <c r="K917" s="6">
        <f t="shared" si="56"/>
        <v>55327</v>
      </c>
      <c r="L917" s="6">
        <f t="shared" si="57"/>
        <v>80947</v>
      </c>
      <c r="M917" s="6">
        <f t="shared" si="58"/>
        <v>25620</v>
      </c>
      <c r="N917" s="6" t="str">
        <f t="shared" si="59"/>
        <v>profit</v>
      </c>
    </row>
    <row r="918" spans="1:14" ht="15.6" thickTop="1" thickBot="1" x14ac:dyDescent="0.35">
      <c r="A918" s="4">
        <v>45637</v>
      </c>
      <c r="B918" s="4" t="s">
        <v>189</v>
      </c>
      <c r="C918" s="5" t="s">
        <v>197</v>
      </c>
      <c r="D918" s="5" t="s">
        <v>32</v>
      </c>
      <c r="E918" s="5" t="s">
        <v>98</v>
      </c>
      <c r="F918" s="5" t="s">
        <v>20</v>
      </c>
      <c r="G918" s="5" t="s">
        <v>27</v>
      </c>
      <c r="H918" s="5">
        <v>55</v>
      </c>
      <c r="I918" s="5">
        <v>666</v>
      </c>
      <c r="J918" s="5">
        <v>1358</v>
      </c>
      <c r="K918" s="6">
        <f t="shared" si="56"/>
        <v>36630</v>
      </c>
      <c r="L918" s="6">
        <f t="shared" si="57"/>
        <v>74690</v>
      </c>
      <c r="M918" s="6">
        <f t="shared" si="58"/>
        <v>38060</v>
      </c>
      <c r="N918" s="6" t="str">
        <f t="shared" si="59"/>
        <v>profit</v>
      </c>
    </row>
    <row r="919" spans="1:14" ht="15.6" thickTop="1" thickBot="1" x14ac:dyDescent="0.35">
      <c r="A919" s="4">
        <v>45558</v>
      </c>
      <c r="B919" s="4" t="s">
        <v>68</v>
      </c>
      <c r="C919" s="5" t="s">
        <v>325</v>
      </c>
      <c r="D919" s="5" t="s">
        <v>32</v>
      </c>
      <c r="E919" s="5" t="s">
        <v>119</v>
      </c>
      <c r="F919" s="5" t="s">
        <v>48</v>
      </c>
      <c r="G919" s="5" t="s">
        <v>18</v>
      </c>
      <c r="H919" s="5">
        <v>52</v>
      </c>
      <c r="I919" s="5">
        <v>766</v>
      </c>
      <c r="J919" s="5">
        <v>1318</v>
      </c>
      <c r="K919" s="6">
        <f t="shared" si="56"/>
        <v>39832</v>
      </c>
      <c r="L919" s="6">
        <f t="shared" si="57"/>
        <v>68536</v>
      </c>
      <c r="M919" s="6">
        <f t="shared" si="58"/>
        <v>28704</v>
      </c>
      <c r="N919" s="6" t="str">
        <f t="shared" si="59"/>
        <v>profit</v>
      </c>
    </row>
    <row r="920" spans="1:14" ht="15.6" thickTop="1" thickBot="1" x14ac:dyDescent="0.35">
      <c r="A920" s="4">
        <v>45559</v>
      </c>
      <c r="B920" s="4" t="s">
        <v>68</v>
      </c>
      <c r="C920" s="5" t="s">
        <v>326</v>
      </c>
      <c r="D920" s="5" t="s">
        <v>32</v>
      </c>
      <c r="E920" s="5" t="s">
        <v>119</v>
      </c>
      <c r="F920" s="5" t="s">
        <v>26</v>
      </c>
      <c r="G920" s="5" t="s">
        <v>27</v>
      </c>
      <c r="H920" s="5">
        <v>96</v>
      </c>
      <c r="I920" s="5">
        <v>520</v>
      </c>
      <c r="J920" s="5">
        <v>1208</v>
      </c>
      <c r="K920" s="6">
        <f t="shared" si="56"/>
        <v>49920</v>
      </c>
      <c r="L920" s="6">
        <f t="shared" si="57"/>
        <v>115968</v>
      </c>
      <c r="M920" s="6">
        <f t="shared" si="58"/>
        <v>66048</v>
      </c>
      <c r="N920" s="6" t="str">
        <f t="shared" si="59"/>
        <v>profit</v>
      </c>
    </row>
    <row r="921" spans="1:14" ht="15.6" thickTop="1" thickBot="1" x14ac:dyDescent="0.35">
      <c r="A921" s="4">
        <v>45560</v>
      </c>
      <c r="B921" s="4" t="s">
        <v>68</v>
      </c>
      <c r="C921" s="5" t="s">
        <v>327</v>
      </c>
      <c r="D921" s="5" t="s">
        <v>32</v>
      </c>
      <c r="E921" s="5" t="s">
        <v>119</v>
      </c>
      <c r="F921" s="5" t="s">
        <v>51</v>
      </c>
      <c r="G921" s="5" t="s">
        <v>27</v>
      </c>
      <c r="H921" s="5">
        <v>90</v>
      </c>
      <c r="I921" s="5">
        <v>792</v>
      </c>
      <c r="J921" s="5">
        <v>818</v>
      </c>
      <c r="K921" s="6">
        <f t="shared" si="56"/>
        <v>71280</v>
      </c>
      <c r="L921" s="6">
        <f t="shared" si="57"/>
        <v>73620</v>
      </c>
      <c r="M921" s="6">
        <f t="shared" si="58"/>
        <v>2340</v>
      </c>
      <c r="N921" s="6" t="str">
        <f t="shared" si="59"/>
        <v>profit</v>
      </c>
    </row>
    <row r="922" spans="1:14" ht="15.6" thickTop="1" thickBot="1" x14ac:dyDescent="0.35">
      <c r="A922" s="4">
        <v>45561</v>
      </c>
      <c r="B922" s="4" t="s">
        <v>68</v>
      </c>
      <c r="C922" s="5" t="s">
        <v>328</v>
      </c>
      <c r="D922" s="5" t="s">
        <v>32</v>
      </c>
      <c r="E922" s="5" t="s">
        <v>119</v>
      </c>
      <c r="F922" s="5" t="s">
        <v>53</v>
      </c>
      <c r="G922" s="5" t="s">
        <v>27</v>
      </c>
      <c r="H922" s="5">
        <v>98</v>
      </c>
      <c r="I922" s="5">
        <v>711</v>
      </c>
      <c r="J922" s="5">
        <v>1190</v>
      </c>
      <c r="K922" s="6">
        <f t="shared" si="56"/>
        <v>69678</v>
      </c>
      <c r="L922" s="6">
        <f t="shared" si="57"/>
        <v>116620</v>
      </c>
      <c r="M922" s="6">
        <f t="shared" si="58"/>
        <v>46942</v>
      </c>
      <c r="N922" s="6" t="str">
        <f t="shared" si="59"/>
        <v>profit</v>
      </c>
    </row>
    <row r="923" spans="1:14" ht="15.6" thickTop="1" thickBot="1" x14ac:dyDescent="0.35">
      <c r="A923" s="4">
        <v>45642</v>
      </c>
      <c r="B923" s="4" t="s">
        <v>189</v>
      </c>
      <c r="C923" s="5" t="s">
        <v>201</v>
      </c>
      <c r="D923" s="5" t="s">
        <v>32</v>
      </c>
      <c r="E923" s="5" t="s">
        <v>98</v>
      </c>
      <c r="F923" s="5" t="s">
        <v>38</v>
      </c>
      <c r="G923" s="5" t="s">
        <v>18</v>
      </c>
      <c r="H923" s="5">
        <v>94</v>
      </c>
      <c r="I923" s="5">
        <v>616</v>
      </c>
      <c r="J923" s="5">
        <v>1200</v>
      </c>
      <c r="K923" s="6">
        <f t="shared" si="56"/>
        <v>57904</v>
      </c>
      <c r="L923" s="6">
        <f t="shared" si="57"/>
        <v>112800</v>
      </c>
      <c r="M923" s="6">
        <f t="shared" si="58"/>
        <v>54896</v>
      </c>
      <c r="N923" s="6" t="str">
        <f t="shared" si="59"/>
        <v>profit</v>
      </c>
    </row>
    <row r="924" spans="1:14" ht="15.6" thickTop="1" thickBot="1" x14ac:dyDescent="0.35">
      <c r="A924" s="4">
        <v>45569</v>
      </c>
      <c r="B924" s="4" t="s">
        <v>84</v>
      </c>
      <c r="C924" s="5" t="s">
        <v>329</v>
      </c>
      <c r="D924" s="5" t="s">
        <v>32</v>
      </c>
      <c r="E924" s="5" t="s">
        <v>98</v>
      </c>
      <c r="F924" s="5" t="s">
        <v>29</v>
      </c>
      <c r="G924" s="5" t="s">
        <v>18</v>
      </c>
      <c r="H924" s="5">
        <v>93</v>
      </c>
      <c r="I924" s="5">
        <v>660</v>
      </c>
      <c r="J924" s="5">
        <v>880</v>
      </c>
      <c r="K924" s="6">
        <f t="shared" si="56"/>
        <v>61380</v>
      </c>
      <c r="L924" s="6">
        <f t="shared" si="57"/>
        <v>81840</v>
      </c>
      <c r="M924" s="6">
        <f t="shared" si="58"/>
        <v>20460</v>
      </c>
      <c r="N924" s="6" t="str">
        <f t="shared" si="59"/>
        <v>profit</v>
      </c>
    </row>
    <row r="925" spans="1:14" ht="15.6" thickTop="1" thickBot="1" x14ac:dyDescent="0.35">
      <c r="A925" s="4">
        <v>45570</v>
      </c>
      <c r="B925" s="4" t="s">
        <v>84</v>
      </c>
      <c r="C925" s="5" t="s">
        <v>330</v>
      </c>
      <c r="D925" s="5" t="s">
        <v>32</v>
      </c>
      <c r="E925" s="5" t="s">
        <v>98</v>
      </c>
      <c r="F925" s="5" t="s">
        <v>112</v>
      </c>
      <c r="G925" s="5" t="s">
        <v>18</v>
      </c>
      <c r="H925" s="5">
        <v>59</v>
      </c>
      <c r="I925" s="5">
        <v>623</v>
      </c>
      <c r="J925" s="5">
        <v>1386</v>
      </c>
      <c r="K925" s="6">
        <f t="shared" si="56"/>
        <v>36757</v>
      </c>
      <c r="L925" s="6">
        <f t="shared" si="57"/>
        <v>81774</v>
      </c>
      <c r="M925" s="6">
        <f t="shared" si="58"/>
        <v>45017</v>
      </c>
      <c r="N925" s="6" t="str">
        <f t="shared" si="59"/>
        <v>profit</v>
      </c>
    </row>
    <row r="926" spans="1:14" ht="15.6" thickTop="1" thickBot="1" x14ac:dyDescent="0.35">
      <c r="A926" s="4">
        <v>45572</v>
      </c>
      <c r="B926" s="4" t="s">
        <v>84</v>
      </c>
      <c r="C926" s="5" t="s">
        <v>331</v>
      </c>
      <c r="D926" s="5" t="s">
        <v>32</v>
      </c>
      <c r="E926" s="5" t="s">
        <v>98</v>
      </c>
      <c r="F926" s="5" t="s">
        <v>152</v>
      </c>
      <c r="G926" s="5" t="s">
        <v>18</v>
      </c>
      <c r="H926" s="5">
        <v>98</v>
      </c>
      <c r="I926" s="5">
        <v>865</v>
      </c>
      <c r="J926" s="5">
        <v>1260</v>
      </c>
      <c r="K926" s="6">
        <f t="shared" si="56"/>
        <v>84770</v>
      </c>
      <c r="L926" s="6">
        <f t="shared" si="57"/>
        <v>123480</v>
      </c>
      <c r="M926" s="6">
        <f t="shared" si="58"/>
        <v>38710</v>
      </c>
      <c r="N926" s="6" t="str">
        <f t="shared" si="59"/>
        <v>profit</v>
      </c>
    </row>
    <row r="927" spans="1:14" ht="15.6" thickTop="1" thickBot="1" x14ac:dyDescent="0.35">
      <c r="A927" s="4">
        <v>45646</v>
      </c>
      <c r="B927" s="4" t="s">
        <v>189</v>
      </c>
      <c r="C927" s="5" t="s">
        <v>205</v>
      </c>
      <c r="D927" s="5" t="s">
        <v>32</v>
      </c>
      <c r="E927" s="5" t="s">
        <v>98</v>
      </c>
      <c r="F927" s="5" t="s">
        <v>38</v>
      </c>
      <c r="G927" s="5" t="s">
        <v>18</v>
      </c>
      <c r="H927" s="5">
        <v>67</v>
      </c>
      <c r="I927" s="5">
        <v>898</v>
      </c>
      <c r="J927" s="5">
        <v>1133</v>
      </c>
      <c r="K927" s="6">
        <f t="shared" si="56"/>
        <v>60166</v>
      </c>
      <c r="L927" s="6">
        <f t="shared" si="57"/>
        <v>75911</v>
      </c>
      <c r="M927" s="6">
        <f t="shared" si="58"/>
        <v>15745</v>
      </c>
      <c r="N927" s="6" t="str">
        <f t="shared" si="59"/>
        <v>profit</v>
      </c>
    </row>
    <row r="928" spans="1:14" ht="15.6" thickTop="1" thickBot="1" x14ac:dyDescent="0.35">
      <c r="A928" s="4">
        <v>45573</v>
      </c>
      <c r="B928" s="4" t="s">
        <v>84</v>
      </c>
      <c r="C928" s="5" t="s">
        <v>332</v>
      </c>
      <c r="D928" s="5" t="s">
        <v>32</v>
      </c>
      <c r="E928" s="5" t="s">
        <v>98</v>
      </c>
      <c r="F928" s="5" t="s">
        <v>154</v>
      </c>
      <c r="G928" s="5" t="s">
        <v>18</v>
      </c>
      <c r="H928" s="5">
        <v>83</v>
      </c>
      <c r="I928" s="5">
        <v>709</v>
      </c>
      <c r="J928" s="5">
        <v>1206</v>
      </c>
      <c r="K928" s="6">
        <f t="shared" si="56"/>
        <v>58847</v>
      </c>
      <c r="L928" s="6">
        <f t="shared" si="57"/>
        <v>100098</v>
      </c>
      <c r="M928" s="6">
        <f t="shared" si="58"/>
        <v>41251</v>
      </c>
      <c r="N928" s="6" t="str">
        <f t="shared" si="59"/>
        <v>profit</v>
      </c>
    </row>
    <row r="929" spans="1:14" ht="15.6" thickTop="1" thickBot="1" x14ac:dyDescent="0.35">
      <c r="A929" s="4">
        <v>45648</v>
      </c>
      <c r="B929" s="4" t="s">
        <v>189</v>
      </c>
      <c r="C929" s="5" t="s">
        <v>207</v>
      </c>
      <c r="D929" s="5" t="s">
        <v>32</v>
      </c>
      <c r="E929" s="5" t="s">
        <v>119</v>
      </c>
      <c r="F929" s="5" t="s">
        <v>112</v>
      </c>
      <c r="G929" s="5" t="s">
        <v>18</v>
      </c>
      <c r="H929" s="5">
        <v>72</v>
      </c>
      <c r="I929" s="5">
        <v>603</v>
      </c>
      <c r="J929" s="5">
        <v>941</v>
      </c>
      <c r="K929" s="6">
        <f t="shared" si="56"/>
        <v>43416</v>
      </c>
      <c r="L929" s="6">
        <f t="shared" si="57"/>
        <v>67752</v>
      </c>
      <c r="M929" s="6">
        <f t="shared" si="58"/>
        <v>24336</v>
      </c>
      <c r="N929" s="6" t="str">
        <f t="shared" si="59"/>
        <v>profit</v>
      </c>
    </row>
    <row r="930" spans="1:14" ht="15.6" thickTop="1" thickBot="1" x14ac:dyDescent="0.35">
      <c r="A930" s="4">
        <v>45574</v>
      </c>
      <c r="B930" s="4" t="s">
        <v>84</v>
      </c>
      <c r="C930" s="5" t="s">
        <v>333</v>
      </c>
      <c r="D930" s="5" t="s">
        <v>32</v>
      </c>
      <c r="E930" s="5" t="s">
        <v>119</v>
      </c>
      <c r="F930" s="5" t="s">
        <v>17</v>
      </c>
      <c r="G930" s="5" t="s">
        <v>18</v>
      </c>
      <c r="H930" s="5">
        <v>69</v>
      </c>
      <c r="I930" s="5">
        <v>657</v>
      </c>
      <c r="J930" s="5">
        <v>1493</v>
      </c>
      <c r="K930" s="6">
        <f t="shared" si="56"/>
        <v>45333</v>
      </c>
      <c r="L930" s="6">
        <f t="shared" si="57"/>
        <v>103017</v>
      </c>
      <c r="M930" s="6">
        <f t="shared" si="58"/>
        <v>57684</v>
      </c>
      <c r="N930" s="6" t="str">
        <f t="shared" si="59"/>
        <v>profit</v>
      </c>
    </row>
    <row r="931" spans="1:14" ht="15.6" thickTop="1" thickBot="1" x14ac:dyDescent="0.35">
      <c r="A931" s="4">
        <v>45575</v>
      </c>
      <c r="B931" s="4" t="s">
        <v>84</v>
      </c>
      <c r="C931" s="5" t="s">
        <v>334</v>
      </c>
      <c r="D931" s="5" t="s">
        <v>32</v>
      </c>
      <c r="E931" s="5" t="s">
        <v>119</v>
      </c>
      <c r="F931" s="5" t="s">
        <v>20</v>
      </c>
      <c r="G931" s="5" t="s">
        <v>18</v>
      </c>
      <c r="H931" s="5">
        <v>81</v>
      </c>
      <c r="I931" s="5">
        <v>709</v>
      </c>
      <c r="J931" s="5">
        <v>1180</v>
      </c>
      <c r="K931" s="6">
        <f t="shared" si="56"/>
        <v>57429</v>
      </c>
      <c r="L931" s="6">
        <f t="shared" si="57"/>
        <v>95580</v>
      </c>
      <c r="M931" s="6">
        <f t="shared" si="58"/>
        <v>38151</v>
      </c>
      <c r="N931" s="6" t="str">
        <f t="shared" si="59"/>
        <v>profit</v>
      </c>
    </row>
    <row r="932" spans="1:14" ht="15.6" thickTop="1" thickBot="1" x14ac:dyDescent="0.35">
      <c r="A932" s="4">
        <v>45576</v>
      </c>
      <c r="B932" s="4" t="s">
        <v>84</v>
      </c>
      <c r="C932" s="5" t="s">
        <v>335</v>
      </c>
      <c r="D932" s="5" t="s">
        <v>32</v>
      </c>
      <c r="E932" s="5" t="s">
        <v>119</v>
      </c>
      <c r="F932" s="5" t="s">
        <v>22</v>
      </c>
      <c r="G932" s="5" t="s">
        <v>18</v>
      </c>
      <c r="H932" s="5">
        <v>61</v>
      </c>
      <c r="I932" s="5">
        <v>547</v>
      </c>
      <c r="J932" s="5">
        <v>1060</v>
      </c>
      <c r="K932" s="6">
        <f t="shared" si="56"/>
        <v>33367</v>
      </c>
      <c r="L932" s="6">
        <f t="shared" si="57"/>
        <v>64660</v>
      </c>
      <c r="M932" s="6">
        <f t="shared" si="58"/>
        <v>31293</v>
      </c>
      <c r="N932" s="6" t="str">
        <f t="shared" si="59"/>
        <v>profit</v>
      </c>
    </row>
    <row r="933" spans="1:14" ht="15.6" thickTop="1" thickBot="1" x14ac:dyDescent="0.35">
      <c r="A933" s="4">
        <v>45577</v>
      </c>
      <c r="B933" s="4" t="s">
        <v>84</v>
      </c>
      <c r="C933" s="5" t="s">
        <v>336</v>
      </c>
      <c r="D933" s="5" t="s">
        <v>32</v>
      </c>
      <c r="E933" s="5" t="s">
        <v>119</v>
      </c>
      <c r="F933" s="5" t="s">
        <v>24</v>
      </c>
      <c r="G933" s="5" t="s">
        <v>18</v>
      </c>
      <c r="H933" s="5">
        <v>57</v>
      </c>
      <c r="I933" s="5">
        <v>734</v>
      </c>
      <c r="J933" s="5">
        <v>979</v>
      </c>
      <c r="K933" s="6">
        <f t="shared" si="56"/>
        <v>41838</v>
      </c>
      <c r="L933" s="6">
        <f t="shared" si="57"/>
        <v>55803</v>
      </c>
      <c r="M933" s="6">
        <f t="shared" si="58"/>
        <v>13965</v>
      </c>
      <c r="N933" s="6" t="str">
        <f t="shared" si="59"/>
        <v>profit</v>
      </c>
    </row>
    <row r="934" spans="1:14" ht="15.6" thickTop="1" thickBot="1" x14ac:dyDescent="0.35">
      <c r="A934" s="4">
        <v>45653</v>
      </c>
      <c r="B934" s="4" t="s">
        <v>189</v>
      </c>
      <c r="C934" s="5" t="s">
        <v>212</v>
      </c>
      <c r="D934" s="5" t="s">
        <v>32</v>
      </c>
      <c r="E934" s="5" t="s">
        <v>119</v>
      </c>
      <c r="F934" s="5" t="s">
        <v>20</v>
      </c>
      <c r="G934" s="5" t="s">
        <v>27</v>
      </c>
      <c r="H934" s="5">
        <v>97</v>
      </c>
      <c r="I934" s="5">
        <v>500</v>
      </c>
      <c r="J934" s="5">
        <v>1417</v>
      </c>
      <c r="K934" s="6">
        <f t="shared" si="56"/>
        <v>48500</v>
      </c>
      <c r="L934" s="6">
        <f t="shared" si="57"/>
        <v>137449</v>
      </c>
      <c r="M934" s="6">
        <f t="shared" si="58"/>
        <v>88949</v>
      </c>
      <c r="N934" s="6" t="str">
        <f t="shared" si="59"/>
        <v>profit</v>
      </c>
    </row>
    <row r="935" spans="1:14" ht="15.6" thickTop="1" thickBot="1" x14ac:dyDescent="0.35">
      <c r="A935" s="4">
        <v>45579</v>
      </c>
      <c r="B935" s="4" t="s">
        <v>84</v>
      </c>
      <c r="C935" s="5" t="s">
        <v>337</v>
      </c>
      <c r="D935" s="5" t="s">
        <v>32</v>
      </c>
      <c r="E935" s="5" t="s">
        <v>119</v>
      </c>
      <c r="F935" s="5" t="s">
        <v>26</v>
      </c>
      <c r="G935" s="5" t="s">
        <v>27</v>
      </c>
      <c r="H935" s="5">
        <v>60</v>
      </c>
      <c r="I935" s="5">
        <v>937</v>
      </c>
      <c r="J935" s="5">
        <v>948</v>
      </c>
      <c r="K935" s="6">
        <f t="shared" si="56"/>
        <v>56220</v>
      </c>
      <c r="L935" s="6">
        <f t="shared" si="57"/>
        <v>56880</v>
      </c>
      <c r="M935" s="6">
        <f t="shared" si="58"/>
        <v>660</v>
      </c>
      <c r="N935" s="6" t="str">
        <f t="shared" si="59"/>
        <v>profit</v>
      </c>
    </row>
    <row r="936" spans="1:14" ht="15.6" thickTop="1" thickBot="1" x14ac:dyDescent="0.35">
      <c r="A936" s="4">
        <v>45592</v>
      </c>
      <c r="B936" s="4" t="s">
        <v>84</v>
      </c>
      <c r="C936" s="5" t="s">
        <v>338</v>
      </c>
      <c r="D936" s="5" t="s">
        <v>32</v>
      </c>
      <c r="E936" s="5" t="s">
        <v>33</v>
      </c>
      <c r="F936" s="5" t="s">
        <v>112</v>
      </c>
      <c r="G936" s="5" t="s">
        <v>27</v>
      </c>
      <c r="H936" s="5">
        <v>71</v>
      </c>
      <c r="I936" s="5">
        <v>777</v>
      </c>
      <c r="J936" s="5">
        <v>1034</v>
      </c>
      <c r="K936" s="6">
        <f t="shared" si="56"/>
        <v>55167</v>
      </c>
      <c r="L936" s="6">
        <f t="shared" si="57"/>
        <v>73414</v>
      </c>
      <c r="M936" s="6">
        <f t="shared" si="58"/>
        <v>18247</v>
      </c>
      <c r="N936" s="6" t="str">
        <f t="shared" si="59"/>
        <v>profit</v>
      </c>
    </row>
    <row r="937" spans="1:14" ht="15.6" thickTop="1" thickBot="1" x14ac:dyDescent="0.35">
      <c r="A937" s="4">
        <v>45593</v>
      </c>
      <c r="B937" s="4" t="s">
        <v>84</v>
      </c>
      <c r="C937" s="5" t="s">
        <v>339</v>
      </c>
      <c r="D937" s="5" t="s">
        <v>32</v>
      </c>
      <c r="E937" s="5" t="s">
        <v>33</v>
      </c>
      <c r="F937" s="5" t="s">
        <v>43</v>
      </c>
      <c r="G937" s="5" t="s">
        <v>27</v>
      </c>
      <c r="H937" s="5">
        <v>52</v>
      </c>
      <c r="I937" s="5">
        <v>509</v>
      </c>
      <c r="J937" s="5">
        <v>764</v>
      </c>
      <c r="K937" s="6">
        <f t="shared" si="56"/>
        <v>26468</v>
      </c>
      <c r="L937" s="6">
        <f t="shared" si="57"/>
        <v>39728</v>
      </c>
      <c r="M937" s="6">
        <f t="shared" si="58"/>
        <v>13260</v>
      </c>
      <c r="N937" s="6" t="str">
        <f t="shared" si="59"/>
        <v>profit</v>
      </c>
    </row>
    <row r="938" spans="1:14" ht="15.6" thickTop="1" thickBot="1" x14ac:dyDescent="0.35">
      <c r="A938" s="4">
        <v>45594</v>
      </c>
      <c r="B938" s="4" t="s">
        <v>84</v>
      </c>
      <c r="C938" s="5" t="s">
        <v>340</v>
      </c>
      <c r="D938" s="5" t="s">
        <v>32</v>
      </c>
      <c r="E938" s="5" t="s">
        <v>33</v>
      </c>
      <c r="F938" s="5" t="s">
        <v>152</v>
      </c>
      <c r="G938" s="5" t="s">
        <v>18</v>
      </c>
      <c r="H938" s="5">
        <v>66</v>
      </c>
      <c r="I938" s="5">
        <v>701</v>
      </c>
      <c r="J938" s="5">
        <v>1204</v>
      </c>
      <c r="K938" s="6">
        <f t="shared" si="56"/>
        <v>46266</v>
      </c>
      <c r="L938" s="6">
        <f t="shared" si="57"/>
        <v>79464</v>
      </c>
      <c r="M938" s="6">
        <f t="shared" si="58"/>
        <v>33198</v>
      </c>
      <c r="N938" s="6" t="str">
        <f t="shared" si="59"/>
        <v>profit</v>
      </c>
    </row>
    <row r="939" spans="1:14" ht="15.6" thickTop="1" thickBot="1" x14ac:dyDescent="0.35">
      <c r="A939" s="4">
        <v>45595</v>
      </c>
      <c r="B939" s="4" t="s">
        <v>84</v>
      </c>
      <c r="C939" s="5" t="s">
        <v>341</v>
      </c>
      <c r="D939" s="5" t="s">
        <v>32</v>
      </c>
      <c r="E939" s="5" t="s">
        <v>33</v>
      </c>
      <c r="F939" s="5" t="s">
        <v>154</v>
      </c>
      <c r="G939" s="5" t="s">
        <v>27</v>
      </c>
      <c r="H939" s="5">
        <v>97</v>
      </c>
      <c r="I939" s="5">
        <v>654</v>
      </c>
      <c r="J939" s="5">
        <v>839</v>
      </c>
      <c r="K939" s="6">
        <f t="shared" si="56"/>
        <v>63438</v>
      </c>
      <c r="L939" s="6">
        <f t="shared" si="57"/>
        <v>81383</v>
      </c>
      <c r="M939" s="6">
        <f t="shared" si="58"/>
        <v>17945</v>
      </c>
      <c r="N939" s="6" t="str">
        <f t="shared" si="59"/>
        <v>profit</v>
      </c>
    </row>
    <row r="940" spans="1:14" ht="15.6" thickTop="1" thickBot="1" x14ac:dyDescent="0.35">
      <c r="A940" s="4">
        <v>45603</v>
      </c>
      <c r="B940" s="4" t="s">
        <v>160</v>
      </c>
      <c r="C940" s="5" t="s">
        <v>342</v>
      </c>
      <c r="D940" s="5" t="s">
        <v>32</v>
      </c>
      <c r="E940" s="5" t="s">
        <v>162</v>
      </c>
      <c r="F940" s="5" t="s">
        <v>24</v>
      </c>
      <c r="G940" s="5" t="s">
        <v>18</v>
      </c>
      <c r="H940" s="5">
        <v>63</v>
      </c>
      <c r="I940" s="5">
        <v>833</v>
      </c>
      <c r="J940" s="5">
        <v>1040</v>
      </c>
      <c r="K940" s="6">
        <f t="shared" si="56"/>
        <v>52479</v>
      </c>
      <c r="L940" s="6">
        <f t="shared" si="57"/>
        <v>65520</v>
      </c>
      <c r="M940" s="6">
        <f t="shared" si="58"/>
        <v>13041</v>
      </c>
      <c r="N940" s="6" t="str">
        <f t="shared" si="59"/>
        <v>profit</v>
      </c>
    </row>
    <row r="941" spans="1:14" ht="15.6" thickTop="1" thickBot="1" x14ac:dyDescent="0.35">
      <c r="A941" s="4">
        <v>45660</v>
      </c>
      <c r="B941" s="4" t="s">
        <v>94</v>
      </c>
      <c r="C941" s="5" t="s">
        <v>219</v>
      </c>
      <c r="D941" s="5" t="s">
        <v>15</v>
      </c>
      <c r="E941" s="5" t="s">
        <v>16</v>
      </c>
      <c r="F941" s="5" t="s">
        <v>75</v>
      </c>
      <c r="G941" s="5" t="s">
        <v>18</v>
      </c>
      <c r="H941" s="5">
        <v>12</v>
      </c>
      <c r="I941" s="5">
        <v>864</v>
      </c>
      <c r="J941" s="5">
        <v>953</v>
      </c>
      <c r="K941" s="6">
        <f t="shared" si="56"/>
        <v>10368</v>
      </c>
      <c r="L941" s="6">
        <f t="shared" si="57"/>
        <v>11436</v>
      </c>
      <c r="M941" s="6">
        <f t="shared" si="58"/>
        <v>1068</v>
      </c>
      <c r="N941" s="6" t="str">
        <f t="shared" si="59"/>
        <v>profit</v>
      </c>
    </row>
    <row r="942" spans="1:14" ht="15.6" thickTop="1" thickBot="1" x14ac:dyDescent="0.35">
      <c r="A942" s="4">
        <v>45604</v>
      </c>
      <c r="B942" s="4" t="s">
        <v>160</v>
      </c>
      <c r="C942" s="5" t="s">
        <v>343</v>
      </c>
      <c r="D942" s="5" t="s">
        <v>32</v>
      </c>
      <c r="E942" s="5" t="s">
        <v>162</v>
      </c>
      <c r="F942" s="5" t="s">
        <v>75</v>
      </c>
      <c r="G942" s="5" t="s">
        <v>18</v>
      </c>
      <c r="H942" s="5">
        <v>74</v>
      </c>
      <c r="I942" s="5">
        <v>743</v>
      </c>
      <c r="J942" s="5">
        <v>974</v>
      </c>
      <c r="K942" s="6">
        <f t="shared" si="56"/>
        <v>54982</v>
      </c>
      <c r="L942" s="6">
        <f t="shared" si="57"/>
        <v>72076</v>
      </c>
      <c r="M942" s="6">
        <f t="shared" si="58"/>
        <v>17094</v>
      </c>
      <c r="N942" s="6" t="str">
        <f t="shared" si="59"/>
        <v>profit</v>
      </c>
    </row>
    <row r="943" spans="1:14" ht="15.6" thickTop="1" thickBot="1" x14ac:dyDescent="0.35">
      <c r="A943" s="4">
        <v>45662</v>
      </c>
      <c r="B943" s="4" t="s">
        <v>94</v>
      </c>
      <c r="C943" s="5" t="s">
        <v>221</v>
      </c>
      <c r="D943" s="5" t="s">
        <v>15</v>
      </c>
      <c r="E943" s="5" t="s">
        <v>16</v>
      </c>
      <c r="F943" s="5" t="s">
        <v>43</v>
      </c>
      <c r="G943" s="5" t="s">
        <v>18</v>
      </c>
      <c r="H943" s="5">
        <v>13</v>
      </c>
      <c r="I943" s="5">
        <v>839</v>
      </c>
      <c r="J943" s="5">
        <v>1025</v>
      </c>
      <c r="K943" s="6">
        <f t="shared" si="56"/>
        <v>10907</v>
      </c>
      <c r="L943" s="6">
        <f t="shared" si="57"/>
        <v>13325</v>
      </c>
      <c r="M943" s="6">
        <f t="shared" si="58"/>
        <v>2418</v>
      </c>
      <c r="N943" s="6" t="str">
        <f t="shared" si="59"/>
        <v>profit</v>
      </c>
    </row>
    <row r="944" spans="1:14" ht="15.6" thickTop="1" thickBot="1" x14ac:dyDescent="0.35">
      <c r="A944" s="4">
        <v>45606</v>
      </c>
      <c r="B944" s="4" t="s">
        <v>160</v>
      </c>
      <c r="C944" s="5" t="s">
        <v>344</v>
      </c>
      <c r="D944" s="5" t="s">
        <v>32</v>
      </c>
      <c r="E944" s="5" t="s">
        <v>162</v>
      </c>
      <c r="F944" s="5" t="s">
        <v>43</v>
      </c>
      <c r="G944" s="5" t="s">
        <v>18</v>
      </c>
      <c r="H944" s="5">
        <v>86</v>
      </c>
      <c r="I944" s="5">
        <v>593</v>
      </c>
      <c r="J944" s="5">
        <v>1425</v>
      </c>
      <c r="K944" s="6">
        <f t="shared" si="56"/>
        <v>50998</v>
      </c>
      <c r="L944" s="6">
        <f t="shared" si="57"/>
        <v>122550</v>
      </c>
      <c r="M944" s="6">
        <f t="shared" si="58"/>
        <v>71552</v>
      </c>
      <c r="N944" s="6" t="str">
        <f t="shared" si="59"/>
        <v>profit</v>
      </c>
    </row>
    <row r="945" spans="1:14" ht="15.6" thickTop="1" thickBot="1" x14ac:dyDescent="0.35">
      <c r="A945" s="4">
        <v>45664</v>
      </c>
      <c r="B945" s="4" t="s">
        <v>94</v>
      </c>
      <c r="C945" s="5" t="s">
        <v>223</v>
      </c>
      <c r="D945" s="5" t="s">
        <v>15</v>
      </c>
      <c r="E945" s="5" t="s">
        <v>16</v>
      </c>
      <c r="F945" s="5" t="s">
        <v>22</v>
      </c>
      <c r="G945" s="5" t="s">
        <v>18</v>
      </c>
      <c r="H945" s="5">
        <v>11</v>
      </c>
      <c r="I945" s="5">
        <v>944</v>
      </c>
      <c r="J945" s="5">
        <v>949</v>
      </c>
      <c r="K945" s="6">
        <f t="shared" si="56"/>
        <v>10384</v>
      </c>
      <c r="L945" s="6">
        <f t="shared" si="57"/>
        <v>10439</v>
      </c>
      <c r="M945" s="6">
        <f t="shared" si="58"/>
        <v>55</v>
      </c>
      <c r="N945" s="6" t="str">
        <f t="shared" si="59"/>
        <v>profit</v>
      </c>
    </row>
    <row r="946" spans="1:14" ht="15.6" thickTop="1" thickBot="1" x14ac:dyDescent="0.35">
      <c r="A946" s="4">
        <v>45607</v>
      </c>
      <c r="B946" s="4" t="s">
        <v>160</v>
      </c>
      <c r="C946" s="5" t="s">
        <v>345</v>
      </c>
      <c r="D946" s="5" t="s">
        <v>32</v>
      </c>
      <c r="E946" s="5" t="s">
        <v>162</v>
      </c>
      <c r="F946" s="5" t="s">
        <v>24</v>
      </c>
      <c r="G946" s="5" t="s">
        <v>18</v>
      </c>
      <c r="H946" s="5">
        <v>92</v>
      </c>
      <c r="I946" s="5">
        <v>609</v>
      </c>
      <c r="J946" s="5">
        <v>792</v>
      </c>
      <c r="K946" s="6">
        <f t="shared" si="56"/>
        <v>56028</v>
      </c>
      <c r="L946" s="6">
        <f t="shared" si="57"/>
        <v>72864</v>
      </c>
      <c r="M946" s="6">
        <f t="shared" si="58"/>
        <v>16836</v>
      </c>
      <c r="N946" s="6" t="str">
        <f t="shared" si="59"/>
        <v>profit</v>
      </c>
    </row>
    <row r="947" spans="1:14" ht="15.6" thickTop="1" thickBot="1" x14ac:dyDescent="0.35">
      <c r="A947" s="4">
        <v>45608</v>
      </c>
      <c r="B947" s="4" t="s">
        <v>160</v>
      </c>
      <c r="C947" s="5" t="s">
        <v>346</v>
      </c>
      <c r="D947" s="5" t="s">
        <v>32</v>
      </c>
      <c r="E947" s="5" t="s">
        <v>162</v>
      </c>
      <c r="F947" s="5" t="s">
        <v>63</v>
      </c>
      <c r="G947" s="5" t="s">
        <v>18</v>
      </c>
      <c r="H947" s="5">
        <v>96</v>
      </c>
      <c r="I947" s="5">
        <v>674</v>
      </c>
      <c r="J947" s="5">
        <v>1178</v>
      </c>
      <c r="K947" s="6">
        <f t="shared" si="56"/>
        <v>64704</v>
      </c>
      <c r="L947" s="6">
        <f t="shared" si="57"/>
        <v>113088</v>
      </c>
      <c r="M947" s="6">
        <f t="shared" si="58"/>
        <v>48384</v>
      </c>
      <c r="N947" s="6" t="str">
        <f t="shared" si="59"/>
        <v>profit</v>
      </c>
    </row>
    <row r="948" spans="1:14" ht="15.6" thickTop="1" thickBot="1" x14ac:dyDescent="0.35">
      <c r="A948" s="4">
        <v>45636</v>
      </c>
      <c r="B948" s="4" t="s">
        <v>189</v>
      </c>
      <c r="C948" s="5" t="s">
        <v>191</v>
      </c>
      <c r="D948" s="5" t="s">
        <v>32</v>
      </c>
      <c r="E948" s="5" t="s">
        <v>98</v>
      </c>
      <c r="F948" s="5" t="s">
        <v>17</v>
      </c>
      <c r="G948" s="5" t="s">
        <v>27</v>
      </c>
      <c r="H948" s="5">
        <v>65</v>
      </c>
      <c r="I948" s="5">
        <v>804</v>
      </c>
      <c r="J948" s="5">
        <v>876</v>
      </c>
      <c r="K948" s="6">
        <f t="shared" si="56"/>
        <v>52260</v>
      </c>
      <c r="L948" s="6">
        <f t="shared" si="57"/>
        <v>56940</v>
      </c>
      <c r="M948" s="6">
        <f t="shared" si="58"/>
        <v>4680</v>
      </c>
      <c r="N948" s="6" t="str">
        <f t="shared" si="59"/>
        <v>profit</v>
      </c>
    </row>
    <row r="949" spans="1:14" ht="15.6" thickTop="1" thickBot="1" x14ac:dyDescent="0.35">
      <c r="A949" s="4">
        <v>45638</v>
      </c>
      <c r="B949" s="4" t="s">
        <v>189</v>
      </c>
      <c r="C949" s="5" t="s">
        <v>347</v>
      </c>
      <c r="D949" s="5" t="s">
        <v>32</v>
      </c>
      <c r="E949" s="5" t="s">
        <v>98</v>
      </c>
      <c r="F949" s="5" t="s">
        <v>22</v>
      </c>
      <c r="G949" s="5" t="s">
        <v>18</v>
      </c>
      <c r="H949" s="5">
        <v>83</v>
      </c>
      <c r="I949" s="5">
        <v>541</v>
      </c>
      <c r="J949" s="5">
        <v>1072</v>
      </c>
      <c r="K949" s="6">
        <f t="shared" si="56"/>
        <v>44903</v>
      </c>
      <c r="L949" s="6">
        <f t="shared" si="57"/>
        <v>88976</v>
      </c>
      <c r="M949" s="6">
        <f t="shared" si="58"/>
        <v>44073</v>
      </c>
      <c r="N949" s="6" t="str">
        <f t="shared" si="59"/>
        <v>profit</v>
      </c>
    </row>
    <row r="950" spans="1:14" ht="15.6" thickTop="1" thickBot="1" x14ac:dyDescent="0.35">
      <c r="A950" s="4">
        <v>45639</v>
      </c>
      <c r="B950" s="4" t="s">
        <v>189</v>
      </c>
      <c r="C950" s="5" t="s">
        <v>348</v>
      </c>
      <c r="D950" s="5" t="s">
        <v>32</v>
      </c>
      <c r="E950" s="5" t="s">
        <v>98</v>
      </c>
      <c r="F950" s="5" t="s">
        <v>24</v>
      </c>
      <c r="G950" s="5" t="s">
        <v>18</v>
      </c>
      <c r="H950" s="5">
        <v>89</v>
      </c>
      <c r="I950" s="5">
        <v>545</v>
      </c>
      <c r="J950" s="5">
        <v>978</v>
      </c>
      <c r="K950" s="6">
        <f t="shared" si="56"/>
        <v>48505</v>
      </c>
      <c r="L950" s="6">
        <f t="shared" si="57"/>
        <v>87042</v>
      </c>
      <c r="M950" s="6">
        <f t="shared" si="58"/>
        <v>38537</v>
      </c>
      <c r="N950" s="6" t="str">
        <f t="shared" si="59"/>
        <v>profit</v>
      </c>
    </row>
    <row r="951" spans="1:14" ht="15.6" thickTop="1" thickBot="1" x14ac:dyDescent="0.35">
      <c r="A951" s="4">
        <v>45640</v>
      </c>
      <c r="B951" s="4" t="s">
        <v>189</v>
      </c>
      <c r="C951" s="5" t="s">
        <v>349</v>
      </c>
      <c r="D951" s="5" t="s">
        <v>32</v>
      </c>
      <c r="E951" s="5" t="s">
        <v>98</v>
      </c>
      <c r="F951" s="5" t="s">
        <v>34</v>
      </c>
      <c r="G951" s="5" t="s">
        <v>18</v>
      </c>
      <c r="H951" s="5">
        <v>80</v>
      </c>
      <c r="I951" s="5">
        <v>671</v>
      </c>
      <c r="J951" s="5">
        <v>1251</v>
      </c>
      <c r="K951" s="6">
        <f t="shared" si="56"/>
        <v>53680</v>
      </c>
      <c r="L951" s="6">
        <f t="shared" si="57"/>
        <v>100080</v>
      </c>
      <c r="M951" s="6">
        <f t="shared" si="58"/>
        <v>46400</v>
      </c>
      <c r="N951" s="6" t="str">
        <f t="shared" si="59"/>
        <v>profit</v>
      </c>
    </row>
    <row r="952" spans="1:14" ht="15.6" thickTop="1" thickBot="1" x14ac:dyDescent="0.35">
      <c r="A952" s="4">
        <v>45671</v>
      </c>
      <c r="B952" s="4" t="s">
        <v>94</v>
      </c>
      <c r="C952" s="5" t="s">
        <v>230</v>
      </c>
      <c r="D952" s="5" t="s">
        <v>32</v>
      </c>
      <c r="E952" s="5" t="s">
        <v>119</v>
      </c>
      <c r="F952" s="5" t="s">
        <v>59</v>
      </c>
      <c r="G952" s="5" t="s">
        <v>27</v>
      </c>
      <c r="H952" s="5">
        <v>82</v>
      </c>
      <c r="I952" s="5">
        <v>822</v>
      </c>
      <c r="J952" s="5">
        <v>1445</v>
      </c>
      <c r="K952" s="6">
        <f t="shared" si="56"/>
        <v>67404</v>
      </c>
      <c r="L952" s="6">
        <f t="shared" si="57"/>
        <v>118490</v>
      </c>
      <c r="M952" s="6">
        <f t="shared" si="58"/>
        <v>51086</v>
      </c>
      <c r="N952" s="6" t="str">
        <f t="shared" si="59"/>
        <v>profit</v>
      </c>
    </row>
    <row r="953" spans="1:14" ht="15.6" thickTop="1" thickBot="1" x14ac:dyDescent="0.35">
      <c r="A953" s="4">
        <v>45641</v>
      </c>
      <c r="B953" s="4" t="s">
        <v>189</v>
      </c>
      <c r="C953" s="5" t="s">
        <v>350</v>
      </c>
      <c r="D953" s="5" t="s">
        <v>32</v>
      </c>
      <c r="E953" s="5" t="s">
        <v>98</v>
      </c>
      <c r="F953" s="5" t="s">
        <v>38</v>
      </c>
      <c r="G953" s="5" t="s">
        <v>18</v>
      </c>
      <c r="H953" s="5">
        <v>68</v>
      </c>
      <c r="I953" s="5">
        <v>815</v>
      </c>
      <c r="J953" s="5">
        <v>808</v>
      </c>
      <c r="K953" s="6">
        <f t="shared" si="56"/>
        <v>55420</v>
      </c>
      <c r="L953" s="6">
        <f t="shared" si="57"/>
        <v>54944</v>
      </c>
      <c r="M953" s="6">
        <f t="shared" si="58"/>
        <v>-476</v>
      </c>
      <c r="N953" s="6" t="str">
        <f t="shared" si="59"/>
        <v>loss</v>
      </c>
    </row>
    <row r="954" spans="1:14" ht="15.6" thickTop="1" thickBot="1" x14ac:dyDescent="0.35">
      <c r="A954" s="4">
        <v>45643</v>
      </c>
      <c r="B954" s="4" t="s">
        <v>189</v>
      </c>
      <c r="C954" s="5" t="s">
        <v>351</v>
      </c>
      <c r="D954" s="5" t="s">
        <v>32</v>
      </c>
      <c r="E954" s="5" t="s">
        <v>98</v>
      </c>
      <c r="F954" s="5" t="s">
        <v>63</v>
      </c>
      <c r="G954" s="5" t="s">
        <v>18</v>
      </c>
      <c r="H954" s="5">
        <v>88</v>
      </c>
      <c r="I954" s="5">
        <v>674</v>
      </c>
      <c r="J954" s="5">
        <v>891</v>
      </c>
      <c r="K954" s="6">
        <f t="shared" si="56"/>
        <v>59312</v>
      </c>
      <c r="L954" s="6">
        <f t="shared" si="57"/>
        <v>78408</v>
      </c>
      <c r="M954" s="6">
        <f t="shared" si="58"/>
        <v>19096</v>
      </c>
      <c r="N954" s="6" t="str">
        <f t="shared" si="59"/>
        <v>profit</v>
      </c>
    </row>
    <row r="955" spans="1:14" ht="15.6" thickTop="1" thickBot="1" x14ac:dyDescent="0.35">
      <c r="A955" s="4">
        <v>45644</v>
      </c>
      <c r="B955" s="4" t="s">
        <v>189</v>
      </c>
      <c r="C955" s="5" t="s">
        <v>352</v>
      </c>
      <c r="D955" s="5" t="s">
        <v>32</v>
      </c>
      <c r="E955" s="5" t="s">
        <v>98</v>
      </c>
      <c r="F955" s="5" t="s">
        <v>63</v>
      </c>
      <c r="G955" s="5" t="s">
        <v>18</v>
      </c>
      <c r="H955" s="5">
        <v>64</v>
      </c>
      <c r="I955" s="5">
        <v>665</v>
      </c>
      <c r="J955" s="5">
        <v>783</v>
      </c>
      <c r="K955" s="6">
        <f t="shared" si="56"/>
        <v>42560</v>
      </c>
      <c r="L955" s="6">
        <f t="shared" si="57"/>
        <v>50112</v>
      </c>
      <c r="M955" s="6">
        <f t="shared" si="58"/>
        <v>7552</v>
      </c>
      <c r="N955" s="6" t="str">
        <f t="shared" si="59"/>
        <v>profit</v>
      </c>
    </row>
    <row r="956" spans="1:14" ht="15.6" thickTop="1" thickBot="1" x14ac:dyDescent="0.35">
      <c r="A956" s="4">
        <v>45645</v>
      </c>
      <c r="B956" s="4" t="s">
        <v>189</v>
      </c>
      <c r="C956" s="5" t="s">
        <v>353</v>
      </c>
      <c r="D956" s="5" t="s">
        <v>32</v>
      </c>
      <c r="E956" s="5" t="s">
        <v>98</v>
      </c>
      <c r="F956" s="5" t="s">
        <v>59</v>
      </c>
      <c r="G956" s="5" t="s">
        <v>18</v>
      </c>
      <c r="H956" s="5">
        <v>81</v>
      </c>
      <c r="I956" s="5">
        <v>801</v>
      </c>
      <c r="J956" s="5">
        <v>846</v>
      </c>
      <c r="K956" s="6">
        <f t="shared" si="56"/>
        <v>64881</v>
      </c>
      <c r="L956" s="6">
        <f t="shared" si="57"/>
        <v>68526</v>
      </c>
      <c r="M956" s="6">
        <f t="shared" si="58"/>
        <v>3645</v>
      </c>
      <c r="N956" s="6" t="str">
        <f t="shared" si="59"/>
        <v>profit</v>
      </c>
    </row>
    <row r="957" spans="1:14" ht="15.6" thickTop="1" thickBot="1" x14ac:dyDescent="0.35">
      <c r="A957" s="4">
        <v>45647</v>
      </c>
      <c r="B957" s="4" t="s">
        <v>189</v>
      </c>
      <c r="C957" s="5" t="s">
        <v>354</v>
      </c>
      <c r="D957" s="5" t="s">
        <v>32</v>
      </c>
      <c r="E957" s="5" t="s">
        <v>98</v>
      </c>
      <c r="F957" s="5" t="s">
        <v>29</v>
      </c>
      <c r="G957" s="5" t="s">
        <v>18</v>
      </c>
      <c r="H957" s="5">
        <v>74</v>
      </c>
      <c r="I957" s="5">
        <v>734</v>
      </c>
      <c r="J957" s="5">
        <v>886</v>
      </c>
      <c r="K957" s="6">
        <f t="shared" si="56"/>
        <v>54316</v>
      </c>
      <c r="L957" s="6">
        <f t="shared" si="57"/>
        <v>65564</v>
      </c>
      <c r="M957" s="6">
        <f t="shared" si="58"/>
        <v>11248</v>
      </c>
      <c r="N957" s="6" t="str">
        <f t="shared" si="59"/>
        <v>profit</v>
      </c>
    </row>
    <row r="958" spans="1:14" ht="15.6" thickTop="1" thickBot="1" x14ac:dyDescent="0.35">
      <c r="A958" s="4">
        <v>45677</v>
      </c>
      <c r="B958" s="4" t="s">
        <v>94</v>
      </c>
      <c r="C958" s="5" t="s">
        <v>128</v>
      </c>
      <c r="D958" s="5" t="s">
        <v>15</v>
      </c>
      <c r="E958" s="5" t="s">
        <v>36</v>
      </c>
      <c r="F958" s="5" t="s">
        <v>154</v>
      </c>
      <c r="G958" s="5" t="s">
        <v>18</v>
      </c>
      <c r="H958" s="5">
        <v>10</v>
      </c>
      <c r="I958" s="5">
        <v>519</v>
      </c>
      <c r="J958" s="5">
        <v>1420</v>
      </c>
      <c r="K958" s="6">
        <f t="shared" si="56"/>
        <v>5190</v>
      </c>
      <c r="L958" s="6">
        <f t="shared" si="57"/>
        <v>14200</v>
      </c>
      <c r="M958" s="6">
        <f t="shared" si="58"/>
        <v>9010</v>
      </c>
      <c r="N958" s="6" t="str">
        <f t="shared" si="59"/>
        <v>profit</v>
      </c>
    </row>
    <row r="959" spans="1:14" ht="15.6" thickTop="1" thickBot="1" x14ac:dyDescent="0.35">
      <c r="A959" s="4">
        <v>45649</v>
      </c>
      <c r="B959" s="4" t="s">
        <v>189</v>
      </c>
      <c r="C959" s="5" t="s">
        <v>355</v>
      </c>
      <c r="D959" s="5" t="s">
        <v>32</v>
      </c>
      <c r="E959" s="5" t="s">
        <v>119</v>
      </c>
      <c r="F959" s="5" t="s">
        <v>43</v>
      </c>
      <c r="G959" s="5" t="s">
        <v>18</v>
      </c>
      <c r="H959" s="5">
        <v>94</v>
      </c>
      <c r="I959" s="5">
        <v>564</v>
      </c>
      <c r="J959" s="5">
        <v>941</v>
      </c>
      <c r="K959" s="6">
        <f t="shared" si="56"/>
        <v>53016</v>
      </c>
      <c r="L959" s="6">
        <f t="shared" si="57"/>
        <v>88454</v>
      </c>
      <c r="M959" s="6">
        <f t="shared" si="58"/>
        <v>35438</v>
      </c>
      <c r="N959" s="6" t="str">
        <f t="shared" si="59"/>
        <v>profit</v>
      </c>
    </row>
    <row r="960" spans="1:14" ht="15.6" thickTop="1" thickBot="1" x14ac:dyDescent="0.35">
      <c r="A960" s="4">
        <v>45650</v>
      </c>
      <c r="B960" s="4" t="s">
        <v>189</v>
      </c>
      <c r="C960" s="5" t="s">
        <v>356</v>
      </c>
      <c r="D960" s="5" t="s">
        <v>32</v>
      </c>
      <c r="E960" s="5" t="s">
        <v>119</v>
      </c>
      <c r="F960" s="5" t="s">
        <v>152</v>
      </c>
      <c r="G960" s="5" t="s">
        <v>18</v>
      </c>
      <c r="H960" s="5">
        <v>50</v>
      </c>
      <c r="I960" s="5">
        <v>545</v>
      </c>
      <c r="J960" s="5">
        <v>1050</v>
      </c>
      <c r="K960" s="6">
        <f t="shared" si="56"/>
        <v>27250</v>
      </c>
      <c r="L960" s="6">
        <f t="shared" si="57"/>
        <v>52500</v>
      </c>
      <c r="M960" s="6">
        <f t="shared" si="58"/>
        <v>25250</v>
      </c>
      <c r="N960" s="6" t="str">
        <f t="shared" si="59"/>
        <v>profit</v>
      </c>
    </row>
    <row r="961" spans="1:14" ht="15.6" thickTop="1" thickBot="1" x14ac:dyDescent="0.35">
      <c r="A961" s="4">
        <v>45651</v>
      </c>
      <c r="B961" s="4" t="s">
        <v>189</v>
      </c>
      <c r="C961" s="5" t="s">
        <v>357</v>
      </c>
      <c r="D961" s="5" t="s">
        <v>32</v>
      </c>
      <c r="E961" s="5" t="s">
        <v>119</v>
      </c>
      <c r="F961" s="5" t="s">
        <v>154</v>
      </c>
      <c r="G961" s="5" t="s">
        <v>18</v>
      </c>
      <c r="H961" s="5">
        <v>60</v>
      </c>
      <c r="I961" s="5">
        <v>783</v>
      </c>
      <c r="J961" s="5">
        <v>1422</v>
      </c>
      <c r="K961" s="6">
        <f t="shared" si="56"/>
        <v>46980</v>
      </c>
      <c r="L961" s="6">
        <f t="shared" si="57"/>
        <v>85320</v>
      </c>
      <c r="M961" s="6">
        <f t="shared" si="58"/>
        <v>38340</v>
      </c>
      <c r="N961" s="6" t="str">
        <f t="shared" si="59"/>
        <v>profit</v>
      </c>
    </row>
    <row r="962" spans="1:14" ht="15.6" thickTop="1" thickBot="1" x14ac:dyDescent="0.35">
      <c r="A962" s="4">
        <v>45652</v>
      </c>
      <c r="B962" s="4" t="s">
        <v>189</v>
      </c>
      <c r="C962" s="5" t="s">
        <v>358</v>
      </c>
      <c r="D962" s="5" t="s">
        <v>32</v>
      </c>
      <c r="E962" s="5" t="s">
        <v>119</v>
      </c>
      <c r="F962" s="5" t="s">
        <v>17</v>
      </c>
      <c r="G962" s="5" t="s">
        <v>18</v>
      </c>
      <c r="H962" s="5">
        <v>63</v>
      </c>
      <c r="I962" s="5">
        <v>746</v>
      </c>
      <c r="J962" s="5">
        <v>1075</v>
      </c>
      <c r="K962" s="6">
        <f t="shared" ref="K962:K993" si="60">H962*I962</f>
        <v>46998</v>
      </c>
      <c r="L962" s="6">
        <f t="shared" ref="L962:L993" si="61">H962*J962</f>
        <v>67725</v>
      </c>
      <c r="M962" s="6">
        <f t="shared" ref="M962:M993" si="62">L962-K962</f>
        <v>20727</v>
      </c>
      <c r="N962" s="6" t="str">
        <f t="shared" ref="N962:N993" si="63">IF(M962&gt;0,"profit","loss")</f>
        <v>profit</v>
      </c>
    </row>
    <row r="963" spans="1:14" ht="15.6" thickTop="1" thickBot="1" x14ac:dyDescent="0.35">
      <c r="A963" s="4">
        <v>45654</v>
      </c>
      <c r="B963" s="4" t="s">
        <v>189</v>
      </c>
      <c r="C963" s="5" t="s">
        <v>359</v>
      </c>
      <c r="D963" s="5" t="s">
        <v>32</v>
      </c>
      <c r="E963" s="5" t="s">
        <v>119</v>
      </c>
      <c r="F963" s="5" t="s">
        <v>22</v>
      </c>
      <c r="G963" s="5" t="s">
        <v>27</v>
      </c>
      <c r="H963" s="5">
        <v>86</v>
      </c>
      <c r="I963" s="5">
        <v>834</v>
      </c>
      <c r="J963" s="5">
        <v>1372</v>
      </c>
      <c r="K963" s="6">
        <f t="shared" si="60"/>
        <v>71724</v>
      </c>
      <c r="L963" s="6">
        <f t="shared" si="61"/>
        <v>117992</v>
      </c>
      <c r="M963" s="6">
        <f t="shared" si="62"/>
        <v>46268</v>
      </c>
      <c r="N963" s="6" t="str">
        <f t="shared" si="63"/>
        <v>profit</v>
      </c>
    </row>
    <row r="964" spans="1:14" ht="15.6" thickTop="1" thickBot="1" x14ac:dyDescent="0.35">
      <c r="A964" s="4">
        <v>45683</v>
      </c>
      <c r="B964" s="4" t="s">
        <v>94</v>
      </c>
      <c r="C964" s="5" t="s">
        <v>242</v>
      </c>
      <c r="D964" s="5" t="s">
        <v>15</v>
      </c>
      <c r="E964" s="5" t="s">
        <v>36</v>
      </c>
      <c r="F964" s="5" t="s">
        <v>26</v>
      </c>
      <c r="G964" s="5" t="s">
        <v>18</v>
      </c>
      <c r="H964" s="5">
        <v>17</v>
      </c>
      <c r="I964" s="5">
        <v>922</v>
      </c>
      <c r="J964" s="5">
        <v>899</v>
      </c>
      <c r="K964" s="6">
        <f t="shared" si="60"/>
        <v>15674</v>
      </c>
      <c r="L964" s="6">
        <f t="shared" si="61"/>
        <v>15283</v>
      </c>
      <c r="M964" s="6">
        <f t="shared" si="62"/>
        <v>-391</v>
      </c>
      <c r="N964" s="6" t="str">
        <f t="shared" si="63"/>
        <v>loss</v>
      </c>
    </row>
    <row r="965" spans="1:14" ht="15.6" thickTop="1" thickBot="1" x14ac:dyDescent="0.35">
      <c r="A965" s="4">
        <v>45655</v>
      </c>
      <c r="B965" s="4" t="s">
        <v>189</v>
      </c>
      <c r="C965" s="5" t="s">
        <v>360</v>
      </c>
      <c r="D965" s="5" t="s">
        <v>32</v>
      </c>
      <c r="E965" s="5" t="s">
        <v>119</v>
      </c>
      <c r="F965" s="5" t="s">
        <v>24</v>
      </c>
      <c r="G965" s="5" t="s">
        <v>27</v>
      </c>
      <c r="H965" s="5">
        <v>51</v>
      </c>
      <c r="I965" s="5">
        <v>944</v>
      </c>
      <c r="J965" s="5">
        <v>1062</v>
      </c>
      <c r="K965" s="6">
        <f t="shared" si="60"/>
        <v>48144</v>
      </c>
      <c r="L965" s="6">
        <f t="shared" si="61"/>
        <v>54162</v>
      </c>
      <c r="M965" s="6">
        <f t="shared" si="62"/>
        <v>6018</v>
      </c>
      <c r="N965" s="6" t="str">
        <f t="shared" si="63"/>
        <v>profit</v>
      </c>
    </row>
    <row r="966" spans="1:14" ht="15.6" thickTop="1" thickBot="1" x14ac:dyDescent="0.35">
      <c r="A966" s="4">
        <v>45656</v>
      </c>
      <c r="B966" s="4" t="s">
        <v>189</v>
      </c>
      <c r="C966" s="5" t="s">
        <v>361</v>
      </c>
      <c r="D966" s="5" t="s">
        <v>32</v>
      </c>
      <c r="E966" s="5" t="s">
        <v>119</v>
      </c>
      <c r="F966" s="5" t="s">
        <v>24</v>
      </c>
      <c r="G966" s="5" t="s">
        <v>27</v>
      </c>
      <c r="H966" s="5">
        <v>75</v>
      </c>
      <c r="I966" s="5">
        <v>547</v>
      </c>
      <c r="J966" s="5">
        <v>1203</v>
      </c>
      <c r="K966" s="6">
        <f t="shared" si="60"/>
        <v>41025</v>
      </c>
      <c r="L966" s="6">
        <f t="shared" si="61"/>
        <v>90225</v>
      </c>
      <c r="M966" s="6">
        <f t="shared" si="62"/>
        <v>49200</v>
      </c>
      <c r="N966" s="6" t="str">
        <f t="shared" si="63"/>
        <v>profit</v>
      </c>
    </row>
    <row r="967" spans="1:14" ht="15.6" thickTop="1" thickBot="1" x14ac:dyDescent="0.35">
      <c r="A967" s="4">
        <v>45657</v>
      </c>
      <c r="B967" s="4" t="s">
        <v>189</v>
      </c>
      <c r="C967" s="5" t="s">
        <v>362</v>
      </c>
      <c r="D967" s="5" t="s">
        <v>32</v>
      </c>
      <c r="E967" s="5" t="s">
        <v>119</v>
      </c>
      <c r="F967" s="5" t="s">
        <v>26</v>
      </c>
      <c r="G967" s="5" t="s">
        <v>27</v>
      </c>
      <c r="H967" s="5">
        <v>64</v>
      </c>
      <c r="I967" s="5">
        <v>918</v>
      </c>
      <c r="J967" s="5">
        <v>907</v>
      </c>
      <c r="K967" s="6">
        <f t="shared" si="60"/>
        <v>58752</v>
      </c>
      <c r="L967" s="6">
        <f t="shared" si="61"/>
        <v>58048</v>
      </c>
      <c r="M967" s="6">
        <f t="shared" si="62"/>
        <v>-704</v>
      </c>
      <c r="N967" s="6" t="str">
        <f t="shared" si="63"/>
        <v>loss</v>
      </c>
    </row>
    <row r="968" spans="1:14" ht="15.6" thickTop="1" thickBot="1" x14ac:dyDescent="0.35">
      <c r="A968" s="4">
        <v>45687</v>
      </c>
      <c r="B968" s="4" t="s">
        <v>94</v>
      </c>
      <c r="C968" s="5" t="s">
        <v>246</v>
      </c>
      <c r="D968" s="5" t="s">
        <v>15</v>
      </c>
      <c r="E968" s="5" t="s">
        <v>36</v>
      </c>
      <c r="F968" s="5" t="s">
        <v>29</v>
      </c>
      <c r="G968" s="5" t="s">
        <v>27</v>
      </c>
      <c r="H968" s="5">
        <v>12</v>
      </c>
      <c r="I968" s="5">
        <v>519</v>
      </c>
      <c r="J968" s="5">
        <v>1212</v>
      </c>
      <c r="K968" s="6">
        <f t="shared" si="60"/>
        <v>6228</v>
      </c>
      <c r="L968" s="6">
        <f t="shared" si="61"/>
        <v>14544</v>
      </c>
      <c r="M968" s="6">
        <f t="shared" si="62"/>
        <v>8316</v>
      </c>
      <c r="N968" s="6" t="str">
        <f t="shared" si="63"/>
        <v>profit</v>
      </c>
    </row>
    <row r="969" spans="1:14" ht="15.6" thickTop="1" thickBot="1" x14ac:dyDescent="0.35">
      <c r="A969" s="4">
        <v>45658</v>
      </c>
      <c r="B969" s="4" t="s">
        <v>94</v>
      </c>
      <c r="C969" s="5" t="s">
        <v>363</v>
      </c>
      <c r="D969" s="5" t="s">
        <v>32</v>
      </c>
      <c r="E969" s="5" t="s">
        <v>119</v>
      </c>
      <c r="F969" s="5" t="s">
        <v>29</v>
      </c>
      <c r="G969" s="5" t="s">
        <v>18</v>
      </c>
      <c r="H969" s="5">
        <v>74</v>
      </c>
      <c r="I969" s="5">
        <v>965</v>
      </c>
      <c r="J969" s="5">
        <v>906</v>
      </c>
      <c r="K969" s="6">
        <f t="shared" si="60"/>
        <v>71410</v>
      </c>
      <c r="L969" s="6">
        <f t="shared" si="61"/>
        <v>67044</v>
      </c>
      <c r="M969" s="6">
        <f t="shared" si="62"/>
        <v>-4366</v>
      </c>
      <c r="N969" s="6" t="str">
        <f t="shared" si="63"/>
        <v>loss</v>
      </c>
    </row>
    <row r="970" spans="1:14" ht="15.6" thickTop="1" thickBot="1" x14ac:dyDescent="0.35">
      <c r="A970" s="4">
        <v>45666</v>
      </c>
      <c r="B970" s="4" t="s">
        <v>94</v>
      </c>
      <c r="C970" s="5" t="s">
        <v>364</v>
      </c>
      <c r="D970" s="5" t="s">
        <v>32</v>
      </c>
      <c r="E970" s="5" t="s">
        <v>98</v>
      </c>
      <c r="F970" s="5" t="s">
        <v>34</v>
      </c>
      <c r="G970" s="5" t="s">
        <v>27</v>
      </c>
      <c r="H970" s="5">
        <v>100</v>
      </c>
      <c r="I970" s="5">
        <v>667</v>
      </c>
      <c r="J970" s="5">
        <v>1109</v>
      </c>
      <c r="K970" s="6">
        <f t="shared" si="60"/>
        <v>66700</v>
      </c>
      <c r="L970" s="6">
        <f t="shared" si="61"/>
        <v>110900</v>
      </c>
      <c r="M970" s="6">
        <f t="shared" si="62"/>
        <v>44200</v>
      </c>
      <c r="N970" s="6" t="str">
        <f t="shared" si="63"/>
        <v>profit</v>
      </c>
    </row>
    <row r="971" spans="1:14" ht="15.6" thickTop="1" thickBot="1" x14ac:dyDescent="0.35">
      <c r="A971" s="4">
        <v>45667</v>
      </c>
      <c r="B971" s="4" t="s">
        <v>94</v>
      </c>
      <c r="C971" s="5" t="s">
        <v>365</v>
      </c>
      <c r="D971" s="5" t="s">
        <v>32</v>
      </c>
      <c r="E971" s="5" t="s">
        <v>98</v>
      </c>
      <c r="F971" s="5" t="s">
        <v>38</v>
      </c>
      <c r="G971" s="5" t="s">
        <v>27</v>
      </c>
      <c r="H971" s="5">
        <v>60</v>
      </c>
      <c r="I971" s="5">
        <v>509</v>
      </c>
      <c r="J971" s="5">
        <v>954</v>
      </c>
      <c r="K971" s="6">
        <f t="shared" si="60"/>
        <v>30540</v>
      </c>
      <c r="L971" s="6">
        <f t="shared" si="61"/>
        <v>57240</v>
      </c>
      <c r="M971" s="6">
        <f t="shared" si="62"/>
        <v>26700</v>
      </c>
      <c r="N971" s="6" t="str">
        <f t="shared" si="63"/>
        <v>profit</v>
      </c>
    </row>
    <row r="972" spans="1:14" ht="15.6" thickTop="1" thickBot="1" x14ac:dyDescent="0.35">
      <c r="A972" s="4">
        <v>45668</v>
      </c>
      <c r="B972" s="4" t="s">
        <v>94</v>
      </c>
      <c r="C972" s="5" t="s">
        <v>366</v>
      </c>
      <c r="D972" s="5" t="s">
        <v>32</v>
      </c>
      <c r="E972" s="5" t="s">
        <v>98</v>
      </c>
      <c r="F972" s="5" t="s">
        <v>38</v>
      </c>
      <c r="G972" s="5" t="s">
        <v>27</v>
      </c>
      <c r="H972" s="5">
        <v>93</v>
      </c>
      <c r="I972" s="5">
        <v>814</v>
      </c>
      <c r="J972" s="5">
        <v>832</v>
      </c>
      <c r="K972" s="6">
        <f t="shared" si="60"/>
        <v>75702</v>
      </c>
      <c r="L972" s="6">
        <f t="shared" si="61"/>
        <v>77376</v>
      </c>
      <c r="M972" s="6">
        <f t="shared" si="62"/>
        <v>1674</v>
      </c>
      <c r="N972" s="6" t="str">
        <f t="shared" si="63"/>
        <v>profit</v>
      </c>
    </row>
    <row r="973" spans="1:14" ht="15.6" thickTop="1" thickBot="1" x14ac:dyDescent="0.35">
      <c r="A973" s="4">
        <v>45669</v>
      </c>
      <c r="B973" s="4" t="s">
        <v>94</v>
      </c>
      <c r="C973" s="5" t="s">
        <v>367</v>
      </c>
      <c r="D973" s="5" t="s">
        <v>32</v>
      </c>
      <c r="E973" s="5" t="s">
        <v>98</v>
      </c>
      <c r="F973" s="5" t="s">
        <v>63</v>
      </c>
      <c r="G973" s="5" t="s">
        <v>18</v>
      </c>
      <c r="H973" s="5">
        <v>86</v>
      </c>
      <c r="I973" s="5">
        <v>567</v>
      </c>
      <c r="J973" s="5">
        <v>1491</v>
      </c>
      <c r="K973" s="6">
        <f t="shared" si="60"/>
        <v>48762</v>
      </c>
      <c r="L973" s="6">
        <f t="shared" si="61"/>
        <v>128226</v>
      </c>
      <c r="M973" s="6">
        <f t="shared" si="62"/>
        <v>79464</v>
      </c>
      <c r="N973" s="6" t="str">
        <f t="shared" si="63"/>
        <v>profit</v>
      </c>
    </row>
    <row r="974" spans="1:14" ht="15.6" thickTop="1" thickBot="1" x14ac:dyDescent="0.35">
      <c r="A974" s="4">
        <v>45670</v>
      </c>
      <c r="B974" s="4" t="s">
        <v>94</v>
      </c>
      <c r="C974" s="5" t="s">
        <v>368</v>
      </c>
      <c r="D974" s="5" t="s">
        <v>32</v>
      </c>
      <c r="E974" s="5" t="s">
        <v>98</v>
      </c>
      <c r="F974" s="5" t="s">
        <v>63</v>
      </c>
      <c r="G974" s="5" t="s">
        <v>27</v>
      </c>
      <c r="H974" s="5">
        <v>54</v>
      </c>
      <c r="I974" s="5">
        <v>674</v>
      </c>
      <c r="J974" s="5">
        <v>787</v>
      </c>
      <c r="K974" s="6">
        <f t="shared" si="60"/>
        <v>36396</v>
      </c>
      <c r="L974" s="6">
        <f t="shared" si="61"/>
        <v>42498</v>
      </c>
      <c r="M974" s="6">
        <f t="shared" si="62"/>
        <v>6102</v>
      </c>
      <c r="N974" s="6" t="str">
        <f t="shared" si="63"/>
        <v>profit</v>
      </c>
    </row>
    <row r="975" spans="1:14" ht="15.6" thickTop="1" thickBot="1" x14ac:dyDescent="0.35">
      <c r="A975" s="4">
        <v>45672</v>
      </c>
      <c r="B975" s="4" t="s">
        <v>94</v>
      </c>
      <c r="C975" s="5" t="s">
        <v>369</v>
      </c>
      <c r="D975" s="5" t="s">
        <v>32</v>
      </c>
      <c r="E975" s="5" t="s">
        <v>119</v>
      </c>
      <c r="F975" s="5" t="s">
        <v>38</v>
      </c>
      <c r="G975" s="5" t="s">
        <v>27</v>
      </c>
      <c r="H975" s="5">
        <v>98</v>
      </c>
      <c r="I975" s="5">
        <v>950</v>
      </c>
      <c r="J975" s="5">
        <v>1426</v>
      </c>
      <c r="K975" s="6">
        <f t="shared" si="60"/>
        <v>93100</v>
      </c>
      <c r="L975" s="6">
        <f t="shared" si="61"/>
        <v>139748</v>
      </c>
      <c r="M975" s="6">
        <f t="shared" si="62"/>
        <v>46648</v>
      </c>
      <c r="N975" s="6" t="str">
        <f t="shared" si="63"/>
        <v>profit</v>
      </c>
    </row>
    <row r="976" spans="1:14" ht="15.6" thickTop="1" thickBot="1" x14ac:dyDescent="0.35">
      <c r="A976" s="4">
        <v>45673</v>
      </c>
      <c r="B976" s="4" t="s">
        <v>94</v>
      </c>
      <c r="C976" s="5" t="s">
        <v>370</v>
      </c>
      <c r="D976" s="5" t="s">
        <v>32</v>
      </c>
      <c r="E976" s="5" t="s">
        <v>119</v>
      </c>
      <c r="F976" s="5" t="s">
        <v>29</v>
      </c>
      <c r="G976" s="5" t="s">
        <v>27</v>
      </c>
      <c r="H976" s="5">
        <v>82</v>
      </c>
      <c r="I976" s="5">
        <v>916</v>
      </c>
      <c r="J976" s="5">
        <v>1461</v>
      </c>
      <c r="K976" s="6">
        <f t="shared" si="60"/>
        <v>75112</v>
      </c>
      <c r="L976" s="6">
        <f t="shared" si="61"/>
        <v>119802</v>
      </c>
      <c r="M976" s="6">
        <f t="shared" si="62"/>
        <v>44690</v>
      </c>
      <c r="N976" s="6" t="str">
        <f t="shared" si="63"/>
        <v>profit</v>
      </c>
    </row>
    <row r="977" spans="1:14" ht="15.6" thickTop="1" thickBot="1" x14ac:dyDescent="0.35">
      <c r="A977" s="4">
        <v>45674</v>
      </c>
      <c r="B977" s="4" t="s">
        <v>94</v>
      </c>
      <c r="C977" s="5" t="s">
        <v>371</v>
      </c>
      <c r="D977" s="5" t="s">
        <v>32</v>
      </c>
      <c r="E977" s="5" t="s">
        <v>119</v>
      </c>
      <c r="F977" s="5" t="s">
        <v>112</v>
      </c>
      <c r="G977" s="5" t="s">
        <v>18</v>
      </c>
      <c r="H977" s="5">
        <v>66</v>
      </c>
      <c r="I977" s="5">
        <v>710</v>
      </c>
      <c r="J977" s="5">
        <v>1034</v>
      </c>
      <c r="K977" s="6">
        <f t="shared" si="60"/>
        <v>46860</v>
      </c>
      <c r="L977" s="6">
        <f t="shared" si="61"/>
        <v>68244</v>
      </c>
      <c r="M977" s="6">
        <f t="shared" si="62"/>
        <v>21384</v>
      </c>
      <c r="N977" s="6" t="str">
        <f t="shared" si="63"/>
        <v>profit</v>
      </c>
    </row>
    <row r="978" spans="1:14" ht="15.6" thickTop="1" thickBot="1" x14ac:dyDescent="0.35">
      <c r="A978" s="4">
        <v>45675</v>
      </c>
      <c r="B978" s="4" t="s">
        <v>94</v>
      </c>
      <c r="C978" s="5" t="s">
        <v>372</v>
      </c>
      <c r="D978" s="5" t="s">
        <v>32</v>
      </c>
      <c r="E978" s="5" t="s">
        <v>119</v>
      </c>
      <c r="F978" s="5" t="s">
        <v>43</v>
      </c>
      <c r="G978" s="5" t="s">
        <v>18</v>
      </c>
      <c r="H978" s="5">
        <v>77</v>
      </c>
      <c r="I978" s="5">
        <v>922</v>
      </c>
      <c r="J978" s="5">
        <v>1400</v>
      </c>
      <c r="K978" s="6">
        <f t="shared" si="60"/>
        <v>70994</v>
      </c>
      <c r="L978" s="6">
        <f t="shared" si="61"/>
        <v>107800</v>
      </c>
      <c r="M978" s="6">
        <f t="shared" si="62"/>
        <v>36806</v>
      </c>
      <c r="N978" s="6" t="str">
        <f t="shared" si="63"/>
        <v>profit</v>
      </c>
    </row>
    <row r="979" spans="1:14" ht="15.6" thickTop="1" thickBot="1" x14ac:dyDescent="0.35">
      <c r="A979" s="4">
        <v>45698</v>
      </c>
      <c r="B979" s="4" t="s">
        <v>238</v>
      </c>
      <c r="C979" s="5" t="s">
        <v>251</v>
      </c>
      <c r="D979" s="5" t="s">
        <v>45</v>
      </c>
      <c r="E979" s="5" t="s">
        <v>117</v>
      </c>
      <c r="F979" s="5" t="s">
        <v>29</v>
      </c>
      <c r="G979" s="5" t="s">
        <v>18</v>
      </c>
      <c r="H979" s="5">
        <v>22</v>
      </c>
      <c r="I979" s="5">
        <v>745</v>
      </c>
      <c r="J979" s="5">
        <v>1153</v>
      </c>
      <c r="K979" s="6">
        <f t="shared" si="60"/>
        <v>16390</v>
      </c>
      <c r="L979" s="6">
        <f t="shared" si="61"/>
        <v>25366</v>
      </c>
      <c r="M979" s="6">
        <f t="shared" si="62"/>
        <v>8976</v>
      </c>
      <c r="N979" s="6" t="str">
        <f t="shared" si="63"/>
        <v>profit</v>
      </c>
    </row>
    <row r="980" spans="1:14" ht="15.6" thickTop="1" thickBot="1" x14ac:dyDescent="0.35">
      <c r="A980" s="4">
        <v>45676</v>
      </c>
      <c r="B980" s="4" t="s">
        <v>94</v>
      </c>
      <c r="C980" s="5" t="s">
        <v>373</v>
      </c>
      <c r="D980" s="5" t="s">
        <v>32</v>
      </c>
      <c r="E980" s="5" t="s">
        <v>119</v>
      </c>
      <c r="F980" s="5" t="s">
        <v>152</v>
      </c>
      <c r="G980" s="5" t="s">
        <v>18</v>
      </c>
      <c r="H980" s="5">
        <v>93</v>
      </c>
      <c r="I980" s="5">
        <v>887</v>
      </c>
      <c r="J980" s="5">
        <v>993</v>
      </c>
      <c r="K980" s="6">
        <f t="shared" si="60"/>
        <v>82491</v>
      </c>
      <c r="L980" s="6">
        <f t="shared" si="61"/>
        <v>92349</v>
      </c>
      <c r="M980" s="6">
        <f t="shared" si="62"/>
        <v>9858</v>
      </c>
      <c r="N980" s="6" t="str">
        <f t="shared" si="63"/>
        <v>profit</v>
      </c>
    </row>
    <row r="981" spans="1:14" ht="15.6" thickTop="1" thickBot="1" x14ac:dyDescent="0.35">
      <c r="A981" s="4">
        <v>45700</v>
      </c>
      <c r="B981" s="4" t="s">
        <v>238</v>
      </c>
      <c r="C981" s="5" t="s">
        <v>374</v>
      </c>
      <c r="D981" s="5" t="s">
        <v>32</v>
      </c>
      <c r="E981" s="5" t="s">
        <v>98</v>
      </c>
      <c r="F981" s="5" t="s">
        <v>38</v>
      </c>
      <c r="G981" s="5" t="s">
        <v>18</v>
      </c>
      <c r="H981" s="5">
        <v>78</v>
      </c>
      <c r="I981" s="5">
        <v>709</v>
      </c>
      <c r="J981" s="5">
        <v>1494</v>
      </c>
      <c r="K981" s="6">
        <f t="shared" si="60"/>
        <v>55302</v>
      </c>
      <c r="L981" s="6">
        <f t="shared" si="61"/>
        <v>116532</v>
      </c>
      <c r="M981" s="6">
        <f t="shared" si="62"/>
        <v>61230</v>
      </c>
      <c r="N981" s="6" t="str">
        <f t="shared" si="63"/>
        <v>profit</v>
      </c>
    </row>
    <row r="982" spans="1:14" ht="15.6" thickTop="1" thickBot="1" x14ac:dyDescent="0.35">
      <c r="A982" s="4">
        <v>45701</v>
      </c>
      <c r="B982" s="4" t="s">
        <v>238</v>
      </c>
      <c r="C982" s="5" t="s">
        <v>375</v>
      </c>
      <c r="D982" s="5" t="s">
        <v>32</v>
      </c>
      <c r="E982" s="5" t="s">
        <v>98</v>
      </c>
      <c r="F982" s="5" t="s">
        <v>38</v>
      </c>
      <c r="G982" s="5" t="s">
        <v>18</v>
      </c>
      <c r="H982" s="5">
        <v>87</v>
      </c>
      <c r="I982" s="5">
        <v>714</v>
      </c>
      <c r="J982" s="5">
        <v>926</v>
      </c>
      <c r="K982" s="6">
        <f t="shared" si="60"/>
        <v>62118</v>
      </c>
      <c r="L982" s="6">
        <f t="shared" si="61"/>
        <v>80562</v>
      </c>
      <c r="M982" s="6">
        <f t="shared" si="62"/>
        <v>18444</v>
      </c>
      <c r="N982" s="6" t="str">
        <f t="shared" si="63"/>
        <v>profit</v>
      </c>
    </row>
    <row r="983" spans="1:14" ht="15.6" thickTop="1" thickBot="1" x14ac:dyDescent="0.35">
      <c r="A983" s="4">
        <v>45702</v>
      </c>
      <c r="B983" s="4" t="s">
        <v>238</v>
      </c>
      <c r="C983" s="5" t="s">
        <v>252</v>
      </c>
      <c r="D983" s="5" t="s">
        <v>32</v>
      </c>
      <c r="E983" s="5" t="s">
        <v>98</v>
      </c>
      <c r="F983" s="5" t="s">
        <v>63</v>
      </c>
      <c r="G983" s="5" t="s">
        <v>18</v>
      </c>
      <c r="H983" s="5">
        <v>90</v>
      </c>
      <c r="I983" s="5">
        <v>983</v>
      </c>
      <c r="J983" s="5">
        <v>924</v>
      </c>
      <c r="K983" s="6">
        <f t="shared" si="60"/>
        <v>88470</v>
      </c>
      <c r="L983" s="6">
        <f t="shared" si="61"/>
        <v>83160</v>
      </c>
      <c r="M983" s="6">
        <f t="shared" si="62"/>
        <v>-5310</v>
      </c>
      <c r="N983" s="6" t="str">
        <f t="shared" si="63"/>
        <v>loss</v>
      </c>
    </row>
    <row r="984" spans="1:14" ht="15.6" thickTop="1" thickBot="1" x14ac:dyDescent="0.35">
      <c r="A984" s="4">
        <v>45703</v>
      </c>
      <c r="B984" s="4" t="s">
        <v>238</v>
      </c>
      <c r="C984" s="5" t="s">
        <v>376</v>
      </c>
      <c r="D984" s="5" t="s">
        <v>32</v>
      </c>
      <c r="E984" s="5" t="s">
        <v>98</v>
      </c>
      <c r="F984" s="5" t="s">
        <v>63</v>
      </c>
      <c r="G984" s="5" t="s">
        <v>18</v>
      </c>
      <c r="H984" s="5">
        <v>78</v>
      </c>
      <c r="I984" s="5">
        <v>789</v>
      </c>
      <c r="J984" s="5">
        <v>1064</v>
      </c>
      <c r="K984" s="6">
        <f t="shared" si="60"/>
        <v>61542</v>
      </c>
      <c r="L984" s="6">
        <f t="shared" si="61"/>
        <v>82992</v>
      </c>
      <c r="M984" s="6">
        <f t="shared" si="62"/>
        <v>21450</v>
      </c>
      <c r="N984" s="6" t="str">
        <f t="shared" si="63"/>
        <v>profit</v>
      </c>
    </row>
    <row r="985" spans="1:14" ht="15.6" thickTop="1" thickBot="1" x14ac:dyDescent="0.35">
      <c r="A985" s="4">
        <v>45704</v>
      </c>
      <c r="B985" s="4" t="s">
        <v>238</v>
      </c>
      <c r="C985" s="5" t="s">
        <v>377</v>
      </c>
      <c r="D985" s="5" t="s">
        <v>32</v>
      </c>
      <c r="E985" s="5" t="s">
        <v>98</v>
      </c>
      <c r="F985" s="5" t="s">
        <v>59</v>
      </c>
      <c r="G985" s="5" t="s">
        <v>27</v>
      </c>
      <c r="H985" s="5">
        <v>74</v>
      </c>
      <c r="I985" s="5">
        <v>835</v>
      </c>
      <c r="J985" s="5">
        <v>1096</v>
      </c>
      <c r="K985" s="6">
        <f t="shared" si="60"/>
        <v>61790</v>
      </c>
      <c r="L985" s="6">
        <f t="shared" si="61"/>
        <v>81104</v>
      </c>
      <c r="M985" s="6">
        <f t="shared" si="62"/>
        <v>19314</v>
      </c>
      <c r="N985" s="6" t="str">
        <f t="shared" si="63"/>
        <v>profit</v>
      </c>
    </row>
    <row r="986" spans="1:14" ht="15.6" thickTop="1" thickBot="1" x14ac:dyDescent="0.35">
      <c r="A986" s="4">
        <v>45705</v>
      </c>
      <c r="B986" s="4" t="s">
        <v>238</v>
      </c>
      <c r="C986" s="5" t="s">
        <v>378</v>
      </c>
      <c r="D986" s="5" t="s">
        <v>32</v>
      </c>
      <c r="E986" s="5" t="s">
        <v>98</v>
      </c>
      <c r="F986" s="5" t="s">
        <v>38</v>
      </c>
      <c r="G986" s="5" t="s">
        <v>27</v>
      </c>
      <c r="H986" s="5">
        <v>94</v>
      </c>
      <c r="I986" s="5">
        <v>952</v>
      </c>
      <c r="J986" s="5">
        <v>1425</v>
      </c>
      <c r="K986" s="6">
        <f t="shared" si="60"/>
        <v>89488</v>
      </c>
      <c r="L986" s="6">
        <f t="shared" si="61"/>
        <v>133950</v>
      </c>
      <c r="M986" s="6">
        <f t="shared" si="62"/>
        <v>44462</v>
      </c>
      <c r="N986" s="6" t="str">
        <f t="shared" si="63"/>
        <v>profit</v>
      </c>
    </row>
    <row r="987" spans="1:14" ht="15.6" thickTop="1" thickBot="1" x14ac:dyDescent="0.35">
      <c r="A987" s="4">
        <v>45706</v>
      </c>
      <c r="B987" s="4" t="s">
        <v>238</v>
      </c>
      <c r="C987" s="5" t="s">
        <v>379</v>
      </c>
      <c r="D987" s="5" t="s">
        <v>32</v>
      </c>
      <c r="E987" s="5" t="s">
        <v>98</v>
      </c>
      <c r="F987" s="5" t="s">
        <v>29</v>
      </c>
      <c r="G987" s="5" t="s">
        <v>27</v>
      </c>
      <c r="H987" s="5">
        <v>55</v>
      </c>
      <c r="I987" s="5">
        <v>558</v>
      </c>
      <c r="J987" s="5">
        <v>1203</v>
      </c>
      <c r="K987" s="6">
        <f t="shared" si="60"/>
        <v>30690</v>
      </c>
      <c r="L987" s="6">
        <f t="shared" si="61"/>
        <v>66165</v>
      </c>
      <c r="M987" s="6">
        <f t="shared" si="62"/>
        <v>35475</v>
      </c>
      <c r="N987" s="6" t="str">
        <f t="shared" si="63"/>
        <v>profit</v>
      </c>
    </row>
    <row r="988" spans="1:14" ht="15.6" thickTop="1" thickBot="1" x14ac:dyDescent="0.35">
      <c r="A988" s="4">
        <v>45707</v>
      </c>
      <c r="B988" s="4" t="s">
        <v>238</v>
      </c>
      <c r="C988" s="5" t="s">
        <v>380</v>
      </c>
      <c r="D988" s="5" t="s">
        <v>32</v>
      </c>
      <c r="E988" s="5" t="s">
        <v>98</v>
      </c>
      <c r="F988" s="5" t="s">
        <v>112</v>
      </c>
      <c r="G988" s="5" t="s">
        <v>27</v>
      </c>
      <c r="H988" s="5">
        <v>56</v>
      </c>
      <c r="I988" s="5">
        <v>562</v>
      </c>
      <c r="J988" s="5">
        <v>1341</v>
      </c>
      <c r="K988" s="6">
        <f t="shared" si="60"/>
        <v>31472</v>
      </c>
      <c r="L988" s="6">
        <f t="shared" si="61"/>
        <v>75096</v>
      </c>
      <c r="M988" s="6">
        <f t="shared" si="62"/>
        <v>43624</v>
      </c>
      <c r="N988" s="6" t="str">
        <f t="shared" si="63"/>
        <v>profit</v>
      </c>
    </row>
    <row r="989" spans="1:14" ht="15.6" thickTop="1" thickBot="1" x14ac:dyDescent="0.35">
      <c r="A989" s="4">
        <v>45708</v>
      </c>
      <c r="B989" s="4" t="s">
        <v>238</v>
      </c>
      <c r="C989" s="5" t="s">
        <v>381</v>
      </c>
      <c r="D989" s="5" t="s">
        <v>32</v>
      </c>
      <c r="E989" s="5" t="s">
        <v>98</v>
      </c>
      <c r="F989" s="5" t="s">
        <v>43</v>
      </c>
      <c r="G989" s="5" t="s">
        <v>18</v>
      </c>
      <c r="H989" s="5">
        <v>94</v>
      </c>
      <c r="I989" s="5">
        <v>513</v>
      </c>
      <c r="J989" s="5">
        <v>1318</v>
      </c>
      <c r="K989" s="6">
        <f t="shared" si="60"/>
        <v>48222</v>
      </c>
      <c r="L989" s="6">
        <f t="shared" si="61"/>
        <v>123892</v>
      </c>
      <c r="M989" s="6">
        <f t="shared" si="62"/>
        <v>75670</v>
      </c>
      <c r="N989" s="6" t="str">
        <f t="shared" si="63"/>
        <v>profit</v>
      </c>
    </row>
    <row r="990" spans="1:14" ht="15.6" thickTop="1" thickBot="1" x14ac:dyDescent="0.35">
      <c r="A990" s="4">
        <v>45709</v>
      </c>
      <c r="B990" s="4" t="s">
        <v>238</v>
      </c>
      <c r="C990" s="5" t="s">
        <v>253</v>
      </c>
      <c r="D990" s="5" t="s">
        <v>32</v>
      </c>
      <c r="E990" s="5" t="s">
        <v>98</v>
      </c>
      <c r="F990" s="5" t="s">
        <v>152</v>
      </c>
      <c r="G990" s="5" t="s">
        <v>27</v>
      </c>
      <c r="H990" s="5">
        <v>76</v>
      </c>
      <c r="I990" s="5">
        <v>526</v>
      </c>
      <c r="J990" s="5">
        <v>1260</v>
      </c>
      <c r="K990" s="6">
        <f t="shared" si="60"/>
        <v>39976</v>
      </c>
      <c r="L990" s="6">
        <f t="shared" si="61"/>
        <v>95760</v>
      </c>
      <c r="M990" s="6">
        <f t="shared" si="62"/>
        <v>55784</v>
      </c>
      <c r="N990" s="6" t="str">
        <f t="shared" si="63"/>
        <v>profit</v>
      </c>
    </row>
    <row r="991" spans="1:14" ht="15.6" thickTop="1" thickBot="1" x14ac:dyDescent="0.35">
      <c r="A991" s="4">
        <v>45710</v>
      </c>
      <c r="B991" s="4" t="s">
        <v>238</v>
      </c>
      <c r="C991" s="5" t="s">
        <v>382</v>
      </c>
      <c r="D991" s="5" t="s">
        <v>32</v>
      </c>
      <c r="E991" s="5" t="s">
        <v>98</v>
      </c>
      <c r="F991" s="5" t="s">
        <v>154</v>
      </c>
      <c r="G991" s="5" t="s">
        <v>27</v>
      </c>
      <c r="H991" s="5">
        <v>61</v>
      </c>
      <c r="I991" s="5">
        <v>545</v>
      </c>
      <c r="J991" s="5">
        <v>915</v>
      </c>
      <c r="K991" s="6">
        <f t="shared" si="60"/>
        <v>33245</v>
      </c>
      <c r="L991" s="6">
        <f t="shared" si="61"/>
        <v>55815</v>
      </c>
      <c r="M991" s="6">
        <f t="shared" si="62"/>
        <v>22570</v>
      </c>
      <c r="N991" s="6" t="str">
        <f t="shared" si="63"/>
        <v>profit</v>
      </c>
    </row>
    <row r="992" spans="1:14" ht="15.6" thickTop="1" thickBot="1" x14ac:dyDescent="0.35">
      <c r="A992" s="4">
        <v>45711</v>
      </c>
      <c r="B992" s="4" t="s">
        <v>238</v>
      </c>
      <c r="C992" s="5" t="s">
        <v>383</v>
      </c>
      <c r="D992" s="5" t="s">
        <v>32</v>
      </c>
      <c r="E992" s="5" t="s">
        <v>98</v>
      </c>
      <c r="F992" s="5" t="s">
        <v>17</v>
      </c>
      <c r="G992" s="5" t="s">
        <v>27</v>
      </c>
      <c r="H992" s="5">
        <v>99</v>
      </c>
      <c r="I992" s="5">
        <v>943</v>
      </c>
      <c r="J992" s="5">
        <v>823</v>
      </c>
      <c r="K992" s="6">
        <f t="shared" si="60"/>
        <v>93357</v>
      </c>
      <c r="L992" s="6">
        <f t="shared" si="61"/>
        <v>81477</v>
      </c>
      <c r="M992" s="6">
        <f t="shared" si="62"/>
        <v>-11880</v>
      </c>
      <c r="N992" s="6" t="str">
        <f t="shared" si="63"/>
        <v>loss</v>
      </c>
    </row>
    <row r="993" spans="1:14" ht="15.6" thickTop="1" thickBot="1" x14ac:dyDescent="0.35">
      <c r="A993" s="4">
        <v>45712</v>
      </c>
      <c r="B993" s="7" t="s">
        <v>238</v>
      </c>
      <c r="C993" s="8" t="s">
        <v>384</v>
      </c>
      <c r="D993" s="8" t="s">
        <v>32</v>
      </c>
      <c r="E993" s="8" t="s">
        <v>119</v>
      </c>
      <c r="F993" s="8" t="s">
        <v>20</v>
      </c>
      <c r="G993" s="5" t="s">
        <v>27</v>
      </c>
      <c r="H993" s="5">
        <v>84</v>
      </c>
      <c r="I993" s="5">
        <v>738</v>
      </c>
      <c r="J993" s="5">
        <v>1080</v>
      </c>
      <c r="K993" s="6">
        <f t="shared" si="60"/>
        <v>61992</v>
      </c>
      <c r="L993" s="6">
        <f t="shared" si="61"/>
        <v>90720</v>
      </c>
      <c r="M993" s="6">
        <f t="shared" si="62"/>
        <v>28728</v>
      </c>
      <c r="N993" s="6" t="str">
        <f t="shared" si="63"/>
        <v>profit</v>
      </c>
    </row>
    <row r="994" spans="1:14" ht="15" thickTop="1"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E6D30-9973-4DB1-A116-A25E49609638}">
  <dimension ref="B8:W56"/>
  <sheetViews>
    <sheetView topLeftCell="E16" workbookViewId="0"/>
  </sheetViews>
  <sheetFormatPr defaultRowHeight="14.4" x14ac:dyDescent="0.3"/>
  <cols>
    <col min="2" max="2" width="12.5546875" bestFit="1" customWidth="1"/>
    <col min="3" max="3" width="15.5546875" customWidth="1"/>
    <col min="5" max="5" width="12.5546875" bestFit="1" customWidth="1"/>
    <col min="6" max="6" width="19.44140625" customWidth="1"/>
    <col min="7" max="7" width="12.44140625" customWidth="1"/>
    <col min="8" max="8" width="12.5546875" bestFit="1" customWidth="1"/>
    <col min="9" max="9" width="12.109375" customWidth="1"/>
    <col min="10" max="10" width="12.109375" bestFit="1" customWidth="1"/>
    <col min="11" max="11" width="12.5546875" bestFit="1" customWidth="1"/>
    <col min="12" max="12" width="12.109375" bestFit="1" customWidth="1"/>
    <col min="13" max="13" width="15.5546875" bestFit="1" customWidth="1"/>
    <col min="15" max="15" width="13.6640625" bestFit="1" customWidth="1"/>
    <col min="16" max="16" width="12.109375" bestFit="1" customWidth="1"/>
    <col min="17" max="17" width="15.5546875" bestFit="1" customWidth="1"/>
    <col min="19" max="23" width="15.5546875" bestFit="1" customWidth="1"/>
  </cols>
  <sheetData>
    <row r="8" spans="2:23" x14ac:dyDescent="0.3">
      <c r="F8">
        <f>GETPIVOTDATA("Purchase Cost",$E$13)</f>
        <v>33647206</v>
      </c>
      <c r="I8">
        <f>GETPIVOTDATA("Profit",$H$13)</f>
        <v>17362005</v>
      </c>
    </row>
    <row r="9" spans="2:23" x14ac:dyDescent="0.3">
      <c r="B9">
        <f>GETPIVOTDATA("Sale Price",$B$13)</f>
        <v>51009211</v>
      </c>
    </row>
    <row r="13" spans="2:23" x14ac:dyDescent="0.3">
      <c r="B13" s="11" t="s">
        <v>388</v>
      </c>
      <c r="C13" t="s">
        <v>390</v>
      </c>
      <c r="E13" s="11" t="s">
        <v>388</v>
      </c>
      <c r="F13" t="s">
        <v>391</v>
      </c>
      <c r="H13" s="11" t="s">
        <v>388</v>
      </c>
      <c r="I13" t="s">
        <v>392</v>
      </c>
      <c r="K13" s="11" t="s">
        <v>388</v>
      </c>
      <c r="L13" t="s">
        <v>392</v>
      </c>
      <c r="M13" t="s">
        <v>390</v>
      </c>
      <c r="O13" s="11" t="s">
        <v>388</v>
      </c>
      <c r="P13" t="s">
        <v>392</v>
      </c>
      <c r="Q13" t="s">
        <v>390</v>
      </c>
      <c r="S13" s="11" t="s">
        <v>388</v>
      </c>
      <c r="T13" t="s">
        <v>390</v>
      </c>
      <c r="U13" s="20"/>
      <c r="V13" s="13" t="s">
        <v>388</v>
      </c>
      <c r="W13" s="13" t="s">
        <v>390</v>
      </c>
    </row>
    <row r="14" spans="2:23" x14ac:dyDescent="0.3">
      <c r="B14" s="12" t="s">
        <v>15</v>
      </c>
      <c r="C14" s="19">
        <v>3756891</v>
      </c>
      <c r="E14" s="12" t="s">
        <v>15</v>
      </c>
      <c r="F14" s="19">
        <v>2492869</v>
      </c>
      <c r="H14" s="12" t="s">
        <v>15</v>
      </c>
      <c r="I14" s="19">
        <v>1264022</v>
      </c>
      <c r="K14" s="12" t="s">
        <v>393</v>
      </c>
      <c r="L14" s="19">
        <v>1271040</v>
      </c>
      <c r="M14" s="14">
        <v>7.8164314284335817E-2</v>
      </c>
      <c r="O14" s="12" t="s">
        <v>16</v>
      </c>
      <c r="P14" s="19">
        <v>302517</v>
      </c>
      <c r="Q14" s="14">
        <v>2.0074472432047616E-2</v>
      </c>
      <c r="S14" s="12" t="s">
        <v>51</v>
      </c>
      <c r="T14" s="14">
        <v>1.9727495883047477E-2</v>
      </c>
      <c r="U14" s="12"/>
      <c r="V14" s="12" t="s">
        <v>51</v>
      </c>
      <c r="W14" s="17">
        <f>GETPIVOTDATA("Sale Price",$S$13,"State",V14)</f>
        <v>1.9727495883047477E-2</v>
      </c>
    </row>
    <row r="15" spans="2:23" x14ac:dyDescent="0.3">
      <c r="B15" s="12" t="s">
        <v>45</v>
      </c>
      <c r="C15" s="19">
        <v>9022761</v>
      </c>
      <c r="E15" s="12" t="s">
        <v>45</v>
      </c>
      <c r="F15" s="19">
        <v>6094215</v>
      </c>
      <c r="H15" s="12" t="s">
        <v>45</v>
      </c>
      <c r="I15" s="19">
        <v>2928546</v>
      </c>
      <c r="K15" s="12" t="s">
        <v>394</v>
      </c>
      <c r="L15" s="19">
        <v>1718473</v>
      </c>
      <c r="M15" s="14">
        <v>8.9517008996669242E-2</v>
      </c>
      <c r="O15" s="12" t="s">
        <v>386</v>
      </c>
      <c r="P15" s="19">
        <v>39308</v>
      </c>
      <c r="Q15" s="14">
        <v>2.6898279214708888E-3</v>
      </c>
      <c r="S15" s="12" t="s">
        <v>17</v>
      </c>
      <c r="T15" s="14">
        <v>3.2363115751780594E-2</v>
      </c>
      <c r="U15" s="12"/>
      <c r="V15" s="12" t="s">
        <v>17</v>
      </c>
      <c r="W15" s="17">
        <f t="shared" ref="W15:W33" si="0">GETPIVOTDATA("Sale Price",$S$13,"State",V15)</f>
        <v>3.2363115751780594E-2</v>
      </c>
    </row>
    <row r="16" spans="2:23" x14ac:dyDescent="0.3">
      <c r="B16" s="12" t="s">
        <v>32</v>
      </c>
      <c r="C16" s="19">
        <v>38229559</v>
      </c>
      <c r="E16" s="12" t="s">
        <v>32</v>
      </c>
      <c r="F16" s="19">
        <v>25060122</v>
      </c>
      <c r="H16" s="12" t="s">
        <v>32</v>
      </c>
      <c r="I16" s="19">
        <v>13169437</v>
      </c>
      <c r="K16" s="12" t="s">
        <v>395</v>
      </c>
      <c r="L16" s="19">
        <v>1311694</v>
      </c>
      <c r="M16" s="14">
        <v>8.2088938799700306E-2</v>
      </c>
      <c r="O16" s="12" t="s">
        <v>132</v>
      </c>
      <c r="P16" s="19">
        <v>175093</v>
      </c>
      <c r="Q16" s="14">
        <v>1.0105312156269189E-2</v>
      </c>
      <c r="S16" s="12" t="s">
        <v>53</v>
      </c>
      <c r="T16" s="14">
        <v>2.0340130334499783E-2</v>
      </c>
      <c r="U16" s="12"/>
      <c r="V16" s="12" t="s">
        <v>53</v>
      </c>
      <c r="W16" s="17">
        <f t="shared" si="0"/>
        <v>2.0340130334499783E-2</v>
      </c>
    </row>
    <row r="17" spans="2:23" x14ac:dyDescent="0.3">
      <c r="B17" s="12" t="s">
        <v>389</v>
      </c>
      <c r="C17" s="19">
        <v>51009211</v>
      </c>
      <c r="E17" s="12" t="s">
        <v>389</v>
      </c>
      <c r="F17" s="19">
        <v>33647206</v>
      </c>
      <c r="H17" s="12" t="s">
        <v>389</v>
      </c>
      <c r="I17" s="19">
        <v>17362005</v>
      </c>
      <c r="K17" s="12" t="s">
        <v>396</v>
      </c>
      <c r="L17" s="19">
        <v>1489431</v>
      </c>
      <c r="M17" s="14">
        <v>9.2752444259527944E-2</v>
      </c>
      <c r="O17" s="12" t="s">
        <v>36</v>
      </c>
      <c r="P17" s="19">
        <v>961505</v>
      </c>
      <c r="Q17" s="14">
        <v>5.3576754990387915E-2</v>
      </c>
      <c r="S17" s="12" t="s">
        <v>48</v>
      </c>
      <c r="T17" s="14">
        <v>1.9270421571507938E-2</v>
      </c>
      <c r="U17" s="12"/>
      <c r="V17" s="12" t="s">
        <v>48</v>
      </c>
      <c r="W17" s="17">
        <f t="shared" si="0"/>
        <v>1.9270421571507938E-2</v>
      </c>
    </row>
    <row r="18" spans="2:23" x14ac:dyDescent="0.3">
      <c r="K18" s="12" t="s">
        <v>397</v>
      </c>
      <c r="L18" s="19">
        <v>2200036</v>
      </c>
      <c r="M18" s="14">
        <v>0.11964397959419525</v>
      </c>
      <c r="O18" s="12" t="s">
        <v>117</v>
      </c>
      <c r="P18" s="19">
        <v>1545402</v>
      </c>
      <c r="Q18" s="14">
        <v>9.3981849670248765E-2</v>
      </c>
      <c r="S18" s="12" t="s">
        <v>22</v>
      </c>
      <c r="T18" s="14">
        <v>3.3935459225197584E-2</v>
      </c>
      <c r="U18" s="12"/>
      <c r="V18" s="12" t="s">
        <v>22</v>
      </c>
      <c r="W18" s="17">
        <f t="shared" si="0"/>
        <v>3.3935459225197584E-2</v>
      </c>
    </row>
    <row r="19" spans="2:23" x14ac:dyDescent="0.3">
      <c r="K19" s="12" t="s">
        <v>398</v>
      </c>
      <c r="L19" s="19">
        <v>1230143</v>
      </c>
      <c r="M19" s="14">
        <v>7.6632610529890371E-2</v>
      </c>
      <c r="O19" s="12" t="s">
        <v>162</v>
      </c>
      <c r="P19" s="19">
        <v>1153155</v>
      </c>
      <c r="Q19" s="14">
        <v>6.5229924846318441E-2</v>
      </c>
      <c r="S19" s="12" t="s">
        <v>70</v>
      </c>
      <c r="T19" s="14">
        <v>2.1000364032292128E-2</v>
      </c>
      <c r="U19" s="12"/>
      <c r="V19" s="12" t="s">
        <v>70</v>
      </c>
      <c r="W19" s="17">
        <f t="shared" si="0"/>
        <v>2.1000364032292128E-2</v>
      </c>
    </row>
    <row r="20" spans="2:23" x14ac:dyDescent="0.3">
      <c r="K20" s="12" t="s">
        <v>399</v>
      </c>
      <c r="L20" s="19">
        <v>1563864</v>
      </c>
      <c r="M20" s="14">
        <v>8.8117555866527711E-2</v>
      </c>
      <c r="O20" s="12" t="s">
        <v>98</v>
      </c>
      <c r="P20" s="19">
        <v>6353495</v>
      </c>
      <c r="Q20" s="14">
        <v>0.35553635597304178</v>
      </c>
      <c r="S20" s="12" t="s">
        <v>34</v>
      </c>
      <c r="T20" s="14">
        <v>5.809242962021114E-2</v>
      </c>
      <c r="U20" s="12"/>
      <c r="V20" s="12" t="s">
        <v>34</v>
      </c>
      <c r="W20" s="17">
        <f t="shared" si="0"/>
        <v>5.809242962021114E-2</v>
      </c>
    </row>
    <row r="21" spans="2:23" x14ac:dyDescent="0.3">
      <c r="K21" s="12" t="s">
        <v>400</v>
      </c>
      <c r="L21" s="19">
        <v>1533826</v>
      </c>
      <c r="M21" s="14">
        <v>8.567501661611665E-2</v>
      </c>
      <c r="O21" s="12" t="s">
        <v>46</v>
      </c>
      <c r="P21" s="19">
        <v>380946</v>
      </c>
      <c r="Q21" s="14">
        <v>2.3180480090154696E-2</v>
      </c>
      <c r="S21" s="12" t="s">
        <v>152</v>
      </c>
      <c r="T21" s="14">
        <v>4.5075153191450071E-2</v>
      </c>
      <c r="U21" s="12"/>
      <c r="V21" s="12" t="s">
        <v>152</v>
      </c>
      <c r="W21" s="17">
        <f t="shared" si="0"/>
        <v>4.5075153191450071E-2</v>
      </c>
    </row>
    <row r="22" spans="2:23" x14ac:dyDescent="0.3">
      <c r="K22" s="12" t="s">
        <v>401</v>
      </c>
      <c r="L22" s="19">
        <v>1713429</v>
      </c>
      <c r="M22" s="14">
        <v>9.581293072735432E-2</v>
      </c>
      <c r="O22" s="12" t="s">
        <v>119</v>
      </c>
      <c r="P22" s="19">
        <v>5033368</v>
      </c>
      <c r="Q22" s="14">
        <v>0.28708011186450227</v>
      </c>
      <c r="S22" s="12" t="s">
        <v>29</v>
      </c>
      <c r="T22" s="14">
        <v>6.3374789310111077E-2</v>
      </c>
      <c r="U22" s="12"/>
      <c r="V22" s="12" t="s">
        <v>29</v>
      </c>
      <c r="W22" s="17">
        <f t="shared" si="0"/>
        <v>6.3374789310111077E-2</v>
      </c>
    </row>
    <row r="23" spans="2:23" x14ac:dyDescent="0.3">
      <c r="K23" s="12" t="s">
        <v>402</v>
      </c>
      <c r="L23" s="19">
        <v>1328438</v>
      </c>
      <c r="M23" s="14">
        <v>7.3126890749202145E-2</v>
      </c>
      <c r="O23" s="12" t="s">
        <v>62</v>
      </c>
      <c r="P23" s="19">
        <v>827105</v>
      </c>
      <c r="Q23" s="14">
        <v>4.9617293629576037E-2</v>
      </c>
      <c r="S23" s="12" t="s">
        <v>75</v>
      </c>
      <c r="T23" s="14">
        <v>4.4900027957695716E-2</v>
      </c>
      <c r="U23" s="12"/>
      <c r="V23" s="12" t="s">
        <v>75</v>
      </c>
      <c r="W23" s="17">
        <f t="shared" si="0"/>
        <v>4.4900027957695716E-2</v>
      </c>
    </row>
    <row r="24" spans="2:23" x14ac:dyDescent="0.3">
      <c r="K24" s="12" t="s">
        <v>403</v>
      </c>
      <c r="L24" s="19">
        <v>2001631</v>
      </c>
      <c r="M24" s="14">
        <v>0.11846830957648022</v>
      </c>
      <c r="O24" s="12" t="s">
        <v>33</v>
      </c>
      <c r="P24" s="19">
        <v>590111</v>
      </c>
      <c r="Q24" s="14">
        <v>3.8927616425982359E-2</v>
      </c>
      <c r="S24" s="12" t="s">
        <v>112</v>
      </c>
      <c r="T24" s="14">
        <v>3.775369119118506E-2</v>
      </c>
      <c r="U24" s="12"/>
      <c r="V24" s="12" t="s">
        <v>112</v>
      </c>
      <c r="W24" s="17">
        <f t="shared" si="0"/>
        <v>3.775369119118506E-2</v>
      </c>
    </row>
    <row r="25" spans="2:23" x14ac:dyDescent="0.3">
      <c r="K25" s="12" t="s">
        <v>389</v>
      </c>
      <c r="L25" s="19">
        <v>17362005</v>
      </c>
      <c r="M25" s="14">
        <v>1</v>
      </c>
      <c r="O25" s="12" t="s">
        <v>389</v>
      </c>
      <c r="P25" s="19">
        <v>17362005</v>
      </c>
      <c r="Q25" s="14">
        <v>1</v>
      </c>
      <c r="S25" s="12" t="s">
        <v>26</v>
      </c>
      <c r="T25" s="14">
        <v>5.7536039912477771E-2</v>
      </c>
      <c r="U25" s="12"/>
      <c r="V25" s="12" t="s">
        <v>26</v>
      </c>
      <c r="W25" s="17">
        <f t="shared" si="0"/>
        <v>5.7536039912477771E-2</v>
      </c>
    </row>
    <row r="26" spans="2:23" x14ac:dyDescent="0.3">
      <c r="F26" s="18"/>
      <c r="G26" s="18"/>
      <c r="H26" s="18"/>
      <c r="S26" s="12" t="s">
        <v>43</v>
      </c>
      <c r="T26" s="14">
        <v>0.10951165270915482</v>
      </c>
      <c r="U26" s="12"/>
      <c r="V26" s="12" t="s">
        <v>43</v>
      </c>
      <c r="W26" s="17">
        <f t="shared" si="0"/>
        <v>0.10951165270915482</v>
      </c>
    </row>
    <row r="27" spans="2:23" x14ac:dyDescent="0.3">
      <c r="F27" s="12"/>
      <c r="H27" s="14"/>
      <c r="S27" s="12" t="s">
        <v>20</v>
      </c>
      <c r="T27" s="14">
        <v>4.1848088965736011E-2</v>
      </c>
      <c r="U27" s="12"/>
      <c r="V27" s="12" t="s">
        <v>20</v>
      </c>
      <c r="W27" s="17">
        <f t="shared" si="0"/>
        <v>4.1848088965736011E-2</v>
      </c>
    </row>
    <row r="28" spans="2:23" x14ac:dyDescent="0.3">
      <c r="F28" s="12"/>
      <c r="H28" s="14"/>
      <c r="O28" s="13" t="s">
        <v>388</v>
      </c>
      <c r="P28" s="13" t="s">
        <v>392</v>
      </c>
      <c r="Q28" s="13" t="s">
        <v>390</v>
      </c>
      <c r="S28" s="12" t="s">
        <v>59</v>
      </c>
      <c r="T28" s="14">
        <v>4.8110310900515596E-2</v>
      </c>
      <c r="U28" s="12"/>
      <c r="V28" s="12" t="s">
        <v>59</v>
      </c>
      <c r="W28" s="17">
        <f t="shared" si="0"/>
        <v>4.8110310900515596E-2</v>
      </c>
    </row>
    <row r="29" spans="2:23" x14ac:dyDescent="0.3">
      <c r="F29" s="12"/>
      <c r="H29" s="14"/>
      <c r="O29" s="12" t="s">
        <v>16</v>
      </c>
      <c r="P29">
        <f>IFERROR(GETPIVOTDATA("Sum of Profit",$O$13,"Product Name",O29),"")</f>
        <v>302517</v>
      </c>
      <c r="Q29" s="21">
        <f>IFERROR(GETPIVOTDATA("Sum of Sale Price",$O$13,"Product Name",O29),"")</f>
        <v>2.0074472432047616E-2</v>
      </c>
      <c r="S29" s="12" t="s">
        <v>63</v>
      </c>
      <c r="T29" s="14">
        <v>7.5148937316438791E-2</v>
      </c>
      <c r="U29" s="12"/>
      <c r="V29" s="12" t="s">
        <v>63</v>
      </c>
      <c r="W29" s="17">
        <f t="shared" si="0"/>
        <v>7.5148937316438791E-2</v>
      </c>
    </row>
    <row r="30" spans="2:23" x14ac:dyDescent="0.3">
      <c r="F30" s="12"/>
      <c r="H30" s="14"/>
      <c r="O30" s="12" t="s">
        <v>386</v>
      </c>
      <c r="P30">
        <f t="shared" ref="P30:P39" si="1">IFERROR(GETPIVOTDATA("Sum of Profit",$O$13,"Product Name",O30),"")</f>
        <v>39308</v>
      </c>
      <c r="Q30" s="21">
        <f t="shared" ref="Q30:Q39" si="2">IFERROR(GETPIVOTDATA("Sum of Sale Price",$O$13,"Product Name",O30),"")</f>
        <v>2.6898279214708888E-3</v>
      </c>
      <c r="S30" s="12" t="s">
        <v>77</v>
      </c>
      <c r="T30" s="14">
        <v>2.121691315711588E-2</v>
      </c>
      <c r="U30" s="12"/>
      <c r="V30" s="12" t="s">
        <v>77</v>
      </c>
      <c r="W30" s="17">
        <f t="shared" si="0"/>
        <v>2.121691315711588E-2</v>
      </c>
    </row>
    <row r="31" spans="2:23" x14ac:dyDescent="0.3">
      <c r="F31" s="12"/>
      <c r="H31" s="14"/>
      <c r="O31" s="12" t="s">
        <v>132</v>
      </c>
      <c r="P31">
        <f t="shared" si="1"/>
        <v>175093</v>
      </c>
      <c r="Q31" s="21">
        <f t="shared" si="2"/>
        <v>1.0105312156269189E-2</v>
      </c>
      <c r="S31" s="12" t="s">
        <v>38</v>
      </c>
      <c r="T31" s="14">
        <v>0.11286226324888655</v>
      </c>
      <c r="U31" s="12"/>
      <c r="V31" s="12" t="s">
        <v>38</v>
      </c>
      <c r="W31" s="17">
        <f t="shared" si="0"/>
        <v>0.11286226324888655</v>
      </c>
    </row>
    <row r="32" spans="2:23" x14ac:dyDescent="0.3">
      <c r="F32" s="12"/>
      <c r="H32" s="14"/>
      <c r="O32" s="12" t="s">
        <v>36</v>
      </c>
      <c r="P32">
        <f t="shared" si="1"/>
        <v>961505</v>
      </c>
      <c r="Q32" s="21">
        <f t="shared" si="2"/>
        <v>5.3576754990387915E-2</v>
      </c>
      <c r="S32" s="12" t="s">
        <v>154</v>
      </c>
      <c r="T32" s="14">
        <v>3.7205241225942508E-2</v>
      </c>
      <c r="U32" s="12"/>
      <c r="V32" s="12" t="s">
        <v>154</v>
      </c>
      <c r="W32" s="17">
        <f t="shared" si="0"/>
        <v>3.7205241225942508E-2</v>
      </c>
    </row>
    <row r="33" spans="6:23" x14ac:dyDescent="0.3">
      <c r="F33" s="12"/>
      <c r="H33" s="14"/>
      <c r="O33" s="12" t="s">
        <v>117</v>
      </c>
      <c r="P33">
        <f t="shared" si="1"/>
        <v>1545402</v>
      </c>
      <c r="Q33" s="21">
        <f t="shared" si="2"/>
        <v>9.3981849670248765E-2</v>
      </c>
      <c r="S33" s="12" t="s">
        <v>24</v>
      </c>
      <c r="T33" s="14">
        <v>0.1007274744947535</v>
      </c>
      <c r="U33" s="12"/>
      <c r="V33" s="12" t="s">
        <v>24</v>
      </c>
      <c r="W33" s="17">
        <f t="shared" si="0"/>
        <v>0.1007274744947535</v>
      </c>
    </row>
    <row r="34" spans="6:23" x14ac:dyDescent="0.3">
      <c r="F34" s="12"/>
      <c r="H34" s="14"/>
      <c r="O34" s="12" t="s">
        <v>162</v>
      </c>
      <c r="P34">
        <f t="shared" si="1"/>
        <v>1153155</v>
      </c>
      <c r="Q34" s="21">
        <f t="shared" si="2"/>
        <v>6.5229924846318441E-2</v>
      </c>
      <c r="S34" s="12" t="s">
        <v>389</v>
      </c>
      <c r="T34" s="14">
        <v>1</v>
      </c>
    </row>
    <row r="35" spans="6:23" x14ac:dyDescent="0.3">
      <c r="F35" s="12"/>
      <c r="H35" s="14"/>
      <c r="O35" s="12" t="s">
        <v>98</v>
      </c>
      <c r="P35">
        <f t="shared" si="1"/>
        <v>6353495</v>
      </c>
      <c r="Q35" s="21">
        <f t="shared" si="2"/>
        <v>0.35553635597304178</v>
      </c>
    </row>
    <row r="36" spans="6:23" x14ac:dyDescent="0.3">
      <c r="F36" s="12"/>
      <c r="H36" s="14"/>
      <c r="O36" s="12" t="s">
        <v>46</v>
      </c>
      <c r="P36">
        <f t="shared" si="1"/>
        <v>380946</v>
      </c>
      <c r="Q36" s="21">
        <f t="shared" si="2"/>
        <v>2.3180480090154696E-2</v>
      </c>
      <c r="S36" s="13"/>
      <c r="T36" s="13"/>
    </row>
    <row r="37" spans="6:23" x14ac:dyDescent="0.3">
      <c r="F37" s="12"/>
      <c r="H37" s="14"/>
      <c r="O37" s="12" t="s">
        <v>119</v>
      </c>
      <c r="P37">
        <f t="shared" si="1"/>
        <v>5033368</v>
      </c>
      <c r="Q37" s="21">
        <f t="shared" si="2"/>
        <v>0.28708011186450227</v>
      </c>
      <c r="S37" s="12"/>
      <c r="T37" s="14"/>
    </row>
    <row r="38" spans="6:23" x14ac:dyDescent="0.3">
      <c r="O38" s="12" t="s">
        <v>62</v>
      </c>
      <c r="P38">
        <f t="shared" si="1"/>
        <v>827105</v>
      </c>
      <c r="Q38" s="21">
        <f t="shared" si="2"/>
        <v>4.9617293629576037E-2</v>
      </c>
      <c r="S38" s="12"/>
      <c r="T38" s="14"/>
    </row>
    <row r="39" spans="6:23" x14ac:dyDescent="0.3">
      <c r="O39" s="12" t="s">
        <v>33</v>
      </c>
      <c r="P39">
        <f t="shared" si="1"/>
        <v>590111</v>
      </c>
      <c r="Q39" s="21">
        <f t="shared" si="2"/>
        <v>3.8927616425982359E-2</v>
      </c>
      <c r="S39" s="12"/>
      <c r="T39" s="14"/>
    </row>
    <row r="40" spans="6:23" x14ac:dyDescent="0.3">
      <c r="S40" s="12"/>
      <c r="T40" s="14"/>
    </row>
    <row r="41" spans="6:23" x14ac:dyDescent="0.3">
      <c r="S41" s="12"/>
      <c r="T41" s="14"/>
    </row>
    <row r="42" spans="6:23" x14ac:dyDescent="0.3">
      <c r="S42" s="12"/>
      <c r="T42" s="14"/>
    </row>
    <row r="43" spans="6:23" x14ac:dyDescent="0.3">
      <c r="S43" s="12"/>
      <c r="T43" s="14"/>
    </row>
    <row r="44" spans="6:23" x14ac:dyDescent="0.3">
      <c r="S44" s="12"/>
      <c r="T44" s="14"/>
    </row>
    <row r="45" spans="6:23" x14ac:dyDescent="0.3">
      <c r="S45" s="12"/>
      <c r="T45" s="14"/>
    </row>
    <row r="46" spans="6:23" x14ac:dyDescent="0.3">
      <c r="S46" s="12"/>
      <c r="T46" s="14"/>
    </row>
    <row r="47" spans="6:23" x14ac:dyDescent="0.3">
      <c r="S47" s="12"/>
      <c r="T47" s="14"/>
    </row>
    <row r="48" spans="6:23" x14ac:dyDescent="0.3">
      <c r="S48" s="12"/>
      <c r="T48" s="14"/>
    </row>
    <row r="49" spans="19:20" x14ac:dyDescent="0.3">
      <c r="S49" s="12"/>
      <c r="T49" s="14"/>
    </row>
    <row r="50" spans="19:20" x14ac:dyDescent="0.3">
      <c r="S50" s="12"/>
      <c r="T50" s="14"/>
    </row>
    <row r="51" spans="19:20" x14ac:dyDescent="0.3">
      <c r="S51" s="12"/>
      <c r="T51" s="14"/>
    </row>
    <row r="52" spans="19:20" x14ac:dyDescent="0.3">
      <c r="S52" s="12"/>
      <c r="T52" s="14"/>
    </row>
    <row r="53" spans="19:20" x14ac:dyDescent="0.3">
      <c r="S53" s="12"/>
      <c r="T53" s="14"/>
    </row>
    <row r="54" spans="19:20" x14ac:dyDescent="0.3">
      <c r="S54" s="12"/>
      <c r="T54" s="14"/>
    </row>
    <row r="55" spans="19:20" x14ac:dyDescent="0.3">
      <c r="S55" s="12"/>
      <c r="T55" s="14"/>
    </row>
    <row r="56" spans="19:20" x14ac:dyDescent="0.3">
      <c r="S56" s="12"/>
      <c r="T56" s="14"/>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6E8B2-8F31-4034-A890-348FA5898886}">
  <dimension ref="A1"/>
  <sheetViews>
    <sheetView showGridLines="0" tabSelected="1" zoomScaleNormal="100" workbookViewId="0">
      <selection activeCell="R37" sqref="R37"/>
    </sheetView>
  </sheetViews>
  <sheetFormatPr defaultRowHeight="14.4" x14ac:dyDescent="0.3"/>
  <cols>
    <col min="1" max="16384" width="8.88671875" style="22"/>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Logo and icons</vt:lpstr>
      <vt:lpstr>Messy data</vt:lpstr>
      <vt:lpstr>DataSet</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 Mehrotra</dc:creator>
  <cp:lastModifiedBy>Vaishnavi Mehrotra</cp:lastModifiedBy>
  <dcterms:created xsi:type="dcterms:W3CDTF">2026-02-20T15:21:35Z</dcterms:created>
  <dcterms:modified xsi:type="dcterms:W3CDTF">2026-02-21T18:12:41Z</dcterms:modified>
</cp:coreProperties>
</file>